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8" activeTab="12" autoFilterDateGrouping="1"/>
  </bookViews>
  <sheets>
    <sheet xmlns:r="http://schemas.openxmlformats.org/officeDocument/2006/relationships" name="Central Data" sheetId="1" state="visible" r:id="rId1"/>
    <sheet xmlns:r="http://schemas.openxmlformats.org/officeDocument/2006/relationships" name="Crop Cycle Modeling Data" sheetId="2" state="visible" r:id="rId2"/>
    <sheet xmlns:r="http://schemas.openxmlformats.org/officeDocument/2006/relationships" name="Crop Cycle Match Audit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Planting Techniques" sheetId="5" state="visible" r:id="rId5"/>
    <sheet xmlns:r="http://schemas.openxmlformats.org/officeDocument/2006/relationships" name="Climate Data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Planting Data" sheetId="8" state="visible" r:id="rId8"/>
    <sheet xmlns:r="http://schemas.openxmlformats.org/officeDocument/2006/relationships" name="Harvest Data" sheetId="9" state="visible" r:id="rId9"/>
    <sheet xmlns:r="http://schemas.openxmlformats.org/officeDocument/2006/relationships" name="Raw Data" sheetId="10" state="visible" r:id="rId10"/>
    <sheet xmlns:r="http://schemas.openxmlformats.org/officeDocument/2006/relationships" name="Corn Data" sheetId="11" state="visible" r:id="rId11"/>
    <sheet xmlns:r="http://schemas.openxmlformats.org/officeDocument/2006/relationships" name="Corn Summary" sheetId="12" state="visible" r:id="rId12"/>
    <sheet xmlns:r="http://schemas.openxmlformats.org/officeDocument/2006/relationships" name="Crop Features" sheetId="13" state="visible" r:id="rId13"/>
    <sheet xmlns:r="http://schemas.openxmlformats.org/officeDocument/2006/relationships" name="Crop Varieties" sheetId="14" state="visible" r:id="rId14"/>
  </sheets>
  <definedNames>
    <definedName name="_xlnm._FilterDatabase" localSheetId="0" hidden="1">'Central Data'!$A$3:$Z$3</definedName>
    <definedName name="_xlnm._FilterDatabase" localSheetId="5" hidden="1">'Climate Data'!$A$3:$M$3</definedName>
    <definedName name="_xlnm._FilterDatabase" localSheetId="9" hidden="1">'Raw Data'!$A$2:$K$2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\%"/>
  </numFmts>
  <fonts count="22">
    <font>
      <name val="Calibri"/>
      <charset val="1"/>
      <family val="2"/>
      <color theme="1"/>
      <sz val="11"/>
    </font>
    <font>
      <name val="Arial"/>
      <charset val="1"/>
      <b val="1"/>
      <color rgb="FF1F2D3D"/>
      <sz val="14"/>
    </font>
    <font>
      <name val="Arial"/>
      <charset val="1"/>
      <i val="1"/>
      <color rgb="FF595959"/>
      <sz val="8"/>
    </font>
    <font>
      <name val="Arial"/>
      <charset val="1"/>
      <b val="1"/>
      <color rgb="FFFFFFFF"/>
      <sz val="10"/>
    </font>
    <font>
      <name val="Arial"/>
      <charset val="1"/>
      <color rgb="FF000000"/>
      <sz val="9"/>
    </font>
    <font>
      <name val="Arial"/>
      <charset val="1"/>
      <sz val="9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color rgb="FF0563C1"/>
      <sz val="10"/>
      <u val="single"/>
    </font>
    <font>
      <name val="Arial"/>
      <charset val="1"/>
      <b val="1"/>
      <sz val="9"/>
    </font>
    <font>
      <name val="Arial"/>
      <charset val="1"/>
      <color rgb="FF0563C1"/>
      <sz val="9"/>
      <u val="single"/>
    </font>
    <font>
      <name val="Arial"/>
      <charset val="1"/>
      <b val="1"/>
      <color rgb="FF1A3A5C"/>
      <sz val="13"/>
    </font>
    <font>
      <name val="Arial"/>
      <charset val="1"/>
      <b val="1"/>
      <color rgb="FF1F2D3D"/>
      <sz val="12"/>
    </font>
    <font>
      <name val="Arial"/>
      <charset val="1"/>
      <b val="1"/>
      <color rgb="FFFFFFFF"/>
      <sz val="9"/>
    </font>
    <font>
      <name val="Arial"/>
      <charset val="1"/>
      <b val="1"/>
      <color rgb="FF1F4E79"/>
      <sz val="13"/>
    </font>
    <font>
      <name val="Arial"/>
      <charset val="1"/>
      <b val="1"/>
      <sz val="10"/>
    </font>
    <font>
      <name val="Arial"/>
      <charset val="1"/>
      <b val="1"/>
      <color rgb="FF375623"/>
      <sz val="13"/>
    </font>
    <font>
      <name val="Arial"/>
      <charset val="1"/>
      <b val="1"/>
      <sz val="12"/>
    </font>
    <font>
      <name val="Arial"/>
      <charset val="1"/>
      <b val="1"/>
      <color rgb="FF7B3F00"/>
      <sz val="13"/>
    </font>
    <font>
      <name val="Arial"/>
      <charset val="1"/>
      <i val="1"/>
      <color rgb="FF843C0C"/>
      <sz val="9"/>
    </font>
    <font>
      <name val="Calibri"/>
      <b val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rgb="FF1A3A5C"/>
      </patternFill>
    </fill>
    <fill>
      <patternFill patternType="solid">
        <fgColor rgb="FF1A3A5C"/>
        <bgColor rgb="FF1F2D3D"/>
      </patternFill>
    </fill>
    <fill>
      <patternFill patternType="solid">
        <fgColor rgb="FF4B3280"/>
        <bgColor rgb="FF444444"/>
      </patternFill>
    </fill>
    <fill>
      <patternFill patternType="solid">
        <fgColor rgb="FFB85C00"/>
        <bgColor rgb="FFB8860B"/>
      </patternFill>
    </fill>
    <fill>
      <patternFill patternType="solid">
        <fgColor rgb="FF375623"/>
        <bgColor rgb="FF37474F"/>
      </patternFill>
    </fill>
    <fill>
      <patternFill patternType="solid">
        <fgColor rgb="FFEBF3FB"/>
        <bgColor rgb="FFF0F7F0"/>
      </patternFill>
    </fill>
    <fill>
      <patternFill patternType="solid">
        <fgColor rgb="FFE2EFDA"/>
        <bgColor rgb="FFE8F5E9"/>
      </patternFill>
    </fill>
    <fill>
      <patternFill patternType="solid">
        <fgColor rgb="FFDAEAF7"/>
        <bgColor rgb="FFDDEBF7"/>
      </patternFill>
    </fill>
    <fill>
      <patternFill patternType="solid">
        <fgColor rgb="FFFFFFFF"/>
        <bgColor rgb="FFFFFDE7"/>
      </patternFill>
    </fill>
    <fill>
      <patternFill patternType="solid">
        <fgColor rgb="FFFFF8DC"/>
        <bgColor rgb="FFFFF3E0"/>
      </patternFill>
    </fill>
    <fill>
      <patternFill patternType="solid">
        <fgColor rgb="FFFFF3B0"/>
        <bgColor rgb="FFFFF2CC"/>
      </patternFill>
    </fill>
    <fill>
      <patternFill patternType="solid">
        <fgColor rgb="FFDDEBF7"/>
        <bgColor rgb="FFDAEAF7"/>
      </patternFill>
    </fill>
    <fill>
      <patternFill patternType="solid">
        <fgColor rgb="FF2E75B6"/>
        <bgColor rgb="FF0563C1"/>
      </patternFill>
    </fill>
    <fill>
      <patternFill patternType="solid">
        <fgColor rgb="FF1F2D3D"/>
        <bgColor rgb="FF1A3A5C"/>
      </patternFill>
    </fill>
    <fill>
      <patternFill patternType="solid">
        <fgColor rgb="FFFFF3E0"/>
        <bgColor rgb="FFFFF8DC"/>
      </patternFill>
    </fill>
    <fill>
      <patternFill patternType="solid">
        <fgColor rgb="FFE8F5E9"/>
        <bgColor rgb="FFF0F7F0"/>
      </patternFill>
    </fill>
    <fill>
      <patternFill patternType="solid">
        <fgColor rgb="FFEDE7F6"/>
        <bgColor rgb="FFDDEBF7"/>
      </patternFill>
    </fill>
    <fill>
      <patternFill patternType="solid">
        <fgColor rgb="FFE0F7FA"/>
        <bgColor rgb="FFEBF3FB"/>
      </patternFill>
    </fill>
    <fill>
      <patternFill patternType="solid">
        <fgColor rgb="FFFFFDE7"/>
        <bgColor rgb="FFFFF8DC"/>
      </patternFill>
    </fill>
    <fill>
      <patternFill patternType="solid">
        <fgColor rgb="FF7B3F00"/>
        <bgColor rgb="FF843C0C"/>
      </patternFill>
    </fill>
    <fill>
      <patternFill patternType="solid">
        <fgColor rgb="FFB8860B"/>
        <bgColor rgb="FFB85C00"/>
      </patternFill>
    </fill>
    <fill>
      <patternFill patternType="solid">
        <fgColor rgb="FF455A64"/>
        <bgColor rgb="FF555555"/>
      </patternFill>
    </fill>
    <fill>
      <patternFill patternType="solid">
        <fgColor rgb="FF37474F"/>
        <bgColor rgb="FF444444"/>
      </patternFill>
    </fill>
    <fill>
      <patternFill patternType="solid">
        <fgColor rgb="FFF5F5F5"/>
        <bgColor rgb="FFF0F7F0"/>
      </patternFill>
    </fill>
    <fill>
      <patternFill patternType="solid">
        <fgColor rgb="FFF0F7F0"/>
        <bgColor rgb="FFF5F5F5"/>
      </patternFill>
    </fill>
    <fill>
      <patternFill patternType="solid">
        <fgColor rgb="FFC49A6C"/>
        <bgColor rgb="FFB8860B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FFACD"/>
      </patternFill>
    </fill>
    <fill>
      <patternFill patternType="solid">
        <fgColor rgb="FFFFE599"/>
        <bgColor rgb="FFFFF3B0"/>
      </patternFill>
    </fill>
    <fill>
      <patternFill patternType="solid">
        <fgColor rgb="FF4A2600"/>
        <bgColor rgb="FF1F2D3D"/>
      </patternFill>
    </fill>
    <fill>
      <patternFill patternType="solid">
        <fgColor rgb="FFFFFACD"/>
        <bgColor rgb="FFFFF8DC"/>
      </patternFill>
    </fill>
    <fill>
      <patternFill patternType="solid">
        <fgColor rgb="FFFCE4D6"/>
        <bgColor rgb="FFFFF2CC"/>
      </patternFill>
    </fill>
  </fills>
  <borders count="15"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555555"/>
      </top>
      <bottom style="medium">
        <color rgb="FF555555"/>
      </bottom>
      <diagonal/>
    </border>
    <border>
      <left/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/>
      <bottom/>
      <diagonal/>
    </border>
    <border>
      <left style="medium">
        <color rgb="FF555555"/>
      </left>
      <right style="medium">
        <color rgb="FF555555"/>
      </right>
      <top/>
      <bottom style="medium">
        <color rgb="FF555555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medium">
        <color rgb="FF555555"/>
      </top>
      <bottom/>
      <diagonal/>
    </border>
    <border>
      <left/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/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top" wrapText="1"/>
    </xf>
    <xf numFmtId="49" fontId="4" fillId="7" borderId="2" applyAlignment="1" pivotButton="0" quotePrefix="0" xfId="0">
      <alignment horizontal="left" vertical="center" wrapText="1"/>
    </xf>
    <xf numFmtId="4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3" fontId="4" fillId="7" borderId="2" applyAlignment="1" pivotButton="0" quotePrefix="0" xfId="0">
      <alignment horizontal="right" vertical="center"/>
    </xf>
    <xf numFmtId="4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left" vertical="top" wrapText="1"/>
    </xf>
    <xf numFmtId="49" fontId="4" fillId="9" borderId="2" applyAlignment="1" pivotButton="0" quotePrefix="0" xfId="0">
      <alignment horizontal="left" vertical="center" wrapText="1"/>
    </xf>
    <xf numFmtId="3" fontId="4" fillId="9" borderId="2" applyAlignment="1" pivotButton="0" quotePrefix="0" xfId="0">
      <alignment horizontal="right" vertical="center"/>
    </xf>
    <xf numFmtId="4" fontId="4" fillId="9" borderId="2" applyAlignment="1" pivotButton="0" quotePrefix="0" xfId="0">
      <alignment horizontal="right" vertical="center"/>
    </xf>
    <xf numFmtId="2" fontId="4" fillId="9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top" wrapText="1"/>
    </xf>
    <xf numFmtId="49" fontId="4" fillId="11" borderId="2" applyAlignment="1" pivotButton="0" quotePrefix="0" xfId="0">
      <alignment horizontal="left" vertical="center" wrapText="1"/>
    </xf>
    <xf numFmtId="3" fontId="4" fillId="11" borderId="2" applyAlignment="1" pivotButton="0" quotePrefix="0" xfId="0">
      <alignment horizontal="right" vertical="center"/>
    </xf>
    <xf numFmtId="4" fontId="4" fillId="11" borderId="2" applyAlignment="1" pivotButton="0" quotePrefix="0" xfId="0">
      <alignment horizontal="right" vertical="center"/>
    </xf>
    <xf numFmtId="2" fontId="4" fillId="11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left" vertical="top" wrapText="1"/>
    </xf>
    <xf numFmtId="49" fontId="4" fillId="12" borderId="2" applyAlignment="1" pivotButton="0" quotePrefix="0" xfId="0">
      <alignment horizontal="left" vertical="center" wrapText="1"/>
    </xf>
    <xf numFmtId="3" fontId="4" fillId="12" borderId="2" applyAlignment="1" pivotButton="0" quotePrefix="0" xfId="0">
      <alignment horizontal="right" vertical="center"/>
    </xf>
    <xf numFmtId="4" fontId="4" fillId="12" borderId="2" applyAlignment="1" pivotButton="0" quotePrefix="0" xfId="0">
      <alignment horizontal="right" vertical="center"/>
    </xf>
    <xf numFmtId="2" fontId="4" fillId="12" borderId="2" applyAlignment="1" pivotButton="0" quotePrefix="0" xfId="0">
      <alignment horizontal="right" vertical="center"/>
    </xf>
    <xf numFmtId="4" fontId="4" fillId="13" borderId="2" applyAlignment="1" pivotButton="0" quotePrefix="0" xfId="0">
      <alignment horizontal="right" vertical="center"/>
    </xf>
    <xf numFmtId="2" fontId="4" fillId="13" borderId="2" applyAlignment="1" pivotButton="0" quotePrefix="0" xfId="0">
      <alignment horizontal="right" vertical="center"/>
    </xf>
    <xf numFmtId="0" fontId="3" fillId="14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center" vertical="center" wrapText="1"/>
    </xf>
    <xf numFmtId="0" fontId="10" fillId="16" borderId="4" applyAlignment="1" pivotButton="0" quotePrefix="0" xfId="0">
      <alignment horizontal="left" vertical="center" wrapText="1"/>
    </xf>
    <xf numFmtId="0" fontId="8" fillId="16" borderId="4" applyAlignment="1" pivotButton="0" quotePrefix="0" xfId="0">
      <alignment horizontal="left" vertical="center" wrapText="1"/>
    </xf>
    <xf numFmtId="0" fontId="10" fillId="17" borderId="4" applyAlignment="1" pivotButton="0" quotePrefix="0" xfId="0">
      <alignment horizontal="left" vertical="center" wrapText="1"/>
    </xf>
    <xf numFmtId="0" fontId="8" fillId="17" borderId="4" applyAlignment="1" pivotButton="0" quotePrefix="0" xfId="0">
      <alignment horizontal="left" vertical="center" wrapText="1"/>
    </xf>
    <xf numFmtId="0" fontId="10" fillId="18" borderId="4" applyAlignment="1" pivotButton="0" quotePrefix="0" xfId="0">
      <alignment horizontal="left" vertical="center" wrapText="1"/>
    </xf>
    <xf numFmtId="0" fontId="8" fillId="18" borderId="4" applyAlignment="1" pivotButton="0" quotePrefix="0" xfId="0">
      <alignment horizontal="left" vertical="center" wrapText="1"/>
    </xf>
    <xf numFmtId="0" fontId="10" fillId="19" borderId="4" applyAlignment="1" pivotButton="0" quotePrefix="0" xfId="0">
      <alignment horizontal="left" vertical="center" wrapText="1"/>
    </xf>
    <xf numFmtId="0" fontId="8" fillId="19" borderId="4" applyAlignment="1" pivotButton="0" quotePrefix="0" xfId="0">
      <alignment horizontal="left" vertical="center" wrapText="1"/>
    </xf>
    <xf numFmtId="0" fontId="3" fillId="14" borderId="3" applyAlignment="1" pivotButton="0" quotePrefix="0" xfId="0">
      <alignment horizontal="center" vertical="center" wrapText="1"/>
    </xf>
    <xf numFmtId="0" fontId="3" fillId="22" borderId="3" applyAlignment="1" pivotButton="0" quotePrefix="0" xfId="0">
      <alignment horizontal="center" vertical="center" wrapText="1"/>
    </xf>
    <xf numFmtId="0" fontId="3" fillId="23" borderId="3" applyAlignment="1" pivotButton="0" quotePrefix="0" xfId="0">
      <alignment horizontal="center" vertical="center" wrapText="1"/>
    </xf>
    <xf numFmtId="0" fontId="5" fillId="16" borderId="4" applyAlignment="1" pivotButton="0" quotePrefix="0" xfId="0">
      <alignment horizontal="left" vertical="center" wrapText="1"/>
    </xf>
    <xf numFmtId="0" fontId="5" fillId="17" borderId="4" applyAlignment="1" pivotButton="0" quotePrefix="0" xfId="0">
      <alignment horizontal="left" vertical="center" wrapText="1"/>
    </xf>
    <xf numFmtId="0" fontId="5" fillId="18" borderId="4" applyAlignment="1" pivotButton="0" quotePrefix="0" xfId="0">
      <alignment horizontal="left" vertical="center" wrapText="1"/>
    </xf>
    <xf numFmtId="0" fontId="5" fillId="19" borderId="4" applyAlignment="1" pivotButton="0" quotePrefix="0" xfId="0">
      <alignment horizontal="left" vertical="center" wrapText="1"/>
    </xf>
    <xf numFmtId="0" fontId="3" fillId="24" borderId="3" applyAlignment="1" pivotButton="0" quotePrefix="0" xfId="0">
      <alignment horizontal="center" vertical="center" wrapText="1"/>
    </xf>
    <xf numFmtId="0" fontId="5" fillId="25" borderId="4" applyAlignment="1" pivotButton="0" quotePrefix="0" xfId="0">
      <alignment horizontal="left" vertical="center" wrapText="1"/>
    </xf>
    <xf numFmtId="0" fontId="11" fillId="25" borderId="4" applyAlignment="1" pivotButton="0" quotePrefix="0" xfId="0">
      <alignment horizontal="left" vertical="center" wrapText="1"/>
    </xf>
    <xf numFmtId="0" fontId="5" fillId="10" borderId="4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left" vertical="center" wrapText="1"/>
    </xf>
    <xf numFmtId="49" fontId="4" fillId="8" borderId="2" applyAlignment="1" pivotButton="0" quotePrefix="0" xfId="0">
      <alignment horizontal="left" vertical="center" wrapText="1"/>
    </xf>
    <xf numFmtId="3" fontId="4" fillId="8" borderId="2" applyAlignment="1" pivotButton="0" quotePrefix="0" xfId="0">
      <alignment horizontal="right" vertical="center"/>
    </xf>
    <xf numFmtId="164" fontId="4" fillId="8" borderId="2" applyAlignment="1" pivotButton="0" quotePrefix="0" xfId="0">
      <alignment horizontal="right" vertical="center"/>
    </xf>
    <xf numFmtId="49" fontId="4" fillId="26" borderId="2" applyAlignment="1" pivotButton="0" quotePrefix="0" xfId="0">
      <alignment horizontal="left" vertical="center" wrapText="1"/>
    </xf>
    <xf numFmtId="3" fontId="4" fillId="26" borderId="2" applyAlignment="1" pivotButton="0" quotePrefix="0" xfId="0">
      <alignment horizontal="right" vertical="center"/>
    </xf>
    <xf numFmtId="4" fontId="4" fillId="26" borderId="2" applyAlignment="1" pivotButton="0" quotePrefix="0" xfId="0">
      <alignment horizontal="right" vertical="center"/>
    </xf>
    <xf numFmtId="2" fontId="4" fillId="26" borderId="2" applyAlignment="1" pivotButton="0" quotePrefix="0" xfId="0">
      <alignment horizontal="right" vertical="center"/>
    </xf>
    <xf numFmtId="164" fontId="4" fillId="26" borderId="2" applyAlignment="1" pivotButton="0" quotePrefix="0" xfId="0">
      <alignment horizontal="right" vertical="center"/>
    </xf>
    <xf numFmtId="0" fontId="1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/>
    </xf>
    <xf numFmtId="4" fontId="5" fillId="7" borderId="2" applyAlignment="1" pivotButton="0" quotePrefix="0" xfId="0">
      <alignment horizontal="right" vertical="center"/>
    </xf>
    <xf numFmtId="0" fontId="5" fillId="10" borderId="2" applyAlignment="1" pivotButton="0" quotePrefix="0" xfId="0">
      <alignment horizontal="left" vertical="center"/>
    </xf>
    <xf numFmtId="4" fontId="5" fillId="10" borderId="2" applyAlignment="1" pivotButton="0" quotePrefix="0" xfId="0">
      <alignment horizontal="right" vertical="center"/>
    </xf>
    <xf numFmtId="0" fontId="16" fillId="29" borderId="1" applyAlignment="1" pivotButton="0" quotePrefix="0" xfId="0">
      <alignment horizontal="center" vertical="center" wrapText="1"/>
    </xf>
    <xf numFmtId="4" fontId="16" fillId="29" borderId="1" applyAlignment="1" pivotButton="0" quotePrefix="0" xfId="0">
      <alignment horizontal="right" vertical="center"/>
    </xf>
    <xf numFmtId="2" fontId="5" fillId="7" borderId="2" applyAlignment="1" pivotButton="0" quotePrefix="0" xfId="0">
      <alignment horizontal="right" vertical="center"/>
    </xf>
    <xf numFmtId="2" fontId="5" fillId="10" borderId="2" applyAlignment="1" pivotButton="0" quotePrefix="0" xfId="0">
      <alignment horizontal="right" vertical="center"/>
    </xf>
    <xf numFmtId="2" fontId="16" fillId="29" borderId="1" applyAlignment="1" pivotButton="0" quotePrefix="0" xfId="0">
      <alignment horizontal="right" vertical="center"/>
    </xf>
    <xf numFmtId="4" fontId="16" fillId="30" borderId="1" applyAlignment="1" pivotButton="0" quotePrefix="0" xfId="0">
      <alignment horizontal="right" vertical="center"/>
    </xf>
    <xf numFmtId="2" fontId="16" fillId="30" borderId="1" applyAlignment="1" pivotButton="0" quotePrefix="0" xfId="0">
      <alignment horizontal="right" vertical="center"/>
    </xf>
    <xf numFmtId="0" fontId="18" fillId="0" borderId="0" pivotButton="0" quotePrefix="0" xfId="0"/>
    <xf numFmtId="0" fontId="5" fillId="7" borderId="2" pivotButton="0" quotePrefix="0" xfId="0"/>
    <xf numFmtId="0" fontId="5" fillId="10" borderId="2" pivotButton="0" quotePrefix="0" xfId="0"/>
    <xf numFmtId="0" fontId="5" fillId="11" borderId="2" applyAlignment="1" pivotButton="0" quotePrefix="0" xfId="0">
      <alignment horizontal="left" vertical="center"/>
    </xf>
    <xf numFmtId="0" fontId="5" fillId="11" borderId="2" pivotButton="0" quotePrefix="0" xfId="0"/>
    <xf numFmtId="4" fontId="5" fillId="11" borderId="2" applyAlignment="1" pivotButton="0" quotePrefix="0" xfId="0">
      <alignment horizontal="right" vertical="center"/>
    </xf>
    <xf numFmtId="0" fontId="16" fillId="11" borderId="2" applyAlignment="1" pivotButton="0" quotePrefix="0" xfId="0">
      <alignment horizontal="left" vertical="center"/>
    </xf>
    <xf numFmtId="0" fontId="5" fillId="32" borderId="2" applyAlignment="1" pivotButton="0" quotePrefix="0" xfId="0">
      <alignment horizontal="left" vertical="center"/>
    </xf>
    <xf numFmtId="4" fontId="5" fillId="32" borderId="2" applyAlignment="1" pivotButton="0" quotePrefix="0" xfId="0">
      <alignment horizontal="right" vertical="center"/>
    </xf>
    <xf numFmtId="2" fontId="5" fillId="11" borderId="2" applyAlignment="1" pivotButton="0" quotePrefix="0" xfId="0">
      <alignment horizontal="right" vertical="center"/>
    </xf>
    <xf numFmtId="0" fontId="16" fillId="30" borderId="1" applyAlignment="1" pivotButton="0" quotePrefix="0" xfId="0">
      <alignment horizontal="center" vertical="center" wrapText="1"/>
    </xf>
    <xf numFmtId="49" fontId="5" fillId="11" borderId="2" applyAlignment="1" pivotButton="0" quotePrefix="0" xfId="0">
      <alignment horizontal="center" vertical="center" wrapText="1"/>
    </xf>
    <xf numFmtId="165" fontId="5" fillId="11" borderId="2" applyAlignment="1" pivotButton="0" quotePrefix="0" xfId="0">
      <alignment horizontal="right" vertical="center"/>
    </xf>
    <xf numFmtId="49" fontId="5" fillId="10" borderId="2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right" vertical="center"/>
    </xf>
    <xf numFmtId="165" fontId="16" fillId="30" borderId="1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wrapText="1"/>
    </xf>
    <xf numFmtId="0" fontId="7" fillId="2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15" borderId="0" applyAlignment="1" pivotButton="0" quotePrefix="0" xfId="0">
      <alignment horizontal="left" vertical="center" wrapText="1"/>
    </xf>
    <xf numFmtId="0" fontId="6" fillId="20" borderId="0" applyAlignment="1" pivotButton="0" quotePrefix="0" xfId="0">
      <alignment horizontal="left" vertical="center" wrapText="1"/>
    </xf>
    <xf numFmtId="0" fontId="7" fillId="21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1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19" fillId="0" borderId="0" applyAlignment="1" pivotButton="0" quotePrefix="0" xfId="0">
      <alignment horizontal="center" vertical="center" wrapText="1"/>
    </xf>
    <xf numFmtId="0" fontId="3" fillId="31" borderId="0" applyAlignment="1" pivotButton="0" quotePrefix="0" xfId="0">
      <alignment horizontal="left" vertical="center"/>
    </xf>
    <xf numFmtId="0" fontId="20" fillId="33" borderId="2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FFDE7"/>
      <rgbColor rgb="FF800000"/>
      <rgbColor rgb="FF37474F"/>
      <rgbColor rgb="FF000080"/>
      <rgbColor rgb="FF548235"/>
      <rgbColor rgb="FF800080"/>
      <rgbColor rgb="FF1F4E79"/>
      <rgbColor rgb="FFBBBBBB"/>
      <rgbColor rgb="FF555555"/>
      <rgbColor rgb="FFEBF3FB"/>
      <rgbColor rgb="FF7B3F00"/>
      <rgbColor rgb="FFFFFACD"/>
      <rgbColor rgb="FFE0F7FA"/>
      <rgbColor rgb="FF660066"/>
      <rgbColor rgb="FFF5F5F5"/>
      <rgbColor rgb="FF0563C1"/>
      <rgbColor rgb="FFCCCCCC"/>
      <rgbColor rgb="FF000080"/>
      <rgbColor rgb="FFFF00FF"/>
      <rgbColor rgb="FFFFF8DC"/>
      <rgbColor rgb="FF00FFFF"/>
      <rgbColor rgb="FF800080"/>
      <rgbColor rgb="FF800000"/>
      <rgbColor rgb="FF455A64"/>
      <rgbColor rgb="FF0000FF"/>
      <rgbColor rgb="FF00CCFF"/>
      <rgbColor rgb="FFDAEAF7"/>
      <rgbColor rgb="FFE2EFDA"/>
      <rgbColor rgb="FFFFF3B0"/>
      <rgbColor rgb="FFDDEBF7"/>
      <rgbColor rgb="FFFCE4D6"/>
      <rgbColor rgb="FFEDE7F6"/>
      <rgbColor rgb="FFFFE599"/>
      <rgbColor rgb="FF2E75B6"/>
      <rgbColor rgb="FFF0F7F0"/>
      <rgbColor rgb="FFE8F5E9"/>
      <rgbColor rgb="FFFFF3E0"/>
      <rgbColor rgb="FFB8860B"/>
      <rgbColor rgb="FFB85C00"/>
      <rgbColor rgb="FF595959"/>
      <rgbColor rgb="FFC49A6C"/>
      <rgbColor rgb="FF1A3A5C"/>
      <rgbColor rgb="FF339966"/>
      <rgbColor rgb="FF375623"/>
      <rgbColor rgb="FF4A2600"/>
      <rgbColor rgb="FF843C0C"/>
      <rgbColor rgb="FF444444"/>
      <rgbColor rgb="FF4B3280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CropCycleModelingTableUpdated" displayName="CropCycleModelingTableUpdated" ref="A1:AN459" headerRowCount="1">
  <autoFilter ref="A1:AN459"/>
  <tableColumns count="40">
    <tableColumn id="1" name="Crop Type"/>
    <tableColumn id="2" name="Barangay"/>
    <tableColumn id="3" name="Season / Period"/>
    <tableColumn id="4" name="Planting Month"/>
    <tableColumn id="5" name="Planting Year"/>
    <tableColumn id="6" name="Harvest Month"/>
    <tableColumn id="7" name="Harvest Year"/>
    <tableColumn id="8" name="Planting Rainfall (mm/day)"/>
    <tableColumn id="9" name="Planting Avg Temp (°C)"/>
    <tableColumn id="10" name="Planting Min Temp (°C)"/>
    <tableColumn id="11" name="Planting Max Temp (°C)"/>
    <tableColumn id="12" name="Planting Humidity (%)"/>
    <tableColumn id="13" name="Planting Surface Pressure (kPa)"/>
    <tableColumn id="14" name="Planting Solar Rad. (MJ/m²/day)"/>
    <tableColumn id="15" name="Harvest Rainfall (mm/day)"/>
    <tableColumn id="16" name="Harvest Avg Temp (°C)"/>
    <tableColumn id="17" name="Harvest Min Temp (°C)"/>
    <tableColumn id="18" name="Harvest Max Temp (°C)"/>
    <tableColumn id="19" name="Harvest Humidity (%)"/>
    <tableColumn id="20" name="Harvest Surface Pressure (kPa)"/>
    <tableColumn id="21" name="Harvest Solar Rad. (MJ/m²/day)"/>
    <tableColumn id="22" name="Climate Type"/>
    <tableColumn id="23" name="Planting Climate Season"/>
    <tableColumn id="24" name="Harvest Climate Season"/>
    <tableColumn id="25" name="Soil Type"/>
    <tableColumn id="26" name="Terrain Type"/>
    <tableColumn id="27" name="Elevation (m asl)"/>
    <tableColumn id="28" name="Nearest Water Body"/>
    <tableColumn id="29" name="Land Size (ha)"/>
    <tableColumn id="30" name="Irrigated Area (ha)"/>
    <tableColumn id="31" name="Rainfed Area (ha)"/>
    <tableColumn id="32" name="Total Area Planted (ha)"/>
    <tableColumn id="33" name="Primary Planting Technique"/>
    <tableColumn id="34" name="Tillage Method"/>
    <tableColumn id="35" name="Water Management"/>
    <tableColumn id="36" name="Area Harvested (ha)"/>
    <tableColumn id="37" name="Production (MT)"/>
    <tableColumn id="38" name="Yield (MT/ha)"/>
    <tableColumn id="39" name="Yield Imputed"/>
    <tableColumn id="40" name="Imputation Bas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power.larc.nasa.gov/" TargetMode="External" Id="rId1"/><Relationship Type="http://schemas.openxmlformats.org/officeDocument/2006/relationships/hyperlink" Target="https://www.pagasa.dost.gov.ph/" TargetMode="External" Id="rId2"/><Relationship Type="http://schemas.openxmlformats.org/officeDocument/2006/relationships/hyperlink" Target="https://www.pagasa.dost.gov.ph/climate/climate-of-the-philippines" TargetMode="External" Id="rId3"/><Relationship Type="http://schemas.openxmlformats.org/officeDocument/2006/relationships/hyperlink" Target="https://binalonan.gov.ph/" TargetMode="External" Id="rId4"/><Relationship Type="http://schemas.openxmlformats.org/officeDocument/2006/relationships/hyperlink" Target="https://www.namria.gov.ph/" TargetMode="External" Id="rId5"/><Relationship Type="http://schemas.openxmlformats.org/officeDocument/2006/relationships/hyperlink" Target="https://binalonan.gov.ph/" TargetMode="External" Id="rId6"/><Relationship Type="http://schemas.openxmlformats.org/officeDocument/2006/relationships/hyperlink" Target="https://imbalanced-learn.org/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://www.knowledgebank.irri.org/step-by-step-production" TargetMode="External" Id="rId1"/><Relationship Type="http://schemas.openxmlformats.org/officeDocument/2006/relationships/hyperlink" Target="http://knowledgebank.irri.org/images/docs/12-Steps-Required-for-Successful-Rice-Production.pdf" TargetMode="External" Id="rId2"/><Relationship Type="http://schemas.openxmlformats.org/officeDocument/2006/relationships/hyperlink" Target="https://www.sciencedirect.com/science/article/abs/pii/S1161030122001010" TargetMode="External" Id="rId3"/><Relationship Type="http://schemas.openxmlformats.org/officeDocument/2006/relationships/hyperlink" Target="https://www.philrice.gov.ph/recommended-varieties-technologies-rainy-season/" TargetMode="External" Id="rId4"/><Relationship Type="http://schemas.openxmlformats.org/officeDocument/2006/relationships/hyperlink" Target="https://sti-portal.fao.org/innovations/use-submergence-rice-variety-nsic-rc-194-counteract-impacts-flooding" TargetMode="External" Id="rId5"/><Relationship Type="http://schemas.openxmlformats.org/officeDocument/2006/relationships/hyperlink" Target="https://pidswebs.pids.gov.ph/CDN/PUBLICATIONS/pidsdps0514.pdf" TargetMode="External" Id="rId6"/><Relationship Type="http://schemas.openxmlformats.org/officeDocument/2006/relationships/hyperlink" Target="https://mb.com.ph/2023/8/2/rice-transplanting-methods-a-crucial-factor-for-successful-cultivation" TargetMode="External" Id="rId7"/><Relationship Type="http://schemas.openxmlformats.org/officeDocument/2006/relationships/hyperlink" Target="https://fieldcrops.cals.cornell.edu/corn/planting-techniques" TargetMode="External" Id="rId8"/><Relationship Type="http://schemas.openxmlformats.org/officeDocument/2006/relationships/hyperlink" Target="https://www.ncbi.nlm.nih.gov/pmc/articles/PMC4988967/" TargetMode="External" Id="rId9"/><Relationship Type="http://schemas.openxmlformats.org/officeDocument/2006/relationships/hyperlink" Target="https://www.ncbi.nlm.nih.gov/pmc/articles/PMC10057019/" TargetMode="External" Id="rId10"/><Relationship Type="http://schemas.openxmlformats.org/officeDocument/2006/relationships/hyperlink" Target="https://icar-crri.in/wp-content/uploads/2025/12/CRRI_Technology-Bulletin_No-250.pdf" TargetMode="External" Id="rId11"/><Relationship Type="http://schemas.openxmlformats.org/officeDocument/2006/relationships/hyperlink" Target="https://www.biorxiv.org/content/10.1101/2021.03.08.434354.full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7"/>
  <sheetViews>
    <sheetView topLeftCell="BJ1" zoomScaleNormal="100" workbookViewId="0">
      <pane ySplit="3" topLeftCell="A113" activePane="bottomLeft" state="frozen"/>
      <selection pane="bottomLeft" activeCell="Q20" sqref="Q20"/>
    </sheetView>
  </sheetViews>
  <sheetFormatPr baseColWidth="8" defaultColWidth="8.6640625" defaultRowHeight="14.4"/>
  <cols>
    <col width="10" customWidth="1" style="101" min="1" max="1"/>
    <col width="20" customWidth="1" style="101" min="2" max="2"/>
    <col width="11" customWidth="1" style="101" min="3" max="3"/>
    <col width="8" customWidth="1" style="101" min="4" max="4"/>
    <col width="14" customWidth="1" style="101" min="5" max="5"/>
    <col width="10" customWidth="1" style="101" min="6" max="6"/>
    <col width="12" customWidth="1" style="101" min="7" max="7"/>
    <col width="11" customWidth="1" style="101" min="8" max="11"/>
    <col width="13" customWidth="1" style="101" min="12" max="13"/>
    <col width="24" customWidth="1" style="101" min="14" max="14"/>
    <col width="13" customWidth="1" style="101" min="15" max="15"/>
    <col width="24" customWidth="1" style="101" min="16" max="17"/>
    <col width="11" customWidth="1" style="101" min="18" max="18"/>
    <col width="20" customWidth="1" style="101" min="19" max="19"/>
    <col width="12" customWidth="1" style="101" min="20" max="20"/>
    <col width="13" customWidth="1" style="101" min="21" max="25"/>
    <col width="12" customWidth="1" style="101" min="26" max="26"/>
    <col width="36" customWidth="1" style="101" min="27" max="27"/>
    <col width="38" customWidth="1" style="101" min="28" max="29"/>
  </cols>
  <sheetData>
    <row r="1" ht="30" customHeight="1" s="101">
      <c r="A1" s="100" t="inlineStr">
        <is>
          <t>Binalonan, Pangasinan — Central Agricultural Production Dataset</t>
        </is>
      </c>
    </row>
    <row r="2" ht="36" customHeight="1" s="101">
      <c r="A2" s="102" t="n"/>
    </row>
    <row r="3" ht="36" customHeight="1" s="101">
      <c r="A3" s="114" t="inlineStr">
        <is>
          <t>Crop
Type</t>
        </is>
      </c>
      <c r="B3" s="114" t="inlineStr">
        <is>
          <t>Barangay</t>
        </is>
      </c>
      <c r="C3" s="114" t="inlineStr">
        <is>
          <t>Month</t>
        </is>
      </c>
      <c r="D3" s="114" t="inlineStr">
        <is>
          <t>Year</t>
        </is>
      </c>
      <c r="E3" s="114" t="inlineStr">
        <is>
          <t>Season /
Period</t>
        </is>
      </c>
      <c r="F3" s="114" t="inlineStr">
        <is>
          <t>Phase</t>
        </is>
      </c>
      <c r="G3" s="2" t="inlineStr">
        <is>
          <t>Rainfall
(mm/day)</t>
        </is>
      </c>
      <c r="H3" s="2" t="inlineStr">
        <is>
          <t>Avg Temp
(°C)</t>
        </is>
      </c>
      <c r="I3" s="2" t="inlineStr">
        <is>
          <t>Min Temp
(°C)</t>
        </is>
      </c>
      <c r="J3" s="2" t="inlineStr">
        <is>
          <t>Max Temp
(°C)</t>
        </is>
      </c>
      <c r="K3" s="2" t="inlineStr">
        <is>
          <t>Humidity
(%)</t>
        </is>
      </c>
      <c r="L3" s="2" t="inlineStr">
        <is>
          <t>Surface
Pressure (kPa)</t>
        </is>
      </c>
      <c r="M3" s="2" t="inlineStr">
        <is>
          <t>Solar Rad.
(MJ/m²/day)</t>
        </is>
      </c>
      <c r="N3" s="2" t="inlineStr">
        <is>
          <t>Climate
Type</t>
        </is>
      </c>
      <c r="O3" s="2" t="inlineStr">
        <is>
          <t>Climate
Season</t>
        </is>
      </c>
      <c r="P3" s="3" t="inlineStr">
        <is>
          <t>Soil Type</t>
        </is>
      </c>
      <c r="Q3" s="3" t="inlineStr">
        <is>
          <t>Terrain Type</t>
        </is>
      </c>
      <c r="R3" s="3" t="inlineStr">
        <is>
          <t>Elevation
(m asl)</t>
        </is>
      </c>
      <c r="S3" s="3" t="inlineStr">
        <is>
          <t>Nearest
Water Body</t>
        </is>
      </c>
      <c r="T3" s="3" t="inlineStr">
        <is>
          <t>Land Size
(ha)</t>
        </is>
      </c>
      <c r="U3" s="4" t="inlineStr">
        <is>
          <t>Irrigated
Area (ha)</t>
        </is>
      </c>
      <c r="V3" s="4" t="inlineStr">
        <is>
          <t>Rainfed
Area (ha)</t>
        </is>
      </c>
      <c r="W3" s="4" t="inlineStr">
        <is>
          <t>Total Area
Planted (ha)</t>
        </is>
      </c>
      <c r="X3" s="4" t="inlineStr">
        <is>
          <t>Area
Harvested (ha)</t>
        </is>
      </c>
      <c r="Y3" s="4" t="inlineStr">
        <is>
          <t>Production
(MT)</t>
        </is>
      </c>
      <c r="Z3" s="4" t="inlineStr">
        <is>
          <t>Yield
(MT/ha)</t>
        </is>
      </c>
      <c r="AA3" s="5" t="inlineStr">
        <is>
          <t>Primary Planting
Technique</t>
        </is>
      </c>
      <c r="AB3" s="5" t="inlineStr">
        <is>
          <t>Tillage Method</t>
        </is>
      </c>
      <c r="AC3" s="5" t="inlineStr">
        <is>
          <t>Water Management</t>
        </is>
      </c>
    </row>
    <row r="4" ht="21.75" customHeight="1" s="101">
      <c r="A4" s="6" t="inlineStr">
        <is>
          <t>Palay</t>
        </is>
      </c>
      <c r="B4" s="6" t="inlineStr">
        <is>
          <t>Pasileng Norte</t>
        </is>
      </c>
      <c r="C4" s="6" t="inlineStr">
        <is>
          <t>January</t>
        </is>
      </c>
      <c r="D4" s="6" t="inlineStr">
        <is>
          <t>2007</t>
        </is>
      </c>
      <c r="E4" s="6" t="inlineStr">
        <is>
          <t>DS 2007</t>
        </is>
      </c>
      <c r="F4" s="6" t="inlineStr">
        <is>
          <t>Planting</t>
        </is>
      </c>
      <c r="G4" s="7" t="n">
        <v>0.4</v>
      </c>
      <c r="H4" s="8" t="n">
        <v>24.24</v>
      </c>
      <c r="I4" s="8" t="n">
        <v>16.82</v>
      </c>
      <c r="J4" s="8" t="n">
        <v>31.18</v>
      </c>
      <c r="K4" s="8" t="n">
        <v>79.65000000000001</v>
      </c>
      <c r="L4" s="8" t="n">
        <v>98.68000000000001</v>
      </c>
      <c r="M4" s="8" t="n">
        <v>16.49</v>
      </c>
      <c r="N4" s="6" t="inlineStr">
        <is>
          <t>Type I – Tropical Monsoon (PAGASA)</t>
        </is>
      </c>
      <c r="O4" s="6" t="inlineStr">
        <is>
          <t>Dry (Cool)</t>
        </is>
      </c>
      <c r="P4" s="6" t="inlineStr">
        <is>
          <t>Sandy Loam</t>
        </is>
      </c>
      <c r="Q4" s="6" t="inlineStr">
        <is>
          <t>Flat / Lowland</t>
        </is>
      </c>
      <c r="R4" s="9" t="n">
        <v>30</v>
      </c>
      <c r="S4" s="6" t="inlineStr">
        <is>
          <t>Tagamusing River</t>
        </is>
      </c>
      <c r="T4" s="10" t="n">
        <v>140.28</v>
      </c>
      <c r="U4" s="10" t="n">
        <v>6</v>
      </c>
      <c r="V4" s="10" t="n">
        <v>26.4</v>
      </c>
      <c r="W4" s="10" t="n">
        <v>69</v>
      </c>
      <c r="X4" s="10" t="n"/>
      <c r="Y4" s="10" t="n"/>
      <c r="Z4" s="11" t="n"/>
      <c r="AA4" s="12" t="inlineStr">
        <is>
          <t>Transplanting (Pindot) or Direct Seeding (Pinaghandaan)</t>
        </is>
      </c>
      <c r="AB4" s="12" t="inlineStr">
        <is>
          <t>Conventional Tillage: 2 plowings + 2 harrowings; soil workable when moist</t>
        </is>
      </c>
      <c r="AC4" s="12" t="inlineStr">
        <is>
          <t>Intermittent irrigation (Alternate Wetting and Drying — AWD); moderate retention</t>
        </is>
      </c>
    </row>
    <row r="5" ht="21.75" customHeight="1" s="101">
      <c r="A5" s="13" t="inlineStr">
        <is>
          <t>Palay</t>
        </is>
      </c>
      <c r="B5" s="13" t="inlineStr">
        <is>
          <t>Tabuyoc</t>
        </is>
      </c>
      <c r="C5" s="13" t="inlineStr">
        <is>
          <t>January</t>
        </is>
      </c>
      <c r="D5" s="13" t="inlineStr">
        <is>
          <t>2007</t>
        </is>
      </c>
      <c r="E5" s="13" t="inlineStr">
        <is>
          <t>DS 2007</t>
        </is>
      </c>
      <c r="F5" s="13" t="inlineStr">
        <is>
          <t>Planting</t>
        </is>
      </c>
      <c r="G5" s="7" t="n">
        <v>0.4</v>
      </c>
      <c r="H5" s="8" t="n">
        <v>24.24</v>
      </c>
      <c r="I5" s="8" t="n">
        <v>16.82</v>
      </c>
      <c r="J5" s="8" t="n">
        <v>31.18</v>
      </c>
      <c r="K5" s="8" t="n">
        <v>79.65000000000001</v>
      </c>
      <c r="L5" s="8" t="n">
        <v>98.68000000000001</v>
      </c>
      <c r="M5" s="8" t="n">
        <v>16.49</v>
      </c>
      <c r="N5" s="13" t="inlineStr">
        <is>
          <t>Type I – Tropical Monsoon (PAGASA)</t>
        </is>
      </c>
      <c r="O5" s="13" t="inlineStr">
        <is>
          <t>Dry (Cool)</t>
        </is>
      </c>
      <c r="P5" s="13" t="inlineStr">
        <is>
          <t>Silty Clay Loam</t>
        </is>
      </c>
      <c r="Q5" s="13" t="inlineStr">
        <is>
          <t>Flat / Lowland</t>
        </is>
      </c>
      <c r="R5" s="14" t="n">
        <v>30</v>
      </c>
      <c r="S5" s="13" t="inlineStr">
        <is>
          <t>—</t>
        </is>
      </c>
      <c r="T5" s="15" t="n">
        <v>277.2</v>
      </c>
      <c r="U5" s="15" t="n">
        <v>10</v>
      </c>
      <c r="V5" s="15" t="n">
        <v>81.66</v>
      </c>
      <c r="W5" s="15" t="n">
        <v>59</v>
      </c>
      <c r="X5" s="15" t="n"/>
      <c r="Y5" s="15" t="n"/>
      <c r="Z5" s="16" t="n"/>
      <c r="AA5" s="17" t="inlineStr">
        <is>
          <t>Transplanting (Pindot) — optimal for clay-loam paddy fields</t>
        </is>
      </c>
      <c r="AB5" s="17" t="inlineStr">
        <is>
          <t>Wet Tillage (Puddling): 2 plowings + thorough harrowing under flooded condition</t>
        </is>
      </c>
      <c r="AC5" s="17" t="inlineStr">
        <is>
          <t>Continuous flooding 2–5 cm depth during vegetative stage; drain 2 weeks before harvest</t>
        </is>
      </c>
    </row>
    <row r="6" ht="21.75" customHeight="1" s="101">
      <c r="A6" s="6" t="inlineStr">
        <is>
          <t>Palay</t>
        </is>
      </c>
      <c r="B6" s="6" t="inlineStr">
        <is>
          <t>Bued</t>
        </is>
      </c>
      <c r="C6" s="6" t="inlineStr">
        <is>
          <t>January</t>
        </is>
      </c>
      <c r="D6" s="6" t="inlineStr">
        <is>
          <t>2007</t>
        </is>
      </c>
      <c r="E6" s="6" t="inlineStr">
        <is>
          <t>DS 2007</t>
        </is>
      </c>
      <c r="F6" s="6" t="inlineStr">
        <is>
          <t>Planting</t>
        </is>
      </c>
      <c r="G6" s="7" t="n">
        <v>0.4</v>
      </c>
      <c r="H6" s="8" t="n">
        <v>24.24</v>
      </c>
      <c r="I6" s="8" t="n">
        <v>16.82</v>
      </c>
      <c r="J6" s="8" t="n">
        <v>31.18</v>
      </c>
      <c r="K6" s="8" t="n">
        <v>79.65000000000001</v>
      </c>
      <c r="L6" s="8" t="n">
        <v>98.68000000000001</v>
      </c>
      <c r="M6" s="8" t="n">
        <v>16.49</v>
      </c>
      <c r="N6" s="6" t="inlineStr">
        <is>
          <t>Type I – Tropical Monsoon (PAGASA)</t>
        </is>
      </c>
      <c r="O6" s="6" t="inlineStr">
        <is>
          <t>Dry (Cool)</t>
        </is>
      </c>
      <c r="P6" s="6" t="inlineStr">
        <is>
          <t>Silty Clay Loam</t>
        </is>
      </c>
      <c r="Q6" s="6" t="inlineStr">
        <is>
          <t>Flat / Lowland</t>
        </is>
      </c>
      <c r="R6" s="9" t="n">
        <v>30</v>
      </c>
      <c r="S6" s="6" t="inlineStr">
        <is>
          <t>Tagamusing River</t>
        </is>
      </c>
      <c r="T6" s="10" t="n">
        <v>210.84</v>
      </c>
      <c r="U6" s="10" t="n">
        <v>2</v>
      </c>
      <c r="V6" s="10" t="n">
        <v>35.32</v>
      </c>
      <c r="W6" s="10" t="n">
        <v>34.1</v>
      </c>
      <c r="X6" s="10" t="n"/>
      <c r="Y6" s="10" t="n"/>
      <c r="Z6" s="11" t="n"/>
      <c r="AA6" s="12" t="inlineStr">
        <is>
          <t>Transplanting (Pindot) — optimal for clay-loam paddy fields</t>
        </is>
      </c>
      <c r="AB6" s="12" t="inlineStr">
        <is>
          <t>Wet Tillage (Puddling): 2 plowings + thorough harrowing under flooded condition</t>
        </is>
      </c>
      <c r="AC6" s="12" t="inlineStr">
        <is>
          <t>Continuous flooding 2–5 cm depth during vegetative stage; drain 2 weeks before harvest</t>
        </is>
      </c>
    </row>
    <row r="7" ht="21.75" customHeight="1" s="101">
      <c r="A7" s="13" t="inlineStr">
        <is>
          <t>Palay</t>
        </is>
      </c>
      <c r="B7" s="13" t="inlineStr">
        <is>
          <t>Dumayat</t>
        </is>
      </c>
      <c r="C7" s="13" t="inlineStr">
        <is>
          <t>January</t>
        </is>
      </c>
      <c r="D7" s="13" t="inlineStr">
        <is>
          <t>2007</t>
        </is>
      </c>
      <c r="E7" s="13" t="inlineStr">
        <is>
          <t>DS 2007</t>
        </is>
      </c>
      <c r="F7" s="13" t="inlineStr">
        <is>
          <t>Planting</t>
        </is>
      </c>
      <c r="G7" s="7" t="n">
        <v>0.4</v>
      </c>
      <c r="H7" s="8" t="n">
        <v>24.24</v>
      </c>
      <c r="I7" s="8" t="n">
        <v>16.82</v>
      </c>
      <c r="J7" s="8" t="n">
        <v>31.18</v>
      </c>
      <c r="K7" s="8" t="n">
        <v>79.65000000000001</v>
      </c>
      <c r="L7" s="8" t="n">
        <v>98.68000000000001</v>
      </c>
      <c r="M7" s="8" t="n">
        <v>16.49</v>
      </c>
      <c r="N7" s="13" t="inlineStr">
        <is>
          <t>Type I – Tropical Monsoon (PAGASA)</t>
        </is>
      </c>
      <c r="O7" s="13" t="inlineStr">
        <is>
          <t>Dry (Cool)</t>
        </is>
      </c>
      <c r="P7" s="13" t="inlineStr">
        <is>
          <t>Silty Clay Loam</t>
        </is>
      </c>
      <c r="Q7" s="13" t="inlineStr">
        <is>
          <t>Flat / Lowland</t>
        </is>
      </c>
      <c r="R7" s="14" t="n">
        <v>30</v>
      </c>
      <c r="S7" s="13" t="inlineStr">
        <is>
          <t>—</t>
        </is>
      </c>
      <c r="T7" s="15" t="n">
        <v>266.28</v>
      </c>
      <c r="U7" s="15" t="n">
        <v>2</v>
      </c>
      <c r="V7" s="15" t="n">
        <v>35.32</v>
      </c>
      <c r="W7" s="15" t="n">
        <v>12.25</v>
      </c>
      <c r="X7" s="15" t="n"/>
      <c r="Y7" s="15" t="n"/>
      <c r="Z7" s="16" t="n"/>
      <c r="AA7" s="17" t="inlineStr">
        <is>
          <t>Transplanting (Pindot) — optimal for clay-loam paddy fields</t>
        </is>
      </c>
      <c r="AB7" s="17" t="inlineStr">
        <is>
          <t>Wet Tillage (Puddling): 2 plowings + thorough harrowing under flooded condition</t>
        </is>
      </c>
      <c r="AC7" s="17" t="inlineStr">
        <is>
          <t>Continuous flooding 2–5 cm depth during vegetative stage; drain 2 weeks before harvest</t>
        </is>
      </c>
    </row>
    <row r="8" ht="21.75" customHeight="1" s="101">
      <c r="A8" s="6" t="inlineStr">
        <is>
          <t>Palay</t>
        </is>
      </c>
      <c r="B8" s="6" t="inlineStr">
        <is>
          <t>Camanggaan</t>
        </is>
      </c>
      <c r="C8" s="6" t="inlineStr">
        <is>
          <t>January</t>
        </is>
      </c>
      <c r="D8" s="6" t="inlineStr">
        <is>
          <t>2007</t>
        </is>
      </c>
      <c r="E8" s="6" t="inlineStr">
        <is>
          <t>DS 2007</t>
        </is>
      </c>
      <c r="F8" s="6" t="inlineStr">
        <is>
          <t>Planting</t>
        </is>
      </c>
      <c r="G8" s="7" t="n">
        <v>0.4</v>
      </c>
      <c r="H8" s="8" t="n">
        <v>24.24</v>
      </c>
      <c r="I8" s="8" t="n">
        <v>16.82</v>
      </c>
      <c r="J8" s="8" t="n">
        <v>31.18</v>
      </c>
      <c r="K8" s="8" t="n">
        <v>79.65000000000001</v>
      </c>
      <c r="L8" s="8" t="n">
        <v>98.68000000000001</v>
      </c>
      <c r="M8" s="8" t="n">
        <v>16.49</v>
      </c>
      <c r="N8" s="6" t="inlineStr">
        <is>
          <t>Type I – Tropical Monsoon (PAGASA)</t>
        </is>
      </c>
      <c r="O8" s="6" t="inlineStr">
        <is>
          <t>Dry (Cool)</t>
        </is>
      </c>
      <c r="P8" s="6" t="inlineStr">
        <is>
          <t>Sandy Loam</t>
        </is>
      </c>
      <c r="Q8" s="6" t="inlineStr">
        <is>
          <t>Flat / Lowland</t>
        </is>
      </c>
      <c r="R8" s="9" t="n">
        <v>30</v>
      </c>
      <c r="S8" s="6" t="inlineStr">
        <is>
          <t>—</t>
        </is>
      </c>
      <c r="T8" s="10" t="n">
        <v>244.44</v>
      </c>
      <c r="U8" s="10" t="n">
        <v>5.43</v>
      </c>
      <c r="V8" s="10" t="n">
        <v>52.42</v>
      </c>
      <c r="W8" s="10" t="n">
        <v>38.83</v>
      </c>
      <c r="X8" s="10" t="n"/>
      <c r="Y8" s="10" t="n"/>
      <c r="Z8" s="11" t="n"/>
      <c r="AA8" s="12" t="inlineStr">
        <is>
          <t>Transplanting (Pindot) or Direct Seeding (Pinaghandaan)</t>
        </is>
      </c>
      <c r="AB8" s="12" t="inlineStr">
        <is>
          <t>Conventional Tillage: 2 plowings + 2 harrowings; soil workable when moist</t>
        </is>
      </c>
      <c r="AC8" s="12" t="inlineStr">
        <is>
          <t>Intermittent irrigation (Alternate Wetting and Drying — AWD); moderate retention</t>
        </is>
      </c>
    </row>
    <row r="9" ht="21.75" customHeight="1" s="101">
      <c r="A9" s="13" t="inlineStr">
        <is>
          <t>Palay</t>
        </is>
      </c>
      <c r="B9" s="13" t="inlineStr">
        <is>
          <t>Bugayong</t>
        </is>
      </c>
      <c r="C9" s="13" t="inlineStr">
        <is>
          <t>January</t>
        </is>
      </c>
      <c r="D9" s="13" t="inlineStr">
        <is>
          <t>2007</t>
        </is>
      </c>
      <c r="E9" s="13" t="inlineStr">
        <is>
          <t>DS 2007</t>
        </is>
      </c>
      <c r="F9" s="13" t="inlineStr">
        <is>
          <t>Planting</t>
        </is>
      </c>
      <c r="G9" s="7" t="n">
        <v>0.4</v>
      </c>
      <c r="H9" s="8" t="n">
        <v>24.24</v>
      </c>
      <c r="I9" s="8" t="n">
        <v>16.82</v>
      </c>
      <c r="J9" s="8" t="n">
        <v>31.18</v>
      </c>
      <c r="K9" s="8" t="n">
        <v>79.65000000000001</v>
      </c>
      <c r="L9" s="8" t="n">
        <v>98.68000000000001</v>
      </c>
      <c r="M9" s="8" t="n">
        <v>16.49</v>
      </c>
      <c r="N9" s="13" t="inlineStr">
        <is>
          <t>Type I – Tropical Monsoon (PAGASA)</t>
        </is>
      </c>
      <c r="O9" s="13" t="inlineStr">
        <is>
          <t>Dry (Cool)</t>
        </is>
      </c>
      <c r="P9" s="13" t="inlineStr">
        <is>
          <t>Sandy Loam / Silty Clay Loam</t>
        </is>
      </c>
      <c r="Q9" s="13" t="inlineStr">
        <is>
          <t>Flat / Lowland</t>
        </is>
      </c>
      <c r="R9" s="14" t="n">
        <v>30</v>
      </c>
      <c r="S9" s="13" t="inlineStr">
        <is>
          <t>Aloragat River</t>
        </is>
      </c>
      <c r="T9" s="15" t="n">
        <v>346.08</v>
      </c>
      <c r="U9" s="15" t="n">
        <v>2</v>
      </c>
      <c r="V9" s="15" t="n">
        <v>41.02</v>
      </c>
      <c r="W9" s="15" t="n">
        <v>20</v>
      </c>
      <c r="X9" s="15" t="n"/>
      <c r="Y9" s="15" t="n"/>
      <c r="Z9" s="16" t="n"/>
      <c r="AA9" s="17" t="inlineStr">
        <is>
          <t>Transplanting (Pindot) — recommended; Direct Seeding possible in dry season</t>
        </is>
      </c>
      <c r="AB9" s="17" t="inlineStr">
        <is>
          <t>Conventional Tillage: 2 plowings + harrowing; puddle thoroughly for transplanting</t>
        </is>
      </c>
      <c r="AC9" s="17" t="inlineStr">
        <is>
          <t>Intermittent to continuous flooding; manage according to drainage section present</t>
        </is>
      </c>
    </row>
    <row r="10" ht="21.75" customHeight="1" s="101">
      <c r="A10" s="6" t="inlineStr">
        <is>
          <t>Palay</t>
        </is>
      </c>
      <c r="B10" s="6" t="inlineStr">
        <is>
          <t>Vacante</t>
        </is>
      </c>
      <c r="C10" s="6" t="inlineStr">
        <is>
          <t>January</t>
        </is>
      </c>
      <c r="D10" s="6" t="inlineStr">
        <is>
          <t>2007</t>
        </is>
      </c>
      <c r="E10" s="6" t="inlineStr">
        <is>
          <t>DS 2007</t>
        </is>
      </c>
      <c r="F10" s="6" t="inlineStr">
        <is>
          <t>Planting</t>
        </is>
      </c>
      <c r="G10" s="7" t="n">
        <v>0.4</v>
      </c>
      <c r="H10" s="8" t="n">
        <v>24.24</v>
      </c>
      <c r="I10" s="8" t="n">
        <v>16.82</v>
      </c>
      <c r="J10" s="8" t="n">
        <v>31.18</v>
      </c>
      <c r="K10" s="8" t="n">
        <v>79.65000000000001</v>
      </c>
      <c r="L10" s="8" t="n">
        <v>98.68000000000001</v>
      </c>
      <c r="M10" s="8" t="n">
        <v>16.49</v>
      </c>
      <c r="N10" s="6" t="inlineStr">
        <is>
          <t>Type I – Tropical Monsoon (PAGASA)</t>
        </is>
      </c>
      <c r="O10" s="6" t="inlineStr">
        <is>
          <t>Dry (Cool)</t>
        </is>
      </c>
      <c r="P10" s="6" t="inlineStr">
        <is>
          <t>Silty Clay Loam</t>
        </is>
      </c>
      <c r="Q10" s="6" t="inlineStr">
        <is>
          <t>Flat / Lowland</t>
        </is>
      </c>
      <c r="R10" s="9" t="n">
        <v>30</v>
      </c>
      <c r="S10" s="6" t="inlineStr">
        <is>
          <t>Aloragat River</t>
        </is>
      </c>
      <c r="T10" s="10" t="n">
        <v>484.68</v>
      </c>
      <c r="U10" s="10" t="n">
        <v>20.06</v>
      </c>
      <c r="V10" s="10" t="n">
        <v>81.66</v>
      </c>
      <c r="W10" s="10" t="n">
        <v>33.83</v>
      </c>
      <c r="X10" s="10" t="n"/>
      <c r="Y10" s="10" t="n"/>
      <c r="Z10" s="11" t="n"/>
      <c r="AA10" s="12" t="inlineStr">
        <is>
          <t>Transplanting (Pindot) — optimal for clay-loam paddy fields</t>
        </is>
      </c>
      <c r="AB10" s="12" t="inlineStr">
        <is>
          <t>Wet Tillage (Puddling): 2 plowings + thorough harrowing under flooded condition</t>
        </is>
      </c>
      <c r="AC10" s="12" t="inlineStr">
        <is>
          <t>Continuous flooding 2–5 cm depth during vegetative stage; drain 2 weeks before harvest</t>
        </is>
      </c>
    </row>
    <row r="11" ht="21.75" customHeight="1" s="101">
      <c r="A11" s="13" t="inlineStr">
        <is>
          <t>Palay</t>
        </is>
      </c>
      <c r="B11" s="13" t="inlineStr">
        <is>
          <t>Sta. Catalina</t>
        </is>
      </c>
      <c r="C11" s="13" t="inlineStr">
        <is>
          <t>January</t>
        </is>
      </c>
      <c r="D11" s="13" t="inlineStr">
        <is>
          <t>2007</t>
        </is>
      </c>
      <c r="E11" s="13" t="inlineStr">
        <is>
          <t>DS 2007</t>
        </is>
      </c>
      <c r="F11" s="13" t="inlineStr">
        <is>
          <t>Planting</t>
        </is>
      </c>
      <c r="G11" s="7" t="n">
        <v>0.4</v>
      </c>
      <c r="H11" s="8" t="n">
        <v>24.24</v>
      </c>
      <c r="I11" s="8" t="n">
        <v>16.82</v>
      </c>
      <c r="J11" s="8" t="n">
        <v>31.18</v>
      </c>
      <c r="K11" s="8" t="n">
        <v>79.65000000000001</v>
      </c>
      <c r="L11" s="8" t="n">
        <v>98.68000000000001</v>
      </c>
      <c r="M11" s="8" t="n">
        <v>16.49</v>
      </c>
      <c r="N11" s="13" t="inlineStr">
        <is>
          <t>Type I – Tropical Monsoon (PAGASA)</t>
        </is>
      </c>
      <c r="O11" s="13" t="inlineStr">
        <is>
          <t>Dry (Cool)</t>
        </is>
      </c>
      <c r="P11" s="13" t="inlineStr">
        <is>
          <t>Fine Sand / Sandy Loam</t>
        </is>
      </c>
      <c r="Q11" s="13" t="inlineStr">
        <is>
          <t>Moderately Sloping / Highland</t>
        </is>
      </c>
      <c r="R11" s="14" t="n">
        <v>90</v>
      </c>
      <c r="S11" s="13" t="inlineStr">
        <is>
          <t>—</t>
        </is>
      </c>
      <c r="T11" s="15" t="n">
        <v>709.8</v>
      </c>
      <c r="U11" s="15" t="n">
        <v>2</v>
      </c>
      <c r="V11" s="15" t="n">
        <v>145.04</v>
      </c>
      <c r="W11" s="15" t="n">
        <v>41.37</v>
      </c>
      <c r="X11" s="15" t="n"/>
      <c r="Y11" s="15" t="n"/>
      <c r="Z11" s="16" t="n"/>
      <c r="AA11" s="17" t="inlineStr">
        <is>
          <t>Transplanting (Pindot)</t>
        </is>
      </c>
      <c r="AB11" s="17" t="inlineStr">
        <is>
          <t>Minimum Tillage (avoid compaction; sandy structure fragile)</t>
        </is>
      </c>
      <c r="AC11" s="17" t="inlineStr">
        <is>
          <t>Continuous flooding or frequent irrigation; high percolation risk; terrace or bund-assisted water retention essential on slopes</t>
        </is>
      </c>
    </row>
    <row r="12" ht="21.75" customHeight="1" s="101">
      <c r="A12" s="6" t="inlineStr">
        <is>
          <t>Palay</t>
        </is>
      </c>
      <c r="B12" s="6" t="inlineStr">
        <is>
          <t>Moreno</t>
        </is>
      </c>
      <c r="C12" s="6" t="inlineStr">
        <is>
          <t>January</t>
        </is>
      </c>
      <c r="D12" s="6" t="inlineStr">
        <is>
          <t>2007</t>
        </is>
      </c>
      <c r="E12" s="6" t="inlineStr">
        <is>
          <t>DS 2007</t>
        </is>
      </c>
      <c r="F12" s="6" t="inlineStr">
        <is>
          <t>Planting</t>
        </is>
      </c>
      <c r="G12" s="7" t="n">
        <v>0.4</v>
      </c>
      <c r="H12" s="8" t="n">
        <v>24.24</v>
      </c>
      <c r="I12" s="8" t="n">
        <v>16.82</v>
      </c>
      <c r="J12" s="8" t="n">
        <v>31.18</v>
      </c>
      <c r="K12" s="8" t="n">
        <v>79.65000000000001</v>
      </c>
      <c r="L12" s="8" t="n">
        <v>98.68000000000001</v>
      </c>
      <c r="M12" s="8" t="n">
        <v>16.49</v>
      </c>
      <c r="N12" s="6" t="inlineStr">
        <is>
          <t>Type I – Tropical Monsoon (PAGASA)</t>
        </is>
      </c>
      <c r="O12" s="6" t="inlineStr">
        <is>
          <t>Dry (Cool)</t>
        </is>
      </c>
      <c r="P12" s="6" t="inlineStr">
        <is>
          <t>Sandy Loam</t>
        </is>
      </c>
      <c r="Q12" s="6" t="inlineStr">
        <is>
          <t>Moderately Sloping / Highland</t>
        </is>
      </c>
      <c r="R12" s="9" t="n">
        <v>90</v>
      </c>
      <c r="S12" s="6" t="inlineStr">
        <is>
          <t>Alibeng River</t>
        </is>
      </c>
      <c r="T12" s="10" t="n">
        <v>641.76</v>
      </c>
      <c r="U12" s="10" t="n">
        <v>2</v>
      </c>
      <c r="V12" s="10" t="n">
        <v>135.56</v>
      </c>
      <c r="W12" s="10" t="n">
        <v>28.92</v>
      </c>
      <c r="X12" s="10" t="n"/>
      <c r="Y12" s="10" t="n"/>
      <c r="Z12" s="11" t="n"/>
      <c r="AA12" s="12" t="inlineStr">
        <is>
          <t>Transplanting (Pindot) or Direct Seeding (Pinaghandaan)</t>
        </is>
      </c>
      <c r="AB12" s="12" t="inlineStr">
        <is>
          <t>Conventional Tillage: 2 plowings + 2 harrowings; soil workable when moist</t>
        </is>
      </c>
      <c r="AC12" s="12" t="inlineStr">
        <is>
          <t>Intermittent irrigation (Alternate Wetting and Drying — AWD); moderate retention; terrace or bund-assisted water retention essential on slopes</t>
        </is>
      </c>
    </row>
    <row r="13" ht="21.75" customHeight="1" s="101">
      <c r="A13" s="13" t="inlineStr">
        <is>
          <t>Palay</t>
        </is>
      </c>
      <c r="B13" s="13" t="inlineStr">
        <is>
          <t>Cili</t>
        </is>
      </c>
      <c r="C13" s="13" t="inlineStr">
        <is>
          <t>January</t>
        </is>
      </c>
      <c r="D13" s="13" t="inlineStr">
        <is>
          <t>2007</t>
        </is>
      </c>
      <c r="E13" s="13" t="inlineStr">
        <is>
          <t>DS 2007</t>
        </is>
      </c>
      <c r="F13" s="13" t="inlineStr">
        <is>
          <t>Planting</t>
        </is>
      </c>
      <c r="G13" s="7" t="n">
        <v>0.4</v>
      </c>
      <c r="H13" s="8" t="n">
        <v>24.24</v>
      </c>
      <c r="I13" s="8" t="n">
        <v>16.82</v>
      </c>
      <c r="J13" s="8" t="n">
        <v>31.18</v>
      </c>
      <c r="K13" s="8" t="n">
        <v>79.65000000000001</v>
      </c>
      <c r="L13" s="8" t="n">
        <v>98.68000000000001</v>
      </c>
      <c r="M13" s="8" t="n">
        <v>16.49</v>
      </c>
      <c r="N13" s="13" t="inlineStr">
        <is>
          <t>Type I – Tropical Monsoon (PAGASA)</t>
        </is>
      </c>
      <c r="O13" s="13" t="inlineStr">
        <is>
          <t>Dry (Cool)</t>
        </is>
      </c>
      <c r="P13" s="13" t="inlineStr">
        <is>
          <t>Silty Clay Loam</t>
        </is>
      </c>
      <c r="Q13" s="13" t="inlineStr">
        <is>
          <t>Flat / Lowland</t>
        </is>
      </c>
      <c r="R13" s="14" t="n">
        <v>30</v>
      </c>
      <c r="S13" s="13" t="inlineStr">
        <is>
          <t>Alibeng River</t>
        </is>
      </c>
      <c r="T13" s="15" t="n">
        <v>264.6</v>
      </c>
      <c r="U13" s="15" t="n">
        <v>2</v>
      </c>
      <c r="V13" s="15" t="n">
        <v>35.32</v>
      </c>
      <c r="W13" s="15" t="n">
        <v>14</v>
      </c>
      <c r="X13" s="15" t="n"/>
      <c r="Y13" s="15" t="n"/>
      <c r="Z13" s="16" t="n"/>
      <c r="AA13" s="17" t="inlineStr">
        <is>
          <t>Transplanting (Pindot) — optimal for clay-loam paddy fields</t>
        </is>
      </c>
      <c r="AB13" s="17" t="inlineStr">
        <is>
          <t>Wet Tillage (Puddling): 2 plowings + thorough harrowing under flooded condition</t>
        </is>
      </c>
      <c r="AC13" s="17" t="inlineStr">
        <is>
          <t>Continuous flooding 2–5 cm depth during vegetative stage; drain 2 weeks before harvest</t>
        </is>
      </c>
    </row>
    <row r="14" ht="21.75" customHeight="1" s="101">
      <c r="A14" s="6" t="inlineStr">
        <is>
          <t>Palay</t>
        </is>
      </c>
      <c r="B14" s="6" t="inlineStr">
        <is>
          <t>San Pablo</t>
        </is>
      </c>
      <c r="C14" s="6" t="inlineStr">
        <is>
          <t>January</t>
        </is>
      </c>
      <c r="D14" s="6" t="inlineStr">
        <is>
          <t>2007</t>
        </is>
      </c>
      <c r="E14" s="6" t="inlineStr">
        <is>
          <t>DS 2007</t>
        </is>
      </c>
      <c r="F14" s="6" t="inlineStr">
        <is>
          <t>Planting</t>
        </is>
      </c>
      <c r="G14" s="7" t="n">
        <v>0.4</v>
      </c>
      <c r="H14" s="8" t="n">
        <v>24.24</v>
      </c>
      <c r="I14" s="8" t="n">
        <v>16.82</v>
      </c>
      <c r="J14" s="8" t="n">
        <v>31.18</v>
      </c>
      <c r="K14" s="8" t="n">
        <v>79.65000000000001</v>
      </c>
      <c r="L14" s="8" t="n">
        <v>98.68000000000001</v>
      </c>
      <c r="M14" s="8" t="n">
        <v>16.49</v>
      </c>
      <c r="N14" s="6" t="inlineStr">
        <is>
          <t>Type I – Tropical Monsoon (PAGASA)</t>
        </is>
      </c>
      <c r="O14" s="6" t="inlineStr">
        <is>
          <t>Dry (Cool)</t>
        </is>
      </c>
      <c r="P14" s="6" t="inlineStr">
        <is>
          <t>Sandy Loam</t>
        </is>
      </c>
      <c r="Q14" s="6" t="inlineStr">
        <is>
          <t>Flat / Lowland</t>
        </is>
      </c>
      <c r="R14" s="9" t="n">
        <v>30</v>
      </c>
      <c r="S14" s="6" t="inlineStr">
        <is>
          <t>San Pablo Creek</t>
        </is>
      </c>
      <c r="T14" s="10" t="n">
        <v>215.04</v>
      </c>
      <c r="U14" s="10" t="n">
        <v>5</v>
      </c>
      <c r="V14" s="10" t="n">
        <v>20.7</v>
      </c>
      <c r="W14" s="10" t="n">
        <v>39</v>
      </c>
      <c r="X14" s="10" t="n"/>
      <c r="Y14" s="10" t="n"/>
      <c r="Z14" s="11" t="n"/>
      <c r="AA14" s="12" t="inlineStr">
        <is>
          <t>Transplanting (Pindot) or Direct Seeding (Pinaghandaan)</t>
        </is>
      </c>
      <c r="AB14" s="12" t="inlineStr">
        <is>
          <t>Conventional Tillage: 2 plowings + 2 harrowings; soil workable when moist</t>
        </is>
      </c>
      <c r="AC14" s="12" t="inlineStr">
        <is>
          <t>Intermittent irrigation (Alternate Wetting and Drying — AWD); moderate retention</t>
        </is>
      </c>
    </row>
    <row r="15" ht="21.75" customHeight="1" s="101">
      <c r="A15" s="13" t="inlineStr">
        <is>
          <t>Palay</t>
        </is>
      </c>
      <c r="B15" s="13" t="inlineStr">
        <is>
          <t>Balangobong</t>
        </is>
      </c>
      <c r="C15" s="13" t="inlineStr">
        <is>
          <t>January</t>
        </is>
      </c>
      <c r="D15" s="13" t="inlineStr">
        <is>
          <t>2007</t>
        </is>
      </c>
      <c r="E15" s="13" t="inlineStr">
        <is>
          <t>DS 2007</t>
        </is>
      </c>
      <c r="F15" s="13" t="inlineStr">
        <is>
          <t>Planting</t>
        </is>
      </c>
      <c r="G15" s="7" t="n">
        <v>0.4</v>
      </c>
      <c r="H15" s="8" t="n">
        <v>24.24</v>
      </c>
      <c r="I15" s="8" t="n">
        <v>16.82</v>
      </c>
      <c r="J15" s="8" t="n">
        <v>31.18</v>
      </c>
      <c r="K15" s="8" t="n">
        <v>79.65000000000001</v>
      </c>
      <c r="L15" s="8" t="n">
        <v>98.68000000000001</v>
      </c>
      <c r="M15" s="8" t="n">
        <v>16.49</v>
      </c>
      <c r="N15" s="13" t="inlineStr">
        <is>
          <t>Type I – Tropical Monsoon (PAGASA)</t>
        </is>
      </c>
      <c r="O15" s="13" t="inlineStr">
        <is>
          <t>Dry (Cool)</t>
        </is>
      </c>
      <c r="P15" s="13" t="inlineStr">
        <is>
          <t>Silty Clay Loam</t>
        </is>
      </c>
      <c r="Q15" s="13" t="inlineStr">
        <is>
          <t>Flat / Lowland</t>
        </is>
      </c>
      <c r="R15" s="14" t="n">
        <v>30</v>
      </c>
      <c r="S15" s="13" t="inlineStr">
        <is>
          <t>—</t>
        </is>
      </c>
      <c r="T15" s="15" t="n">
        <v>281.4</v>
      </c>
      <c r="U15" s="15" t="n">
        <v>4</v>
      </c>
      <c r="V15" s="15" t="n">
        <v>35.32</v>
      </c>
      <c r="W15" s="15" t="n">
        <v>24</v>
      </c>
      <c r="X15" s="15" t="n"/>
      <c r="Y15" s="15" t="n"/>
      <c r="Z15" s="16" t="n"/>
      <c r="AA15" s="17" t="inlineStr">
        <is>
          <t>Transplanting (Pindot) — optimal for clay-loam paddy fields</t>
        </is>
      </c>
      <c r="AB15" s="17" t="inlineStr">
        <is>
          <t>Wet Tillage (Puddling): 2 plowings + thorough harrowing under flooded condition</t>
        </is>
      </c>
      <c r="AC15" s="17" t="inlineStr">
        <is>
          <t>Continuous flooding 2–5 cm depth during vegetative stage; drain 2 weeks before harvest</t>
        </is>
      </c>
    </row>
    <row r="16" ht="21.75" customHeight="1" s="101">
      <c r="A16" s="6" t="inlineStr">
        <is>
          <t>Palay</t>
        </is>
      </c>
      <c r="B16" s="6" t="inlineStr">
        <is>
          <t>San Felipe Central</t>
        </is>
      </c>
      <c r="C16" s="6" t="inlineStr">
        <is>
          <t>January</t>
        </is>
      </c>
      <c r="D16" s="6" t="inlineStr">
        <is>
          <t>2007</t>
        </is>
      </c>
      <c r="E16" s="6" t="inlineStr">
        <is>
          <t>DS 2007</t>
        </is>
      </c>
      <c r="F16" s="6" t="inlineStr">
        <is>
          <t>Planting</t>
        </is>
      </c>
      <c r="G16" s="7" t="n">
        <v>0.4</v>
      </c>
      <c r="H16" s="8" t="n">
        <v>24.24</v>
      </c>
      <c r="I16" s="8" t="n">
        <v>16.82</v>
      </c>
      <c r="J16" s="8" t="n">
        <v>31.18</v>
      </c>
      <c r="K16" s="8" t="n">
        <v>79.65000000000001</v>
      </c>
      <c r="L16" s="8" t="n">
        <v>98.68000000000001</v>
      </c>
      <c r="M16" s="8" t="n">
        <v>16.49</v>
      </c>
      <c r="N16" s="6" t="inlineStr">
        <is>
          <t>Type I – Tropical Monsoon (PAGASA)</t>
        </is>
      </c>
      <c r="O16" s="6" t="inlineStr">
        <is>
          <t>Dry (Cool)</t>
        </is>
      </c>
      <c r="P16" s="6" t="inlineStr">
        <is>
          <t>Sandy Loam</t>
        </is>
      </c>
      <c r="Q16" s="6" t="inlineStr">
        <is>
          <t>Flat / Lowland</t>
        </is>
      </c>
      <c r="R16" s="9" t="n">
        <v>30</v>
      </c>
      <c r="S16" s="6" t="inlineStr">
        <is>
          <t>—</t>
        </is>
      </c>
      <c r="T16" s="10" t="n">
        <v>452.76</v>
      </c>
      <c r="U16" s="10" t="n">
        <v>12</v>
      </c>
      <c r="V16" s="10" t="n">
        <v>41.02</v>
      </c>
      <c r="W16" s="10" t="n">
        <v>36</v>
      </c>
      <c r="X16" s="10" t="n"/>
      <c r="Y16" s="10" t="n"/>
      <c r="Z16" s="11" t="n"/>
      <c r="AA16" s="12" t="inlineStr">
        <is>
          <t>Transplanting (Pindot) or Direct Seeding (Pinaghandaan)</t>
        </is>
      </c>
      <c r="AB16" s="12" t="inlineStr">
        <is>
          <t>Conventional Tillage: 2 plowings + 2 harrowings; soil workable when moist</t>
        </is>
      </c>
      <c r="AC16" s="12" t="inlineStr">
        <is>
          <t>Intermittent irrigation (Alternate Wetting and Drying — AWD); moderate retention</t>
        </is>
      </c>
    </row>
    <row r="17" ht="21.75" customHeight="1" s="101">
      <c r="A17" s="13" t="inlineStr">
        <is>
          <t>Palay</t>
        </is>
      </c>
      <c r="B17" s="13" t="inlineStr">
        <is>
          <t>Sumabnit</t>
        </is>
      </c>
      <c r="C17" s="13" t="inlineStr">
        <is>
          <t>January</t>
        </is>
      </c>
      <c r="D17" s="13" t="inlineStr">
        <is>
          <t>2007</t>
        </is>
      </c>
      <c r="E17" s="13" t="inlineStr">
        <is>
          <t>DS 2007</t>
        </is>
      </c>
      <c r="F17" s="13" t="inlineStr">
        <is>
          <t>Planting</t>
        </is>
      </c>
      <c r="G17" s="7" t="n">
        <v>0.4</v>
      </c>
      <c r="H17" s="8" t="n">
        <v>24.24</v>
      </c>
      <c r="I17" s="8" t="n">
        <v>16.82</v>
      </c>
      <c r="J17" s="8" t="n">
        <v>31.18</v>
      </c>
      <c r="K17" s="8" t="n">
        <v>79.65000000000001</v>
      </c>
      <c r="L17" s="8" t="n">
        <v>98.68000000000001</v>
      </c>
      <c r="M17" s="8" t="n">
        <v>16.49</v>
      </c>
      <c r="N17" s="13" t="inlineStr">
        <is>
          <t>Type I – Tropical Monsoon (PAGASA)</t>
        </is>
      </c>
      <c r="O17" s="13" t="inlineStr">
        <is>
          <t>Dry (Cool)</t>
        </is>
      </c>
      <c r="P17" s="13" t="inlineStr">
        <is>
          <t>Silty Clay Loam / Fine Sandy Loam</t>
        </is>
      </c>
      <c r="Q17" s="13" t="inlineStr">
        <is>
          <t>Flat / Lowland</t>
        </is>
      </c>
      <c r="R17" s="14" t="n">
        <v>30</v>
      </c>
      <c r="S17" s="13" t="inlineStr">
        <is>
          <t>Tagamusing River</t>
        </is>
      </c>
      <c r="T17" s="15" t="n">
        <v>406.56</v>
      </c>
      <c r="U17" s="15" t="n">
        <v>15.72</v>
      </c>
      <c r="V17" s="15" t="n">
        <v>81.66</v>
      </c>
      <c r="W17" s="15" t="n">
        <v>21.13</v>
      </c>
      <c r="X17" s="15" t="n"/>
      <c r="Y17" s="15" t="n"/>
      <c r="Z17" s="16" t="n"/>
      <c r="AA17" s="17" t="inlineStr">
        <is>
          <t>Transplanting (Pindot)</t>
        </is>
      </c>
      <c r="AB17" s="17" t="inlineStr">
        <is>
          <t>Minimum Tillage (avoid compaction; sandy structure fragile)</t>
        </is>
      </c>
      <c r="AC17" s="17" t="inlineStr">
        <is>
          <t>Continuous flooding or frequent irrigation; high percolation risk</t>
        </is>
      </c>
    </row>
    <row r="18" ht="21.75" customHeight="1" s="101">
      <c r="A18" s="6" t="inlineStr">
        <is>
          <t>Palay</t>
        </is>
      </c>
      <c r="B18" s="6" t="inlineStr">
        <is>
          <t>San Felipe Sur</t>
        </is>
      </c>
      <c r="C18" s="6" t="inlineStr">
        <is>
          <t>January</t>
        </is>
      </c>
      <c r="D18" s="6" t="inlineStr">
        <is>
          <t>2007</t>
        </is>
      </c>
      <c r="E18" s="6" t="inlineStr">
        <is>
          <t>DS 2007</t>
        </is>
      </c>
      <c r="F18" s="6" t="inlineStr">
        <is>
          <t>Planting</t>
        </is>
      </c>
      <c r="G18" s="7" t="n">
        <v>0.4</v>
      </c>
      <c r="H18" s="8" t="n">
        <v>24.24</v>
      </c>
      <c r="I18" s="8" t="n">
        <v>16.82</v>
      </c>
      <c r="J18" s="8" t="n">
        <v>31.18</v>
      </c>
      <c r="K18" s="8" t="n">
        <v>79.65000000000001</v>
      </c>
      <c r="L18" s="8" t="n">
        <v>98.68000000000001</v>
      </c>
      <c r="M18" s="8" t="n">
        <v>16.49</v>
      </c>
      <c r="N18" s="6" t="inlineStr">
        <is>
          <t>Type I – Tropical Monsoon (PAGASA)</t>
        </is>
      </c>
      <c r="O18" s="6" t="inlineStr">
        <is>
          <t>Dry (Cool)</t>
        </is>
      </c>
      <c r="P18" s="6" t="inlineStr">
        <is>
          <t>Sandy Loam</t>
        </is>
      </c>
      <c r="Q18" s="6" t="inlineStr">
        <is>
          <t>Flat / Lowland</t>
        </is>
      </c>
      <c r="R18" s="9" t="n">
        <v>30</v>
      </c>
      <c r="S18" s="6" t="inlineStr">
        <is>
          <t>Tagamusing River</t>
        </is>
      </c>
      <c r="T18" s="10" t="n">
        <v>504</v>
      </c>
      <c r="U18" s="10" t="n">
        <v>2</v>
      </c>
      <c r="V18" s="10" t="n">
        <v>26.4</v>
      </c>
      <c r="W18" s="10" t="n">
        <v>56</v>
      </c>
      <c r="X18" s="10" t="n"/>
      <c r="Y18" s="10" t="n"/>
      <c r="Z18" s="11" t="n"/>
      <c r="AA18" s="12" t="inlineStr">
        <is>
          <t>Transplanting (Pindot) or Direct Seeding (Pinaghandaan)</t>
        </is>
      </c>
      <c r="AB18" s="12" t="inlineStr">
        <is>
          <t>Conventional Tillage: 2 plowings + 2 harrowings; soil workable when moist</t>
        </is>
      </c>
      <c r="AC18" s="12" t="inlineStr">
        <is>
          <t>Intermittent irrigation (Alternate Wetting and Drying — AWD); moderate retention</t>
        </is>
      </c>
    </row>
    <row r="19" ht="21.75" customHeight="1" s="101">
      <c r="A19" s="13" t="inlineStr">
        <is>
          <t>Palay</t>
        </is>
      </c>
      <c r="B19" s="13" t="inlineStr">
        <is>
          <t>Linmansangan</t>
        </is>
      </c>
      <c r="C19" s="13" t="inlineStr">
        <is>
          <t>January</t>
        </is>
      </c>
      <c r="D19" s="13" t="inlineStr">
        <is>
          <t>2007</t>
        </is>
      </c>
      <c r="E19" s="13" t="inlineStr">
        <is>
          <t>DS 2007</t>
        </is>
      </c>
      <c r="F19" s="13" t="inlineStr">
        <is>
          <t>Planting</t>
        </is>
      </c>
      <c r="G19" s="7" t="n">
        <v>0.4</v>
      </c>
      <c r="H19" s="8" t="n">
        <v>24.24</v>
      </c>
      <c r="I19" s="8" t="n">
        <v>16.82</v>
      </c>
      <c r="J19" s="8" t="n">
        <v>31.18</v>
      </c>
      <c r="K19" s="8" t="n">
        <v>79.65000000000001</v>
      </c>
      <c r="L19" s="8" t="n">
        <v>98.68000000000001</v>
      </c>
      <c r="M19" s="8" t="n">
        <v>16.49</v>
      </c>
      <c r="N19" s="13" t="inlineStr">
        <is>
          <t>Type I – Tropical Monsoon (PAGASA)</t>
        </is>
      </c>
      <c r="O19" s="13" t="inlineStr">
        <is>
          <t>Dry (Cool)</t>
        </is>
      </c>
      <c r="P19" s="13" t="inlineStr">
        <is>
          <t>Silty Clay Loam</t>
        </is>
      </c>
      <c r="Q19" s="13" t="inlineStr">
        <is>
          <t>Flat / Lowland</t>
        </is>
      </c>
      <c r="R19" s="14" t="n">
        <v>30</v>
      </c>
      <c r="S19" s="13" t="inlineStr">
        <is>
          <t>—</t>
        </is>
      </c>
      <c r="T19" s="15" t="n">
        <v>492.24</v>
      </c>
      <c r="U19" s="15" t="n">
        <v>2</v>
      </c>
      <c r="V19" s="15" t="n">
        <v>81.66</v>
      </c>
      <c r="W19" s="15" t="n">
        <v>12.25</v>
      </c>
      <c r="X19" s="15" t="n"/>
      <c r="Y19" s="15" t="n"/>
      <c r="Z19" s="16" t="n"/>
      <c r="AA19" s="17" t="inlineStr">
        <is>
          <t>Transplanting (Pindot) — optimal for clay-loam paddy fields</t>
        </is>
      </c>
      <c r="AB19" s="17" t="inlineStr">
        <is>
          <t>Wet Tillage (Puddling): 2 plowings + thorough harrowing under flooded condition</t>
        </is>
      </c>
      <c r="AC19" s="17" t="inlineStr">
        <is>
          <t>Continuous flooding 2–5 cm depth during vegetative stage; drain 2 weeks before harvest</t>
        </is>
      </c>
    </row>
    <row r="20" ht="21.75" customHeight="1" s="101">
      <c r="A20" s="6" t="inlineStr">
        <is>
          <t>Palay</t>
        </is>
      </c>
      <c r="B20" s="6" t="inlineStr">
        <is>
          <t>Pasileng Sur</t>
        </is>
      </c>
      <c r="C20" s="6" t="inlineStr">
        <is>
          <t>January</t>
        </is>
      </c>
      <c r="D20" s="6" t="inlineStr">
        <is>
          <t>2007</t>
        </is>
      </c>
      <c r="E20" s="6" t="inlineStr">
        <is>
          <t>DS 2007</t>
        </is>
      </c>
      <c r="F20" s="6" t="inlineStr">
        <is>
          <t>Planting</t>
        </is>
      </c>
      <c r="G20" s="7" t="n">
        <v>0.4</v>
      </c>
      <c r="H20" s="8" t="n">
        <v>24.24</v>
      </c>
      <c r="I20" s="8" t="n">
        <v>16.82</v>
      </c>
      <c r="J20" s="8" t="n">
        <v>31.18</v>
      </c>
      <c r="K20" s="8" t="n">
        <v>79.65000000000001</v>
      </c>
      <c r="L20" s="8" t="n">
        <v>98.68000000000001</v>
      </c>
      <c r="M20" s="8" t="n">
        <v>16.49</v>
      </c>
      <c r="N20" s="6" t="inlineStr">
        <is>
          <t>Type I – Tropical Monsoon (PAGASA)</t>
        </is>
      </c>
      <c r="O20" s="6" t="inlineStr">
        <is>
          <t>Dry (Cool)</t>
        </is>
      </c>
      <c r="P20" s="6" t="inlineStr">
        <is>
          <t>Sandy Loam</t>
        </is>
      </c>
      <c r="Q20" s="6" t="inlineStr">
        <is>
          <t>Flat / Lowland</t>
        </is>
      </c>
      <c r="R20" s="9" t="n">
        <v>30</v>
      </c>
      <c r="S20" s="6" t="inlineStr">
        <is>
          <t>Tagamusing River</t>
        </is>
      </c>
      <c r="T20" s="10" t="n">
        <v>414.96</v>
      </c>
      <c r="U20" s="10" t="n">
        <v>41</v>
      </c>
      <c r="V20" s="10" t="n">
        <v>41.02</v>
      </c>
      <c r="W20" s="10" t="n">
        <v>95</v>
      </c>
      <c r="X20" s="10" t="n"/>
      <c r="Y20" s="10" t="n"/>
      <c r="Z20" s="11" t="n"/>
      <c r="AA20" s="12" t="inlineStr">
        <is>
          <t>Transplanting (Pindot) or Direct Seeding (Pinaghandaan)</t>
        </is>
      </c>
      <c r="AB20" s="12" t="inlineStr">
        <is>
          <t>Conventional Tillage: 2 plowings + 2 harrowings; soil workable when moist</t>
        </is>
      </c>
      <c r="AC20" s="12" t="inlineStr">
        <is>
          <t>Intermittent irrigation (Alternate Wetting and Drying — AWD); moderate retention</t>
        </is>
      </c>
    </row>
    <row r="21" ht="21.75" customHeight="1" s="101">
      <c r="A21" s="13" t="inlineStr">
        <is>
          <t>Palay</t>
        </is>
      </c>
      <c r="B21" s="13" t="inlineStr">
        <is>
          <t>Capas</t>
        </is>
      </c>
      <c r="C21" s="13" t="inlineStr">
        <is>
          <t>January</t>
        </is>
      </c>
      <c r="D21" s="13" t="inlineStr">
        <is>
          <t>2007</t>
        </is>
      </c>
      <c r="E21" s="13" t="inlineStr">
        <is>
          <t>DS 2007</t>
        </is>
      </c>
      <c r="F21" s="13" t="inlineStr">
        <is>
          <t>Planting</t>
        </is>
      </c>
      <c r="G21" s="7" t="n">
        <v>0.4</v>
      </c>
      <c r="H21" s="8" t="n">
        <v>24.24</v>
      </c>
      <c r="I21" s="8" t="n">
        <v>16.82</v>
      </c>
      <c r="J21" s="8" t="n">
        <v>31.18</v>
      </c>
      <c r="K21" s="8" t="n">
        <v>79.65000000000001</v>
      </c>
      <c r="L21" s="8" t="n">
        <v>98.68000000000001</v>
      </c>
      <c r="M21" s="8" t="n">
        <v>16.49</v>
      </c>
      <c r="N21" s="13" t="inlineStr">
        <is>
          <t>Type I – Tropical Monsoon (PAGASA)</t>
        </is>
      </c>
      <c r="O21" s="13" t="inlineStr">
        <is>
          <t>Dry (Cool)</t>
        </is>
      </c>
      <c r="P21" s="13" t="inlineStr">
        <is>
          <t>Sandy Loam</t>
        </is>
      </c>
      <c r="Q21" s="13" t="inlineStr">
        <is>
          <t>Flat / Lowland</t>
        </is>
      </c>
      <c r="R21" s="14" t="n">
        <v>30</v>
      </c>
      <c r="S21" s="13" t="inlineStr">
        <is>
          <t>—</t>
        </is>
      </c>
      <c r="T21" s="15" t="n">
        <v>377.16</v>
      </c>
      <c r="U21" s="15" t="n">
        <v>4</v>
      </c>
      <c r="V21" s="15" t="n">
        <v>52.42</v>
      </c>
      <c r="W21" s="15" t="n">
        <v>58</v>
      </c>
      <c r="X21" s="15" t="n"/>
      <c r="Y21" s="15" t="n"/>
      <c r="Z21" s="16" t="n"/>
      <c r="AA21" s="17" t="inlineStr">
        <is>
          <t>Transplanting (Pindot) or Direct Seeding (Pinaghandaan)</t>
        </is>
      </c>
      <c r="AB21" s="17" t="inlineStr">
        <is>
          <t>Conventional Tillage: 2 plowings + 2 harrowings; soil workable when moist</t>
        </is>
      </c>
      <c r="AC21" s="17" t="inlineStr">
        <is>
          <t>Intermittent irrigation (Alternate Wetting and Drying — AWD); moderate retention</t>
        </is>
      </c>
    </row>
    <row r="22" ht="21.75" customHeight="1" s="101">
      <c r="A22" s="6" t="inlineStr">
        <is>
          <t>Palay</t>
        </is>
      </c>
      <c r="B22" s="6" t="inlineStr">
        <is>
          <t>Sta. Maria Norte</t>
        </is>
      </c>
      <c r="C22" s="6" t="inlineStr">
        <is>
          <t>January</t>
        </is>
      </c>
      <c r="D22" s="6" t="inlineStr">
        <is>
          <t>2007</t>
        </is>
      </c>
      <c r="E22" s="6" t="inlineStr">
        <is>
          <t>DS 2007</t>
        </is>
      </c>
      <c r="F22" s="6" t="inlineStr">
        <is>
          <t>Planting</t>
        </is>
      </c>
      <c r="G22" s="7" t="n">
        <v>0.4</v>
      </c>
      <c r="H22" s="8" t="n">
        <v>24.24</v>
      </c>
      <c r="I22" s="8" t="n">
        <v>16.82</v>
      </c>
      <c r="J22" s="8" t="n">
        <v>31.18</v>
      </c>
      <c r="K22" s="8" t="n">
        <v>79.65000000000001</v>
      </c>
      <c r="L22" s="8" t="n">
        <v>98.68000000000001</v>
      </c>
      <c r="M22" s="8" t="n">
        <v>16.49</v>
      </c>
      <c r="N22" s="6" t="inlineStr">
        <is>
          <t>Type I – Tropical Monsoon (PAGASA)</t>
        </is>
      </c>
      <c r="O22" s="6" t="inlineStr">
        <is>
          <t>Dry (Cool)</t>
        </is>
      </c>
      <c r="P22" s="6" t="inlineStr">
        <is>
          <t>Sandy Loam</t>
        </is>
      </c>
      <c r="Q22" s="6" t="inlineStr">
        <is>
          <t>Flat / Lowland</t>
        </is>
      </c>
      <c r="R22" s="9" t="n">
        <v>30</v>
      </c>
      <c r="S22" s="6" t="inlineStr">
        <is>
          <t>Tagamusing River</t>
        </is>
      </c>
      <c r="T22" s="10" t="n">
        <v>157.08</v>
      </c>
      <c r="U22" s="10" t="n">
        <v>5.61</v>
      </c>
      <c r="V22" s="10" t="n">
        <v>20.7</v>
      </c>
      <c r="W22" s="10" t="n">
        <v>30.73</v>
      </c>
      <c r="X22" s="10" t="n"/>
      <c r="Y22" s="10" t="n"/>
      <c r="Z22" s="11" t="n"/>
      <c r="AA22" s="12" t="inlineStr">
        <is>
          <t>Transplanting (Pindot) or Direct Seeding (Pinaghandaan)</t>
        </is>
      </c>
      <c r="AB22" s="12" t="inlineStr">
        <is>
          <t>Conventional Tillage: 2 plowings + 2 harrowings; soil workable when moist</t>
        </is>
      </c>
      <c r="AC22" s="12" t="inlineStr">
        <is>
          <t>Intermittent irrigation (Alternate Wetting and Drying — AWD); moderate retention</t>
        </is>
      </c>
    </row>
    <row r="23" ht="21.75" customHeight="1" s="101">
      <c r="A23" s="13" t="inlineStr">
        <is>
          <t>Palay</t>
        </is>
      </c>
      <c r="B23" s="13" t="inlineStr">
        <is>
          <t>Mangkasuy</t>
        </is>
      </c>
      <c r="C23" s="13" t="inlineStr">
        <is>
          <t>January</t>
        </is>
      </c>
      <c r="D23" s="13" t="inlineStr">
        <is>
          <t>2007</t>
        </is>
      </c>
      <c r="E23" s="13" t="inlineStr">
        <is>
          <t>DS 2007</t>
        </is>
      </c>
      <c r="F23" s="13" t="inlineStr">
        <is>
          <t>Planting</t>
        </is>
      </c>
      <c r="G23" s="7" t="n">
        <v>0.4</v>
      </c>
      <c r="H23" s="8" t="n">
        <v>24.24</v>
      </c>
      <c r="I23" s="8" t="n">
        <v>16.82</v>
      </c>
      <c r="J23" s="8" t="n">
        <v>31.18</v>
      </c>
      <c r="K23" s="8" t="n">
        <v>79.65000000000001</v>
      </c>
      <c r="L23" s="8" t="n">
        <v>98.68000000000001</v>
      </c>
      <c r="M23" s="8" t="n">
        <v>16.49</v>
      </c>
      <c r="N23" s="13" t="inlineStr">
        <is>
          <t>Type I – Tropical Monsoon (PAGASA)</t>
        </is>
      </c>
      <c r="O23" s="13" t="inlineStr">
        <is>
          <t>Dry (Cool)</t>
        </is>
      </c>
      <c r="P23" s="13" t="inlineStr">
        <is>
          <t>Sandy Loam</t>
        </is>
      </c>
      <c r="Q23" s="13" t="inlineStr">
        <is>
          <t>Flat / Lowland</t>
        </is>
      </c>
      <c r="R23" s="14" t="n">
        <v>30</v>
      </c>
      <c r="S23" s="13" t="inlineStr">
        <is>
          <t>Tagamusing River</t>
        </is>
      </c>
      <c r="T23" s="15" t="n">
        <v>802.2</v>
      </c>
      <c r="U23" s="15" t="n">
        <v>2</v>
      </c>
      <c r="V23" s="15" t="n">
        <v>70.81999999999999</v>
      </c>
      <c r="W23" s="15" t="n">
        <v>12.25</v>
      </c>
      <c r="X23" s="15" t="n"/>
      <c r="Y23" s="15" t="n"/>
      <c r="Z23" s="16" t="n"/>
      <c r="AA23" s="17" t="inlineStr">
        <is>
          <t>Transplanting (Pindot) or Direct Seeding (Pinaghandaan)</t>
        </is>
      </c>
      <c r="AB23" s="17" t="inlineStr">
        <is>
          <t>Conventional Tillage: 2 plowings + 2 harrowings; soil workable when moist</t>
        </is>
      </c>
      <c r="AC23" s="17" t="inlineStr">
        <is>
          <t>Intermittent irrigation (Alternate Wetting and Drying — AWD); moderate retention</t>
        </is>
      </c>
    </row>
    <row r="24" ht="21.75" customHeight="1" s="101">
      <c r="A24" s="6" t="inlineStr">
        <is>
          <t>Palay</t>
        </is>
      </c>
      <c r="B24" s="6" t="inlineStr">
        <is>
          <t>Santiago</t>
        </is>
      </c>
      <c r="C24" s="6" t="inlineStr">
        <is>
          <t>January</t>
        </is>
      </c>
      <c r="D24" s="6" t="inlineStr">
        <is>
          <t>2007</t>
        </is>
      </c>
      <c r="E24" s="6" t="inlineStr">
        <is>
          <t>DS 2007</t>
        </is>
      </c>
      <c r="F24" s="6" t="inlineStr">
        <is>
          <t>Planting</t>
        </is>
      </c>
      <c r="G24" s="7" t="n">
        <v>0.4</v>
      </c>
      <c r="H24" s="8" t="n">
        <v>24.24</v>
      </c>
      <c r="I24" s="8" t="n">
        <v>16.82</v>
      </c>
      <c r="J24" s="8" t="n">
        <v>31.18</v>
      </c>
      <c r="K24" s="8" t="n">
        <v>79.65000000000001</v>
      </c>
      <c r="L24" s="8" t="n">
        <v>98.68000000000001</v>
      </c>
      <c r="M24" s="8" t="n">
        <v>16.49</v>
      </c>
      <c r="N24" s="6" t="inlineStr">
        <is>
          <t>Type I – Tropical Monsoon (PAGASA)</t>
        </is>
      </c>
      <c r="O24" s="6" t="inlineStr">
        <is>
          <t>Dry (Cool)</t>
        </is>
      </c>
      <c r="P24" s="6" t="inlineStr">
        <is>
          <t>Silty Clay Loam</t>
        </is>
      </c>
      <c r="Q24" s="6" t="inlineStr">
        <is>
          <t>Flat / Lowland</t>
        </is>
      </c>
      <c r="R24" s="9" t="n">
        <v>30</v>
      </c>
      <c r="S24" s="6" t="inlineStr">
        <is>
          <t>—</t>
        </is>
      </c>
      <c r="T24" s="10" t="n">
        <v>283.08</v>
      </c>
      <c r="U24" s="10" t="n">
        <v>20.16</v>
      </c>
      <c r="V24" s="10" t="n">
        <v>81.66</v>
      </c>
      <c r="W24" s="10" t="n">
        <v>81.13</v>
      </c>
      <c r="X24" s="10" t="n"/>
      <c r="Y24" s="10" t="n"/>
      <c r="Z24" s="11" t="n"/>
      <c r="AA24" s="12" t="inlineStr">
        <is>
          <t>Transplanting (Pindot) — optimal for clay-loam paddy fields</t>
        </is>
      </c>
      <c r="AB24" s="12" t="inlineStr">
        <is>
          <t>Wet Tillage (Puddling): 2 plowings + thorough harrowing under flooded condition</t>
        </is>
      </c>
      <c r="AC24" s="12" t="inlineStr">
        <is>
          <t>Continuous flooding 2–5 cm depth during vegetative stage; drain 2 weeks before harvest</t>
        </is>
      </c>
    </row>
    <row r="25" ht="21.75" customHeight="1" s="101">
      <c r="A25" s="13" t="inlineStr">
        <is>
          <t>Palay</t>
        </is>
      </c>
      <c r="B25" s="13" t="inlineStr">
        <is>
          <t>Pasileng Norte</t>
        </is>
      </c>
      <c r="C25" s="13" t="inlineStr">
        <is>
          <t>January</t>
        </is>
      </c>
      <c r="D25" s="13" t="inlineStr">
        <is>
          <t>2008</t>
        </is>
      </c>
      <c r="E25" s="13" t="inlineStr">
        <is>
          <t>DS 2008</t>
        </is>
      </c>
      <c r="F25" s="13" t="inlineStr">
        <is>
          <t>Planting</t>
        </is>
      </c>
      <c r="G25" s="7" t="n">
        <v>1.45</v>
      </c>
      <c r="H25" s="8" t="n">
        <v>23.94</v>
      </c>
      <c r="I25" s="8" t="n">
        <v>17.59</v>
      </c>
      <c r="J25" s="8" t="n">
        <v>30.5</v>
      </c>
      <c r="K25" s="8" t="n">
        <v>81.62</v>
      </c>
      <c r="L25" s="8" t="n">
        <v>98.54000000000001</v>
      </c>
      <c r="M25" s="8" t="n">
        <v>16.06</v>
      </c>
      <c r="N25" s="13" t="inlineStr">
        <is>
          <t>Type I – Tropical Monsoon (PAGASA)</t>
        </is>
      </c>
      <c r="O25" s="13" t="inlineStr">
        <is>
          <t>Dry (Cool)</t>
        </is>
      </c>
      <c r="P25" s="13" t="inlineStr">
        <is>
          <t>Sandy Loam</t>
        </is>
      </c>
      <c r="Q25" s="13" t="inlineStr">
        <is>
          <t>Flat / Lowland</t>
        </is>
      </c>
      <c r="R25" s="14" t="n">
        <v>30</v>
      </c>
      <c r="S25" s="13" t="inlineStr">
        <is>
          <t>Tagamusing River</t>
        </is>
      </c>
      <c r="T25" s="15" t="n">
        <v>140.28</v>
      </c>
      <c r="U25" s="15" t="n">
        <v>9.34</v>
      </c>
      <c r="V25" s="15" t="n">
        <v>26.4</v>
      </c>
      <c r="W25" s="15" t="n">
        <v>74.5</v>
      </c>
      <c r="X25" s="15" t="n"/>
      <c r="Y25" s="15" t="n"/>
      <c r="Z25" s="16" t="n"/>
      <c r="AA25" s="17" t="inlineStr">
        <is>
          <t>Transplanting (Pindot) or Direct Seeding (Pinaghandaan)</t>
        </is>
      </c>
      <c r="AB25" s="17" t="inlineStr">
        <is>
          <t>Conventional Tillage: 2 plowings + 2 harrowings; soil workable when moist</t>
        </is>
      </c>
      <c r="AC25" s="17" t="inlineStr">
        <is>
          <t>Intermittent irrigation (Alternate Wetting and Drying — AWD); moderate retention</t>
        </is>
      </c>
    </row>
    <row r="26" ht="21.75" customHeight="1" s="101">
      <c r="A26" s="6" t="inlineStr">
        <is>
          <t>Palay</t>
        </is>
      </c>
      <c r="B26" s="6" t="inlineStr">
        <is>
          <t>Tabuyoc</t>
        </is>
      </c>
      <c r="C26" s="6" t="inlineStr">
        <is>
          <t>January</t>
        </is>
      </c>
      <c r="D26" s="6" t="inlineStr">
        <is>
          <t>2008</t>
        </is>
      </c>
      <c r="E26" s="6" t="inlineStr">
        <is>
          <t>DS 2008</t>
        </is>
      </c>
      <c r="F26" s="6" t="inlineStr">
        <is>
          <t>Planting</t>
        </is>
      </c>
      <c r="G26" s="7" t="n">
        <v>1.45</v>
      </c>
      <c r="H26" s="8" t="n">
        <v>23.94</v>
      </c>
      <c r="I26" s="8" t="n">
        <v>17.59</v>
      </c>
      <c r="J26" s="8" t="n">
        <v>30.5</v>
      </c>
      <c r="K26" s="8" t="n">
        <v>81.62</v>
      </c>
      <c r="L26" s="8" t="n">
        <v>98.54000000000001</v>
      </c>
      <c r="M26" s="8" t="n">
        <v>16.06</v>
      </c>
      <c r="N26" s="6" t="inlineStr">
        <is>
          <t>Type I – Tropical Monsoon (PAGASA)</t>
        </is>
      </c>
      <c r="O26" s="6" t="inlineStr">
        <is>
          <t>Dry (Cool)</t>
        </is>
      </c>
      <c r="P26" s="6" t="inlineStr">
        <is>
          <t>Silty Clay Loam</t>
        </is>
      </c>
      <c r="Q26" s="6" t="inlineStr">
        <is>
          <t>Flat / Lowland</t>
        </is>
      </c>
      <c r="R26" s="9" t="n">
        <v>30</v>
      </c>
      <c r="S26" s="6" t="inlineStr">
        <is>
          <t>—</t>
        </is>
      </c>
      <c r="T26" s="10" t="n">
        <v>277.2</v>
      </c>
      <c r="U26" s="10" t="n">
        <v>2</v>
      </c>
      <c r="V26" s="10" t="n">
        <v>81.66</v>
      </c>
      <c r="W26" s="10" t="n">
        <v>126.9</v>
      </c>
      <c r="X26" s="10" t="n"/>
      <c r="Y26" s="10" t="n"/>
      <c r="Z26" s="11" t="n"/>
      <c r="AA26" s="12" t="inlineStr">
        <is>
          <t>Transplanting (Pindot) — optimal for clay-loam paddy fields</t>
        </is>
      </c>
      <c r="AB26" s="12" t="inlineStr">
        <is>
          <t>Wet Tillage (Puddling): 2 plowings + thorough harrowing under flooded condition</t>
        </is>
      </c>
      <c r="AC26" s="12" t="inlineStr">
        <is>
          <t>Continuous flooding 2–5 cm depth during vegetative stage; drain 2 weeks before harvest</t>
        </is>
      </c>
    </row>
    <row r="27" ht="21.75" customHeight="1" s="101">
      <c r="A27" s="13" t="inlineStr">
        <is>
          <t>Palay</t>
        </is>
      </c>
      <c r="B27" s="13" t="inlineStr">
        <is>
          <t>Bued</t>
        </is>
      </c>
      <c r="C27" s="13" t="inlineStr">
        <is>
          <t>January</t>
        </is>
      </c>
      <c r="D27" s="13" t="inlineStr">
        <is>
          <t>2008</t>
        </is>
      </c>
      <c r="E27" s="13" t="inlineStr">
        <is>
          <t>DS 2008</t>
        </is>
      </c>
      <c r="F27" s="13" t="inlineStr">
        <is>
          <t>Planting</t>
        </is>
      </c>
      <c r="G27" s="7" t="n">
        <v>1.45</v>
      </c>
      <c r="H27" s="8" t="n">
        <v>23.94</v>
      </c>
      <c r="I27" s="8" t="n">
        <v>17.59</v>
      </c>
      <c r="J27" s="8" t="n">
        <v>30.5</v>
      </c>
      <c r="K27" s="8" t="n">
        <v>81.62</v>
      </c>
      <c r="L27" s="8" t="n">
        <v>98.54000000000001</v>
      </c>
      <c r="M27" s="8" t="n">
        <v>16.06</v>
      </c>
      <c r="N27" s="13" t="inlineStr">
        <is>
          <t>Type I – Tropical Monsoon (PAGASA)</t>
        </is>
      </c>
      <c r="O27" s="13" t="inlineStr">
        <is>
          <t>Dry (Cool)</t>
        </is>
      </c>
      <c r="P27" s="13" t="inlineStr">
        <is>
          <t>Silty Clay Loam</t>
        </is>
      </c>
      <c r="Q27" s="13" t="inlineStr">
        <is>
          <t>Flat / Lowland</t>
        </is>
      </c>
      <c r="R27" s="14" t="n">
        <v>30</v>
      </c>
      <c r="S27" s="13" t="inlineStr">
        <is>
          <t>Tagamusing River</t>
        </is>
      </c>
      <c r="T27" s="15" t="n">
        <v>210.84</v>
      </c>
      <c r="U27" s="15" t="n">
        <v>2</v>
      </c>
      <c r="V27" s="15" t="n">
        <v>35.32</v>
      </c>
      <c r="W27" s="15" t="n">
        <v>37.89</v>
      </c>
      <c r="X27" s="15" t="n"/>
      <c r="Y27" s="15" t="n"/>
      <c r="Z27" s="16" t="n"/>
      <c r="AA27" s="17" t="inlineStr">
        <is>
          <t>Transplanting (Pindot) — optimal for clay-loam paddy fields</t>
        </is>
      </c>
      <c r="AB27" s="17" t="inlineStr">
        <is>
          <t>Wet Tillage (Puddling): 2 plowings + thorough harrowing under flooded condition</t>
        </is>
      </c>
      <c r="AC27" s="17" t="inlineStr">
        <is>
          <t>Continuous flooding 2–5 cm depth during vegetative stage; drain 2 weeks before harvest</t>
        </is>
      </c>
    </row>
    <row r="28" ht="21.75" customHeight="1" s="101">
      <c r="A28" s="6" t="inlineStr">
        <is>
          <t>Palay</t>
        </is>
      </c>
      <c r="B28" s="6" t="inlineStr">
        <is>
          <t>Dumayat</t>
        </is>
      </c>
      <c r="C28" s="6" t="inlineStr">
        <is>
          <t>January</t>
        </is>
      </c>
      <c r="D28" s="6" t="inlineStr">
        <is>
          <t>2008</t>
        </is>
      </c>
      <c r="E28" s="6" t="inlineStr">
        <is>
          <t>DS 2008</t>
        </is>
      </c>
      <c r="F28" s="6" t="inlineStr">
        <is>
          <t>Planting</t>
        </is>
      </c>
      <c r="G28" s="7" t="n">
        <v>1.45</v>
      </c>
      <c r="H28" s="8" t="n">
        <v>23.94</v>
      </c>
      <c r="I28" s="8" t="n">
        <v>17.59</v>
      </c>
      <c r="J28" s="8" t="n">
        <v>30.5</v>
      </c>
      <c r="K28" s="8" t="n">
        <v>81.62</v>
      </c>
      <c r="L28" s="8" t="n">
        <v>98.54000000000001</v>
      </c>
      <c r="M28" s="8" t="n">
        <v>16.06</v>
      </c>
      <c r="N28" s="6" t="inlineStr">
        <is>
          <t>Type I – Tropical Monsoon (PAGASA)</t>
        </is>
      </c>
      <c r="O28" s="6" t="inlineStr">
        <is>
          <t>Dry (Cool)</t>
        </is>
      </c>
      <c r="P28" s="6" t="inlineStr">
        <is>
          <t>Silty Clay Loam</t>
        </is>
      </c>
      <c r="Q28" s="6" t="inlineStr">
        <is>
          <t>Flat / Lowland</t>
        </is>
      </c>
      <c r="R28" s="9" t="n">
        <v>30</v>
      </c>
      <c r="S28" s="6" t="inlineStr">
        <is>
          <t>—</t>
        </is>
      </c>
      <c r="T28" s="10" t="n">
        <v>266.28</v>
      </c>
      <c r="U28" s="10" t="n">
        <v>2</v>
      </c>
      <c r="V28" s="10" t="n">
        <v>35.32</v>
      </c>
      <c r="W28" s="10" t="n">
        <v>12.25</v>
      </c>
      <c r="X28" s="10" t="n"/>
      <c r="Y28" s="10" t="n"/>
      <c r="Z28" s="11" t="n"/>
      <c r="AA28" s="12" t="inlineStr">
        <is>
          <t>Transplanting (Pindot) — optimal for clay-loam paddy fields</t>
        </is>
      </c>
      <c r="AB28" s="12" t="inlineStr">
        <is>
          <t>Wet Tillage (Puddling): 2 plowings + thorough harrowing under flooded condition</t>
        </is>
      </c>
      <c r="AC28" s="12" t="inlineStr">
        <is>
          <t>Continuous flooding 2–5 cm depth during vegetative stage; drain 2 weeks before harvest</t>
        </is>
      </c>
    </row>
    <row r="29" ht="21.75" customHeight="1" s="101">
      <c r="A29" s="13" t="inlineStr">
        <is>
          <t>Palay</t>
        </is>
      </c>
      <c r="B29" s="13" t="inlineStr">
        <is>
          <t>Camanggaan</t>
        </is>
      </c>
      <c r="C29" s="13" t="inlineStr">
        <is>
          <t>January</t>
        </is>
      </c>
      <c r="D29" s="13" t="inlineStr">
        <is>
          <t>2008</t>
        </is>
      </c>
      <c r="E29" s="13" t="inlineStr">
        <is>
          <t>DS 2008</t>
        </is>
      </c>
      <c r="F29" s="13" t="inlineStr">
        <is>
          <t>Planting</t>
        </is>
      </c>
      <c r="G29" s="7" t="n">
        <v>1.45</v>
      </c>
      <c r="H29" s="8" t="n">
        <v>23.94</v>
      </c>
      <c r="I29" s="8" t="n">
        <v>17.59</v>
      </c>
      <c r="J29" s="8" t="n">
        <v>30.5</v>
      </c>
      <c r="K29" s="8" t="n">
        <v>81.62</v>
      </c>
      <c r="L29" s="8" t="n">
        <v>98.54000000000001</v>
      </c>
      <c r="M29" s="8" t="n">
        <v>16.06</v>
      </c>
      <c r="N29" s="13" t="inlineStr">
        <is>
          <t>Type I – Tropical Monsoon (PAGASA)</t>
        </is>
      </c>
      <c r="O29" s="13" t="inlineStr">
        <is>
          <t>Dry (Cool)</t>
        </is>
      </c>
      <c r="P29" s="13" t="inlineStr">
        <is>
          <t>Sandy Loam</t>
        </is>
      </c>
      <c r="Q29" s="13" t="inlineStr">
        <is>
          <t>Flat / Lowland</t>
        </is>
      </c>
      <c r="R29" s="14" t="n">
        <v>30</v>
      </c>
      <c r="S29" s="13" t="inlineStr">
        <is>
          <t>—</t>
        </is>
      </c>
      <c r="T29" s="15" t="n">
        <v>244.44</v>
      </c>
      <c r="U29" s="15" t="n">
        <v>2</v>
      </c>
      <c r="V29" s="15" t="n">
        <v>52.42</v>
      </c>
      <c r="W29" s="15" t="n">
        <v>13</v>
      </c>
      <c r="X29" s="15" t="n"/>
      <c r="Y29" s="15" t="n"/>
      <c r="Z29" s="16" t="n"/>
      <c r="AA29" s="17" t="inlineStr">
        <is>
          <t>Transplanting (Pindot) or Direct Seeding (Pinaghandaan)</t>
        </is>
      </c>
      <c r="AB29" s="17" t="inlineStr">
        <is>
          <t>Conventional Tillage: 2 plowings + 2 harrowings; soil workable when moist</t>
        </is>
      </c>
      <c r="AC29" s="17" t="inlineStr">
        <is>
          <t>Intermittent irrigation (Alternate Wetting and Drying — AWD); moderate retention</t>
        </is>
      </c>
    </row>
    <row r="30" ht="21.75" customHeight="1" s="101">
      <c r="A30" s="6" t="inlineStr">
        <is>
          <t>Palay</t>
        </is>
      </c>
      <c r="B30" s="6" t="inlineStr">
        <is>
          <t>Bugayong</t>
        </is>
      </c>
      <c r="C30" s="6" t="inlineStr">
        <is>
          <t>January</t>
        </is>
      </c>
      <c r="D30" s="6" t="inlineStr">
        <is>
          <t>2008</t>
        </is>
      </c>
      <c r="E30" s="6" t="inlineStr">
        <is>
          <t>DS 2008</t>
        </is>
      </c>
      <c r="F30" s="6" t="inlineStr">
        <is>
          <t>Planting</t>
        </is>
      </c>
      <c r="G30" s="7" t="n">
        <v>1.45</v>
      </c>
      <c r="H30" s="8" t="n">
        <v>23.94</v>
      </c>
      <c r="I30" s="8" t="n">
        <v>17.59</v>
      </c>
      <c r="J30" s="8" t="n">
        <v>30.5</v>
      </c>
      <c r="K30" s="8" t="n">
        <v>81.62</v>
      </c>
      <c r="L30" s="8" t="n">
        <v>98.54000000000001</v>
      </c>
      <c r="M30" s="8" t="n">
        <v>16.06</v>
      </c>
      <c r="N30" s="6" t="inlineStr">
        <is>
          <t>Type I – Tropical Monsoon (PAGASA)</t>
        </is>
      </c>
      <c r="O30" s="6" t="inlineStr">
        <is>
          <t>Dry (Cool)</t>
        </is>
      </c>
      <c r="P30" s="6" t="inlineStr">
        <is>
          <t>Sandy Loam / Silty Clay Loam</t>
        </is>
      </c>
      <c r="Q30" s="6" t="inlineStr">
        <is>
          <t>Flat / Lowland</t>
        </is>
      </c>
      <c r="R30" s="9" t="n">
        <v>30</v>
      </c>
      <c r="S30" s="6" t="inlineStr">
        <is>
          <t>Aloragat River</t>
        </is>
      </c>
      <c r="T30" s="10" t="n">
        <v>346.08</v>
      </c>
      <c r="U30" s="10" t="n">
        <v>2</v>
      </c>
      <c r="V30" s="10" t="n">
        <v>41.02</v>
      </c>
      <c r="W30" s="10" t="n">
        <v>10.5</v>
      </c>
      <c r="X30" s="10" t="n"/>
      <c r="Y30" s="10" t="n"/>
      <c r="Z30" s="11" t="n"/>
      <c r="AA30" s="12" t="inlineStr">
        <is>
          <t>Transplanting (Pindot) — recommended; Direct Seeding possible in dry season</t>
        </is>
      </c>
      <c r="AB30" s="12" t="inlineStr">
        <is>
          <t>Conventional Tillage: 2 plowings + harrowing; puddle thoroughly for transplanting</t>
        </is>
      </c>
      <c r="AC30" s="12" t="inlineStr">
        <is>
          <t>Intermittent to continuous flooding; manage according to drainage section present</t>
        </is>
      </c>
    </row>
    <row r="31" ht="21.75" customHeight="1" s="101">
      <c r="A31" s="13" t="inlineStr">
        <is>
          <t>Palay</t>
        </is>
      </c>
      <c r="B31" s="13" t="inlineStr">
        <is>
          <t>Vacante</t>
        </is>
      </c>
      <c r="C31" s="13" t="inlineStr">
        <is>
          <t>January</t>
        </is>
      </c>
      <c r="D31" s="13" t="inlineStr">
        <is>
          <t>2008</t>
        </is>
      </c>
      <c r="E31" s="13" t="inlineStr">
        <is>
          <t>DS 2008</t>
        </is>
      </c>
      <c r="F31" s="13" t="inlineStr">
        <is>
          <t>Planting</t>
        </is>
      </c>
      <c r="G31" s="7" t="n">
        <v>1.45</v>
      </c>
      <c r="H31" s="8" t="n">
        <v>23.94</v>
      </c>
      <c r="I31" s="8" t="n">
        <v>17.59</v>
      </c>
      <c r="J31" s="8" t="n">
        <v>30.5</v>
      </c>
      <c r="K31" s="8" t="n">
        <v>81.62</v>
      </c>
      <c r="L31" s="8" t="n">
        <v>98.54000000000001</v>
      </c>
      <c r="M31" s="8" t="n">
        <v>16.06</v>
      </c>
      <c r="N31" s="13" t="inlineStr">
        <is>
          <t>Type I – Tropical Monsoon (PAGASA)</t>
        </is>
      </c>
      <c r="O31" s="13" t="inlineStr">
        <is>
          <t>Dry (Cool)</t>
        </is>
      </c>
      <c r="P31" s="13" t="inlineStr">
        <is>
          <t>Silty Clay Loam</t>
        </is>
      </c>
      <c r="Q31" s="13" t="inlineStr">
        <is>
          <t>Flat / Lowland</t>
        </is>
      </c>
      <c r="R31" s="14" t="n">
        <v>30</v>
      </c>
      <c r="S31" s="13" t="inlineStr">
        <is>
          <t>Aloragat River</t>
        </is>
      </c>
      <c r="T31" s="15" t="n">
        <v>484.68</v>
      </c>
      <c r="U31" s="15" t="n">
        <v>10.95</v>
      </c>
      <c r="V31" s="15" t="n">
        <v>81.66</v>
      </c>
      <c r="W31" s="15" t="n">
        <v>47.18</v>
      </c>
      <c r="X31" s="15" t="n"/>
      <c r="Y31" s="15" t="n"/>
      <c r="Z31" s="16" t="n"/>
      <c r="AA31" s="17" t="inlineStr">
        <is>
          <t>Transplanting (Pindot) — optimal for clay-loam paddy fields</t>
        </is>
      </c>
      <c r="AB31" s="17" t="inlineStr">
        <is>
          <t>Wet Tillage (Puddling): 2 plowings + thorough harrowing under flooded condition</t>
        </is>
      </c>
      <c r="AC31" s="17" t="inlineStr">
        <is>
          <t>Continuous flooding 2–5 cm depth during vegetative stage; drain 2 weeks before harvest</t>
        </is>
      </c>
    </row>
    <row r="32" ht="21.75" customHeight="1" s="101">
      <c r="A32" s="6" t="inlineStr">
        <is>
          <t>Palay</t>
        </is>
      </c>
      <c r="B32" s="6" t="inlineStr">
        <is>
          <t>Sta. Catalina</t>
        </is>
      </c>
      <c r="C32" s="6" t="inlineStr">
        <is>
          <t>January</t>
        </is>
      </c>
      <c r="D32" s="6" t="inlineStr">
        <is>
          <t>2008</t>
        </is>
      </c>
      <c r="E32" s="6" t="inlineStr">
        <is>
          <t>DS 2008</t>
        </is>
      </c>
      <c r="F32" s="6" t="inlineStr">
        <is>
          <t>Planting</t>
        </is>
      </c>
      <c r="G32" s="7" t="n">
        <v>1.45</v>
      </c>
      <c r="H32" s="8" t="n">
        <v>23.94</v>
      </c>
      <c r="I32" s="8" t="n">
        <v>17.59</v>
      </c>
      <c r="J32" s="8" t="n">
        <v>30.5</v>
      </c>
      <c r="K32" s="8" t="n">
        <v>81.62</v>
      </c>
      <c r="L32" s="8" t="n">
        <v>98.54000000000001</v>
      </c>
      <c r="M32" s="8" t="n">
        <v>16.06</v>
      </c>
      <c r="N32" s="6" t="inlineStr">
        <is>
          <t>Type I – Tropical Monsoon (PAGASA)</t>
        </is>
      </c>
      <c r="O32" s="6" t="inlineStr">
        <is>
          <t>Dry (Cool)</t>
        </is>
      </c>
      <c r="P32" s="6" t="inlineStr">
        <is>
          <t>Fine Sand / Sandy Loam</t>
        </is>
      </c>
      <c r="Q32" s="6" t="inlineStr">
        <is>
          <t>Moderately Sloping / Highland</t>
        </is>
      </c>
      <c r="R32" s="9" t="n">
        <v>90</v>
      </c>
      <c r="S32" s="6" t="inlineStr">
        <is>
          <t>—</t>
        </is>
      </c>
      <c r="T32" s="10" t="n">
        <v>709.8</v>
      </c>
      <c r="U32" s="10" t="n">
        <v>2</v>
      </c>
      <c r="V32" s="10" t="n">
        <v>145.04</v>
      </c>
      <c r="W32" s="10" t="n">
        <v>40.06</v>
      </c>
      <c r="X32" s="10" t="n"/>
      <c r="Y32" s="10" t="n"/>
      <c r="Z32" s="11" t="n"/>
      <c r="AA32" s="12" t="inlineStr">
        <is>
          <t>Transplanting (Pindot)</t>
        </is>
      </c>
      <c r="AB32" s="12" t="inlineStr">
        <is>
          <t>Minimum Tillage (avoid compaction; sandy structure fragile)</t>
        </is>
      </c>
      <c r="AC32" s="12" t="inlineStr">
        <is>
          <t>Continuous flooding or frequent irrigation; high percolation risk; terrace or bund-assisted water retention essential on slopes</t>
        </is>
      </c>
    </row>
    <row r="33" ht="21.75" customHeight="1" s="101">
      <c r="A33" s="13" t="inlineStr">
        <is>
          <t>Palay</t>
        </is>
      </c>
      <c r="B33" s="13" t="inlineStr">
        <is>
          <t>Moreno</t>
        </is>
      </c>
      <c r="C33" s="13" t="inlineStr">
        <is>
          <t>January</t>
        </is>
      </c>
      <c r="D33" s="13" t="inlineStr">
        <is>
          <t>2008</t>
        </is>
      </c>
      <c r="E33" s="13" t="inlineStr">
        <is>
          <t>DS 2008</t>
        </is>
      </c>
      <c r="F33" s="13" t="inlineStr">
        <is>
          <t>Planting</t>
        </is>
      </c>
      <c r="G33" s="7" t="n">
        <v>1.45</v>
      </c>
      <c r="H33" s="8" t="n">
        <v>23.94</v>
      </c>
      <c r="I33" s="8" t="n">
        <v>17.59</v>
      </c>
      <c r="J33" s="8" t="n">
        <v>30.5</v>
      </c>
      <c r="K33" s="8" t="n">
        <v>81.62</v>
      </c>
      <c r="L33" s="8" t="n">
        <v>98.54000000000001</v>
      </c>
      <c r="M33" s="8" t="n">
        <v>16.06</v>
      </c>
      <c r="N33" s="13" t="inlineStr">
        <is>
          <t>Type I – Tropical Monsoon (PAGASA)</t>
        </is>
      </c>
      <c r="O33" s="13" t="inlineStr">
        <is>
          <t>Dry (Cool)</t>
        </is>
      </c>
      <c r="P33" s="13" t="inlineStr">
        <is>
          <t>Sandy Loam</t>
        </is>
      </c>
      <c r="Q33" s="13" t="inlineStr">
        <is>
          <t>Moderately Sloping / Highland</t>
        </is>
      </c>
      <c r="R33" s="14" t="n">
        <v>90</v>
      </c>
      <c r="S33" s="13" t="inlineStr">
        <is>
          <t>Alibeng River</t>
        </is>
      </c>
      <c r="T33" s="15" t="n">
        <v>641.76</v>
      </c>
      <c r="U33" s="15" t="n">
        <v>2</v>
      </c>
      <c r="V33" s="15" t="n">
        <v>135.56</v>
      </c>
      <c r="W33" s="15" t="n">
        <v>28.18</v>
      </c>
      <c r="X33" s="15" t="n"/>
      <c r="Y33" s="15" t="n"/>
      <c r="Z33" s="16" t="n"/>
      <c r="AA33" s="17" t="inlineStr">
        <is>
          <t>Transplanting (Pindot) or Direct Seeding (Pinaghandaan)</t>
        </is>
      </c>
      <c r="AB33" s="17" t="inlineStr">
        <is>
          <t>Conventional Tillage: 2 plowings + 2 harrowings; soil workable when moist</t>
        </is>
      </c>
      <c r="AC33" s="17" t="inlineStr">
        <is>
          <t>Intermittent irrigation (Alternate Wetting and Drying — AWD); moderate retention; terrace or bund-assisted water retention essential on slopes</t>
        </is>
      </c>
    </row>
    <row r="34" ht="21.75" customHeight="1" s="101">
      <c r="A34" s="6" t="inlineStr">
        <is>
          <t>Palay</t>
        </is>
      </c>
      <c r="B34" s="6" t="inlineStr">
        <is>
          <t>Cili</t>
        </is>
      </c>
      <c r="C34" s="6" t="inlineStr">
        <is>
          <t>January</t>
        </is>
      </c>
      <c r="D34" s="6" t="inlineStr">
        <is>
          <t>2008</t>
        </is>
      </c>
      <c r="E34" s="6" t="inlineStr">
        <is>
          <t>DS 2008</t>
        </is>
      </c>
      <c r="F34" s="6" t="inlineStr">
        <is>
          <t>Planting</t>
        </is>
      </c>
      <c r="G34" s="7" t="n">
        <v>1.45</v>
      </c>
      <c r="H34" s="8" t="n">
        <v>23.94</v>
      </c>
      <c r="I34" s="8" t="n">
        <v>17.59</v>
      </c>
      <c r="J34" s="8" t="n">
        <v>30.5</v>
      </c>
      <c r="K34" s="8" t="n">
        <v>81.62</v>
      </c>
      <c r="L34" s="8" t="n">
        <v>98.54000000000001</v>
      </c>
      <c r="M34" s="8" t="n">
        <v>16.06</v>
      </c>
      <c r="N34" s="6" t="inlineStr">
        <is>
          <t>Type I – Tropical Monsoon (PAGASA)</t>
        </is>
      </c>
      <c r="O34" s="6" t="inlineStr">
        <is>
          <t>Dry (Cool)</t>
        </is>
      </c>
      <c r="P34" s="6" t="inlineStr">
        <is>
          <t>Silty Clay Loam</t>
        </is>
      </c>
      <c r="Q34" s="6" t="inlineStr">
        <is>
          <t>Flat / Lowland</t>
        </is>
      </c>
      <c r="R34" s="9" t="n">
        <v>30</v>
      </c>
      <c r="S34" s="6" t="inlineStr">
        <is>
          <t>Alibeng River</t>
        </is>
      </c>
      <c r="T34" s="10" t="n">
        <v>264.6</v>
      </c>
      <c r="U34" s="10" t="n">
        <v>2</v>
      </c>
      <c r="V34" s="10" t="n">
        <v>35.32</v>
      </c>
      <c r="W34" s="10" t="n">
        <v>12.5</v>
      </c>
      <c r="X34" s="10" t="n"/>
      <c r="Y34" s="10" t="n"/>
      <c r="Z34" s="11" t="n"/>
      <c r="AA34" s="12" t="inlineStr">
        <is>
          <t>Transplanting (Pindot) — optimal for clay-loam paddy fields</t>
        </is>
      </c>
      <c r="AB34" s="12" t="inlineStr">
        <is>
          <t>Wet Tillage (Puddling): 2 plowings + thorough harrowing under flooded condition</t>
        </is>
      </c>
      <c r="AC34" s="12" t="inlineStr">
        <is>
          <t>Continuous flooding 2–5 cm depth during vegetative stage; drain 2 weeks before harvest</t>
        </is>
      </c>
    </row>
    <row r="35" ht="21.75" customHeight="1" s="101">
      <c r="A35" s="13" t="inlineStr">
        <is>
          <t>Palay</t>
        </is>
      </c>
      <c r="B35" s="13" t="inlineStr">
        <is>
          <t>San Pablo</t>
        </is>
      </c>
      <c r="C35" s="13" t="inlineStr">
        <is>
          <t>January</t>
        </is>
      </c>
      <c r="D35" s="13" t="inlineStr">
        <is>
          <t>2008</t>
        </is>
      </c>
      <c r="E35" s="13" t="inlineStr">
        <is>
          <t>DS 2008</t>
        </is>
      </c>
      <c r="F35" s="13" t="inlineStr">
        <is>
          <t>Planting</t>
        </is>
      </c>
      <c r="G35" s="7" t="n">
        <v>1.45</v>
      </c>
      <c r="H35" s="8" t="n">
        <v>23.94</v>
      </c>
      <c r="I35" s="8" t="n">
        <v>17.59</v>
      </c>
      <c r="J35" s="8" t="n">
        <v>30.5</v>
      </c>
      <c r="K35" s="8" t="n">
        <v>81.62</v>
      </c>
      <c r="L35" s="8" t="n">
        <v>98.54000000000001</v>
      </c>
      <c r="M35" s="8" t="n">
        <v>16.06</v>
      </c>
      <c r="N35" s="13" t="inlineStr">
        <is>
          <t>Type I – Tropical Monsoon (PAGASA)</t>
        </is>
      </c>
      <c r="O35" s="13" t="inlineStr">
        <is>
          <t>Dry (Cool)</t>
        </is>
      </c>
      <c r="P35" s="13" t="inlineStr">
        <is>
          <t>Sandy Loam</t>
        </is>
      </c>
      <c r="Q35" s="13" t="inlineStr">
        <is>
          <t>Flat / Lowland</t>
        </is>
      </c>
      <c r="R35" s="14" t="n">
        <v>30</v>
      </c>
      <c r="S35" s="13" t="inlineStr">
        <is>
          <t>San Pablo Creek</t>
        </is>
      </c>
      <c r="T35" s="15" t="n">
        <v>215.04</v>
      </c>
      <c r="U35" s="15" t="n">
        <v>4.37</v>
      </c>
      <c r="V35" s="15" t="n">
        <v>20.7</v>
      </c>
      <c r="W35" s="15" t="n">
        <v>134</v>
      </c>
      <c r="X35" s="15" t="n"/>
      <c r="Y35" s="15" t="n"/>
      <c r="Z35" s="16" t="n"/>
      <c r="AA35" s="17" t="inlineStr">
        <is>
          <t>Transplanting (Pindot) or Direct Seeding (Pinaghandaan)</t>
        </is>
      </c>
      <c r="AB35" s="17" t="inlineStr">
        <is>
          <t>Conventional Tillage: 2 plowings + 2 harrowings; soil workable when moist</t>
        </is>
      </c>
      <c r="AC35" s="17" t="inlineStr">
        <is>
          <t>Intermittent irrigation (Alternate Wetting and Drying — AWD); moderate retention</t>
        </is>
      </c>
    </row>
    <row r="36" ht="21.75" customHeight="1" s="101">
      <c r="A36" s="6" t="inlineStr">
        <is>
          <t>Palay</t>
        </is>
      </c>
      <c r="B36" s="6" t="inlineStr">
        <is>
          <t>Balangobong</t>
        </is>
      </c>
      <c r="C36" s="6" t="inlineStr">
        <is>
          <t>January</t>
        </is>
      </c>
      <c r="D36" s="6" t="inlineStr">
        <is>
          <t>2008</t>
        </is>
      </c>
      <c r="E36" s="6" t="inlineStr">
        <is>
          <t>DS 2008</t>
        </is>
      </c>
      <c r="F36" s="6" t="inlineStr">
        <is>
          <t>Planting</t>
        </is>
      </c>
      <c r="G36" s="7" t="n">
        <v>1.45</v>
      </c>
      <c r="H36" s="8" t="n">
        <v>23.94</v>
      </c>
      <c r="I36" s="8" t="n">
        <v>17.59</v>
      </c>
      <c r="J36" s="8" t="n">
        <v>30.5</v>
      </c>
      <c r="K36" s="8" t="n">
        <v>81.62</v>
      </c>
      <c r="L36" s="8" t="n">
        <v>98.54000000000001</v>
      </c>
      <c r="M36" s="8" t="n">
        <v>16.06</v>
      </c>
      <c r="N36" s="6" t="inlineStr">
        <is>
          <t>Type I – Tropical Monsoon (PAGASA)</t>
        </is>
      </c>
      <c r="O36" s="6" t="inlineStr">
        <is>
          <t>Dry (Cool)</t>
        </is>
      </c>
      <c r="P36" s="6" t="inlineStr">
        <is>
          <t>Silty Clay Loam</t>
        </is>
      </c>
      <c r="Q36" s="6" t="inlineStr">
        <is>
          <t>Flat / Lowland</t>
        </is>
      </c>
      <c r="R36" s="9" t="n">
        <v>30</v>
      </c>
      <c r="S36" s="6" t="inlineStr">
        <is>
          <t>—</t>
        </is>
      </c>
      <c r="T36" s="10" t="n">
        <v>281.4</v>
      </c>
      <c r="U36" s="10" t="n">
        <v>1</v>
      </c>
      <c r="V36" s="10" t="n">
        <v>35.32</v>
      </c>
      <c r="W36" s="10" t="n">
        <v>122</v>
      </c>
      <c r="X36" s="10" t="n"/>
      <c r="Y36" s="10" t="n"/>
      <c r="Z36" s="11" t="n"/>
      <c r="AA36" s="12" t="inlineStr">
        <is>
          <t>Transplanting (Pindot) — optimal for clay-loam paddy fields</t>
        </is>
      </c>
      <c r="AB36" s="12" t="inlineStr">
        <is>
          <t>Wet Tillage (Puddling): 2 plowings + thorough harrowing under flooded condition</t>
        </is>
      </c>
      <c r="AC36" s="12" t="inlineStr">
        <is>
          <t>Continuous flooding 2–5 cm depth during vegetative stage; drain 2 weeks before harvest</t>
        </is>
      </c>
    </row>
    <row r="37" ht="21.75" customHeight="1" s="101">
      <c r="A37" s="13" t="inlineStr">
        <is>
          <t>Palay</t>
        </is>
      </c>
      <c r="B37" s="13" t="inlineStr">
        <is>
          <t>San Felipe Central</t>
        </is>
      </c>
      <c r="C37" s="13" t="inlineStr">
        <is>
          <t>January</t>
        </is>
      </c>
      <c r="D37" s="13" t="inlineStr">
        <is>
          <t>2008</t>
        </is>
      </c>
      <c r="E37" s="13" t="inlineStr">
        <is>
          <t>DS 2008</t>
        </is>
      </c>
      <c r="F37" s="13" t="inlineStr">
        <is>
          <t>Planting</t>
        </is>
      </c>
      <c r="G37" s="7" t="n">
        <v>1.45</v>
      </c>
      <c r="H37" s="8" t="n">
        <v>23.94</v>
      </c>
      <c r="I37" s="8" t="n">
        <v>17.59</v>
      </c>
      <c r="J37" s="8" t="n">
        <v>30.5</v>
      </c>
      <c r="K37" s="8" t="n">
        <v>81.62</v>
      </c>
      <c r="L37" s="8" t="n">
        <v>98.54000000000001</v>
      </c>
      <c r="M37" s="8" t="n">
        <v>16.06</v>
      </c>
      <c r="N37" s="13" t="inlineStr">
        <is>
          <t>Type I – Tropical Monsoon (PAGASA)</t>
        </is>
      </c>
      <c r="O37" s="13" t="inlineStr">
        <is>
          <t>Dry (Cool)</t>
        </is>
      </c>
      <c r="P37" s="13" t="inlineStr">
        <is>
          <t>Sandy Loam</t>
        </is>
      </c>
      <c r="Q37" s="13" t="inlineStr">
        <is>
          <t>Flat / Lowland</t>
        </is>
      </c>
      <c r="R37" s="14" t="n">
        <v>30</v>
      </c>
      <c r="S37" s="13" t="inlineStr">
        <is>
          <t>—</t>
        </is>
      </c>
      <c r="T37" s="15" t="n">
        <v>452.76</v>
      </c>
      <c r="U37" s="15" t="n">
        <v>10.77</v>
      </c>
      <c r="V37" s="15" t="n">
        <v>41.02</v>
      </c>
      <c r="W37" s="15" t="n">
        <v>169.2</v>
      </c>
      <c r="X37" s="15" t="n"/>
      <c r="Y37" s="15" t="n"/>
      <c r="Z37" s="16" t="n"/>
      <c r="AA37" s="17" t="inlineStr">
        <is>
          <t>Transplanting (Pindot) or Direct Seeding (Pinaghandaan)</t>
        </is>
      </c>
      <c r="AB37" s="17" t="inlineStr">
        <is>
          <t>Conventional Tillage: 2 plowings + 2 harrowings; soil workable when moist</t>
        </is>
      </c>
      <c r="AC37" s="17" t="inlineStr">
        <is>
          <t>Intermittent irrigation (Alternate Wetting and Drying — AWD); moderate retention</t>
        </is>
      </c>
    </row>
    <row r="38" ht="21.75" customHeight="1" s="101">
      <c r="A38" s="6" t="inlineStr">
        <is>
          <t>Palay</t>
        </is>
      </c>
      <c r="B38" s="6" t="inlineStr">
        <is>
          <t>Sumabnit</t>
        </is>
      </c>
      <c r="C38" s="6" t="inlineStr">
        <is>
          <t>January</t>
        </is>
      </c>
      <c r="D38" s="6" t="inlineStr">
        <is>
          <t>2008</t>
        </is>
      </c>
      <c r="E38" s="6" t="inlineStr">
        <is>
          <t>DS 2008</t>
        </is>
      </c>
      <c r="F38" s="6" t="inlineStr">
        <is>
          <t>Planting</t>
        </is>
      </c>
      <c r="G38" s="7" t="n">
        <v>1.45</v>
      </c>
      <c r="H38" s="8" t="n">
        <v>23.94</v>
      </c>
      <c r="I38" s="8" t="n">
        <v>17.59</v>
      </c>
      <c r="J38" s="8" t="n">
        <v>30.5</v>
      </c>
      <c r="K38" s="8" t="n">
        <v>81.62</v>
      </c>
      <c r="L38" s="8" t="n">
        <v>98.54000000000001</v>
      </c>
      <c r="M38" s="8" t="n">
        <v>16.06</v>
      </c>
      <c r="N38" s="6" t="inlineStr">
        <is>
          <t>Type I – Tropical Monsoon (PAGASA)</t>
        </is>
      </c>
      <c r="O38" s="6" t="inlineStr">
        <is>
          <t>Dry (Cool)</t>
        </is>
      </c>
      <c r="P38" s="6" t="inlineStr">
        <is>
          <t>Silty Clay Loam / Fine Sandy Loam</t>
        </is>
      </c>
      <c r="Q38" s="6" t="inlineStr">
        <is>
          <t>Flat / Lowland</t>
        </is>
      </c>
      <c r="R38" s="9" t="n">
        <v>30</v>
      </c>
      <c r="S38" s="6" t="inlineStr">
        <is>
          <t>Tagamusing River</t>
        </is>
      </c>
      <c r="T38" s="10" t="n">
        <v>406.56</v>
      </c>
      <c r="U38" s="10" t="n">
        <v>10.68</v>
      </c>
      <c r="V38" s="10" t="n">
        <v>81.66</v>
      </c>
      <c r="W38" s="10" t="n">
        <v>10.5</v>
      </c>
      <c r="X38" s="10" t="n"/>
      <c r="Y38" s="10" t="n"/>
      <c r="Z38" s="11" t="n"/>
      <c r="AA38" s="12" t="inlineStr">
        <is>
          <t>Transplanting (Pindot)</t>
        </is>
      </c>
      <c r="AB38" s="12" t="inlineStr">
        <is>
          <t>Minimum Tillage (avoid compaction; sandy structure fragile)</t>
        </is>
      </c>
      <c r="AC38" s="12" t="inlineStr">
        <is>
          <t>Continuous flooding or frequent irrigation; high percolation risk</t>
        </is>
      </c>
    </row>
    <row r="39" ht="21.75" customHeight="1" s="101">
      <c r="A39" s="13" t="inlineStr">
        <is>
          <t>Palay</t>
        </is>
      </c>
      <c r="B39" s="13" t="inlineStr">
        <is>
          <t>San Felipe Sur</t>
        </is>
      </c>
      <c r="C39" s="13" t="inlineStr">
        <is>
          <t>January</t>
        </is>
      </c>
      <c r="D39" s="13" t="inlineStr">
        <is>
          <t>2008</t>
        </is>
      </c>
      <c r="E39" s="13" t="inlineStr">
        <is>
          <t>DS 2008</t>
        </is>
      </c>
      <c r="F39" s="13" t="inlineStr">
        <is>
          <t>Planting</t>
        </is>
      </c>
      <c r="G39" s="7" t="n">
        <v>1.45</v>
      </c>
      <c r="H39" s="8" t="n">
        <v>23.94</v>
      </c>
      <c r="I39" s="8" t="n">
        <v>17.59</v>
      </c>
      <c r="J39" s="8" t="n">
        <v>30.5</v>
      </c>
      <c r="K39" s="8" t="n">
        <v>81.62</v>
      </c>
      <c r="L39" s="8" t="n">
        <v>98.54000000000001</v>
      </c>
      <c r="M39" s="8" t="n">
        <v>16.06</v>
      </c>
      <c r="N39" s="13" t="inlineStr">
        <is>
          <t>Type I – Tropical Monsoon (PAGASA)</t>
        </is>
      </c>
      <c r="O39" s="13" t="inlineStr">
        <is>
          <t>Dry (Cool)</t>
        </is>
      </c>
      <c r="P39" s="13" t="inlineStr">
        <is>
          <t>Sandy Loam</t>
        </is>
      </c>
      <c r="Q39" s="13" t="inlineStr">
        <is>
          <t>Flat / Lowland</t>
        </is>
      </c>
      <c r="R39" s="14" t="n">
        <v>30</v>
      </c>
      <c r="S39" s="13" t="inlineStr">
        <is>
          <t>Tagamusing River</t>
        </is>
      </c>
      <c r="T39" s="15" t="n">
        <v>504</v>
      </c>
      <c r="U39" s="15" t="n">
        <v>2</v>
      </c>
      <c r="V39" s="15" t="n">
        <v>26.4</v>
      </c>
      <c r="W39" s="15" t="n">
        <v>168</v>
      </c>
      <c r="X39" s="15" t="n"/>
      <c r="Y39" s="15" t="n"/>
      <c r="Z39" s="16" t="n"/>
      <c r="AA39" s="17" t="inlineStr">
        <is>
          <t>Transplanting (Pindot) or Direct Seeding (Pinaghandaan)</t>
        </is>
      </c>
      <c r="AB39" s="17" t="inlineStr">
        <is>
          <t>Conventional Tillage: 2 plowings + 2 harrowings; soil workable when moist</t>
        </is>
      </c>
      <c r="AC39" s="17" t="inlineStr">
        <is>
          <t>Intermittent irrigation (Alternate Wetting and Drying — AWD); moderate retention</t>
        </is>
      </c>
    </row>
    <row r="40" ht="21.75" customHeight="1" s="101">
      <c r="A40" s="6" t="inlineStr">
        <is>
          <t>Palay</t>
        </is>
      </c>
      <c r="B40" s="6" t="inlineStr">
        <is>
          <t>Linmansangan</t>
        </is>
      </c>
      <c r="C40" s="6" t="inlineStr">
        <is>
          <t>January</t>
        </is>
      </c>
      <c r="D40" s="6" t="inlineStr">
        <is>
          <t>2008</t>
        </is>
      </c>
      <c r="E40" s="6" t="inlineStr">
        <is>
          <t>DS 2008</t>
        </is>
      </c>
      <c r="F40" s="6" t="inlineStr">
        <is>
          <t>Planting</t>
        </is>
      </c>
      <c r="G40" s="7" t="n">
        <v>1.45</v>
      </c>
      <c r="H40" s="8" t="n">
        <v>23.94</v>
      </c>
      <c r="I40" s="8" t="n">
        <v>17.59</v>
      </c>
      <c r="J40" s="8" t="n">
        <v>30.5</v>
      </c>
      <c r="K40" s="8" t="n">
        <v>81.62</v>
      </c>
      <c r="L40" s="8" t="n">
        <v>98.54000000000001</v>
      </c>
      <c r="M40" s="8" t="n">
        <v>16.06</v>
      </c>
      <c r="N40" s="6" t="inlineStr">
        <is>
          <t>Type I – Tropical Monsoon (PAGASA)</t>
        </is>
      </c>
      <c r="O40" s="6" t="inlineStr">
        <is>
          <t>Dry (Cool)</t>
        </is>
      </c>
      <c r="P40" s="6" t="inlineStr">
        <is>
          <t>Silty Clay Loam</t>
        </is>
      </c>
      <c r="Q40" s="6" t="inlineStr">
        <is>
          <t>Flat / Lowland</t>
        </is>
      </c>
      <c r="R40" s="9" t="n">
        <v>30</v>
      </c>
      <c r="S40" s="6" t="inlineStr">
        <is>
          <t>—</t>
        </is>
      </c>
      <c r="T40" s="10" t="n">
        <v>492.24</v>
      </c>
      <c r="U40" s="10" t="n">
        <v>2</v>
      </c>
      <c r="V40" s="10" t="n">
        <v>81.66</v>
      </c>
      <c r="W40" s="10" t="n">
        <v>12.25</v>
      </c>
      <c r="X40" s="10" t="n"/>
      <c r="Y40" s="10" t="n"/>
      <c r="Z40" s="11" t="n"/>
      <c r="AA40" s="12" t="inlineStr">
        <is>
          <t>Transplanting (Pindot) — optimal for clay-loam paddy fields</t>
        </is>
      </c>
      <c r="AB40" s="12" t="inlineStr">
        <is>
          <t>Wet Tillage (Puddling): 2 plowings + thorough harrowing under flooded condition</t>
        </is>
      </c>
      <c r="AC40" s="12" t="inlineStr">
        <is>
          <t>Continuous flooding 2–5 cm depth during vegetative stage; drain 2 weeks before harvest</t>
        </is>
      </c>
    </row>
    <row r="41" ht="21.75" customHeight="1" s="101">
      <c r="A41" s="13" t="inlineStr">
        <is>
          <t>Palay</t>
        </is>
      </c>
      <c r="B41" s="13" t="inlineStr">
        <is>
          <t>Pasileng Sur</t>
        </is>
      </c>
      <c r="C41" s="13" t="inlineStr">
        <is>
          <t>January</t>
        </is>
      </c>
      <c r="D41" s="13" t="inlineStr">
        <is>
          <t>2008</t>
        </is>
      </c>
      <c r="E41" s="13" t="inlineStr">
        <is>
          <t>DS 2008</t>
        </is>
      </c>
      <c r="F41" s="13" t="inlineStr">
        <is>
          <t>Planting</t>
        </is>
      </c>
      <c r="G41" s="7" t="n">
        <v>1.45</v>
      </c>
      <c r="H41" s="8" t="n">
        <v>23.94</v>
      </c>
      <c r="I41" s="8" t="n">
        <v>17.59</v>
      </c>
      <c r="J41" s="8" t="n">
        <v>30.5</v>
      </c>
      <c r="K41" s="8" t="n">
        <v>81.62</v>
      </c>
      <c r="L41" s="8" t="n">
        <v>98.54000000000001</v>
      </c>
      <c r="M41" s="8" t="n">
        <v>16.06</v>
      </c>
      <c r="N41" s="13" t="inlineStr">
        <is>
          <t>Type I – Tropical Monsoon (PAGASA)</t>
        </is>
      </c>
      <c r="O41" s="13" t="inlineStr">
        <is>
          <t>Dry (Cool)</t>
        </is>
      </c>
      <c r="P41" s="13" t="inlineStr">
        <is>
          <t>Sandy Loam</t>
        </is>
      </c>
      <c r="Q41" s="13" t="inlineStr">
        <is>
          <t>Flat / Lowland</t>
        </is>
      </c>
      <c r="R41" s="14" t="n">
        <v>30</v>
      </c>
      <c r="S41" s="13" t="inlineStr">
        <is>
          <t>Tagamusing River</t>
        </is>
      </c>
      <c r="T41" s="15" t="n">
        <v>414.96</v>
      </c>
      <c r="U41" s="15" t="n">
        <v>15.52</v>
      </c>
      <c r="V41" s="15" t="n">
        <v>41.02</v>
      </c>
      <c r="W41" s="15" t="n">
        <v>102</v>
      </c>
      <c r="X41" s="15" t="n"/>
      <c r="Y41" s="15" t="n"/>
      <c r="Z41" s="16" t="n"/>
      <c r="AA41" s="17" t="inlineStr">
        <is>
          <t>Transplanting (Pindot) or Direct Seeding (Pinaghandaan)</t>
        </is>
      </c>
      <c r="AB41" s="17" t="inlineStr">
        <is>
          <t>Conventional Tillage: 2 plowings + 2 harrowings; soil workable when moist</t>
        </is>
      </c>
      <c r="AC41" s="17" t="inlineStr">
        <is>
          <t>Intermittent irrigation (Alternate Wetting and Drying — AWD); moderate retention</t>
        </is>
      </c>
    </row>
    <row r="42" ht="21.75" customHeight="1" s="101">
      <c r="A42" s="6" t="inlineStr">
        <is>
          <t>Palay</t>
        </is>
      </c>
      <c r="B42" s="6" t="inlineStr">
        <is>
          <t>Capas</t>
        </is>
      </c>
      <c r="C42" s="6" t="inlineStr">
        <is>
          <t>January</t>
        </is>
      </c>
      <c r="D42" s="6" t="inlineStr">
        <is>
          <t>2008</t>
        </is>
      </c>
      <c r="E42" s="6" t="inlineStr">
        <is>
          <t>DS 2008</t>
        </is>
      </c>
      <c r="F42" s="6" t="inlineStr">
        <is>
          <t>Planting</t>
        </is>
      </c>
      <c r="G42" s="7" t="n">
        <v>1.45</v>
      </c>
      <c r="H42" s="8" t="n">
        <v>23.94</v>
      </c>
      <c r="I42" s="8" t="n">
        <v>17.59</v>
      </c>
      <c r="J42" s="8" t="n">
        <v>30.5</v>
      </c>
      <c r="K42" s="8" t="n">
        <v>81.62</v>
      </c>
      <c r="L42" s="8" t="n">
        <v>98.54000000000001</v>
      </c>
      <c r="M42" s="8" t="n">
        <v>16.06</v>
      </c>
      <c r="N42" s="6" t="inlineStr">
        <is>
          <t>Type I – Tropical Monsoon (PAGASA)</t>
        </is>
      </c>
      <c r="O42" s="6" t="inlineStr">
        <is>
          <t>Dry (Cool)</t>
        </is>
      </c>
      <c r="P42" s="6" t="inlineStr">
        <is>
          <t>Sandy Loam</t>
        </is>
      </c>
      <c r="Q42" s="6" t="inlineStr">
        <is>
          <t>Flat / Lowland</t>
        </is>
      </c>
      <c r="R42" s="9" t="n">
        <v>30</v>
      </c>
      <c r="S42" s="6" t="inlineStr">
        <is>
          <t>—</t>
        </is>
      </c>
      <c r="T42" s="10" t="n">
        <v>377.16</v>
      </c>
      <c r="U42" s="10" t="n">
        <v>3.47</v>
      </c>
      <c r="V42" s="10" t="n">
        <v>52.42</v>
      </c>
      <c r="W42" s="10" t="n">
        <v>179</v>
      </c>
      <c r="X42" s="10" t="n"/>
      <c r="Y42" s="10" t="n"/>
      <c r="Z42" s="11" t="n"/>
      <c r="AA42" s="12" t="inlineStr">
        <is>
          <t>Transplanting (Pindot) or Direct Seeding (Pinaghandaan)</t>
        </is>
      </c>
      <c r="AB42" s="12" t="inlineStr">
        <is>
          <t>Conventional Tillage: 2 plowings + 2 harrowings; soil workable when moist</t>
        </is>
      </c>
      <c r="AC42" s="12" t="inlineStr">
        <is>
          <t>Intermittent irrigation (Alternate Wetting and Drying — AWD); moderate retention</t>
        </is>
      </c>
    </row>
    <row r="43" ht="21.75" customHeight="1" s="101">
      <c r="A43" s="13" t="inlineStr">
        <is>
          <t>Palay</t>
        </is>
      </c>
      <c r="B43" s="13" t="inlineStr">
        <is>
          <t>Sta. Maria Norte</t>
        </is>
      </c>
      <c r="C43" s="13" t="inlineStr">
        <is>
          <t>January</t>
        </is>
      </c>
      <c r="D43" s="13" t="inlineStr">
        <is>
          <t>2008</t>
        </is>
      </c>
      <c r="E43" s="13" t="inlineStr">
        <is>
          <t>DS 2008</t>
        </is>
      </c>
      <c r="F43" s="13" t="inlineStr">
        <is>
          <t>Planting</t>
        </is>
      </c>
      <c r="G43" s="7" t="n">
        <v>1.45</v>
      </c>
      <c r="H43" s="8" t="n">
        <v>23.94</v>
      </c>
      <c r="I43" s="8" t="n">
        <v>17.59</v>
      </c>
      <c r="J43" s="8" t="n">
        <v>30.5</v>
      </c>
      <c r="K43" s="8" t="n">
        <v>81.62</v>
      </c>
      <c r="L43" s="8" t="n">
        <v>98.54000000000001</v>
      </c>
      <c r="M43" s="8" t="n">
        <v>16.06</v>
      </c>
      <c r="N43" s="13" t="inlineStr">
        <is>
          <t>Type I – Tropical Monsoon (PAGASA)</t>
        </is>
      </c>
      <c r="O43" s="13" t="inlineStr">
        <is>
          <t>Dry (Cool)</t>
        </is>
      </c>
      <c r="P43" s="13" t="inlineStr">
        <is>
          <t>Sandy Loam</t>
        </is>
      </c>
      <c r="Q43" s="13" t="inlineStr">
        <is>
          <t>Flat / Lowland</t>
        </is>
      </c>
      <c r="R43" s="14" t="n">
        <v>30</v>
      </c>
      <c r="S43" s="13" t="inlineStr">
        <is>
          <t>Tagamusing River</t>
        </is>
      </c>
      <c r="T43" s="15" t="n">
        <v>157.08</v>
      </c>
      <c r="U43" s="15" t="n">
        <v>2</v>
      </c>
      <c r="V43" s="15" t="n">
        <v>20.7</v>
      </c>
      <c r="W43" s="15" t="n">
        <v>25.5</v>
      </c>
      <c r="X43" s="15" t="n"/>
      <c r="Y43" s="15" t="n"/>
      <c r="Z43" s="16" t="n"/>
      <c r="AA43" s="17" t="inlineStr">
        <is>
          <t>Transplanting (Pindot) or Direct Seeding (Pinaghandaan)</t>
        </is>
      </c>
      <c r="AB43" s="17" t="inlineStr">
        <is>
          <t>Conventional Tillage: 2 plowings + 2 harrowings; soil workable when moist</t>
        </is>
      </c>
      <c r="AC43" s="17" t="inlineStr">
        <is>
          <t>Intermittent irrigation (Alternate Wetting and Drying — AWD); moderate retention</t>
        </is>
      </c>
    </row>
    <row r="44" ht="21.75" customHeight="1" s="101">
      <c r="A44" s="6" t="inlineStr">
        <is>
          <t>Palay</t>
        </is>
      </c>
      <c r="B44" s="6" t="inlineStr">
        <is>
          <t>Mangkasuy</t>
        </is>
      </c>
      <c r="C44" s="6" t="inlineStr">
        <is>
          <t>January</t>
        </is>
      </c>
      <c r="D44" s="6" t="inlineStr">
        <is>
          <t>2008</t>
        </is>
      </c>
      <c r="E44" s="6" t="inlineStr">
        <is>
          <t>DS 2008</t>
        </is>
      </c>
      <c r="F44" s="6" t="inlineStr">
        <is>
          <t>Planting</t>
        </is>
      </c>
      <c r="G44" s="7" t="n">
        <v>1.45</v>
      </c>
      <c r="H44" s="8" t="n">
        <v>23.94</v>
      </c>
      <c r="I44" s="8" t="n">
        <v>17.59</v>
      </c>
      <c r="J44" s="8" t="n">
        <v>30.5</v>
      </c>
      <c r="K44" s="8" t="n">
        <v>81.62</v>
      </c>
      <c r="L44" s="8" t="n">
        <v>98.54000000000001</v>
      </c>
      <c r="M44" s="8" t="n">
        <v>16.06</v>
      </c>
      <c r="N44" s="6" t="inlineStr">
        <is>
          <t>Type I – Tropical Monsoon (PAGASA)</t>
        </is>
      </c>
      <c r="O44" s="6" t="inlineStr">
        <is>
          <t>Dry (Cool)</t>
        </is>
      </c>
      <c r="P44" s="6" t="inlineStr">
        <is>
          <t>Sandy Loam</t>
        </is>
      </c>
      <c r="Q44" s="6" t="inlineStr">
        <is>
          <t>Flat / Lowland</t>
        </is>
      </c>
      <c r="R44" s="9" t="n">
        <v>30</v>
      </c>
      <c r="S44" s="6" t="inlineStr">
        <is>
          <t>Tagamusing River</t>
        </is>
      </c>
      <c r="T44" s="10" t="n">
        <v>802.2</v>
      </c>
      <c r="U44" s="10" t="n">
        <v>2</v>
      </c>
      <c r="V44" s="10" t="n">
        <v>70.81999999999999</v>
      </c>
      <c r="W44" s="10" t="n">
        <v>18</v>
      </c>
      <c r="X44" s="10" t="n"/>
      <c r="Y44" s="10" t="n"/>
      <c r="Z44" s="11" t="n"/>
      <c r="AA44" s="12" t="inlineStr">
        <is>
          <t>Transplanting (Pindot) or Direct Seeding (Pinaghandaan)</t>
        </is>
      </c>
      <c r="AB44" s="12" t="inlineStr">
        <is>
          <t>Conventional Tillage: 2 plowings + 2 harrowings; soil workable when moist</t>
        </is>
      </c>
      <c r="AC44" s="12" t="inlineStr">
        <is>
          <t>Intermittent irrigation (Alternate Wetting and Drying — AWD); moderate retention</t>
        </is>
      </c>
    </row>
    <row r="45" ht="21.75" customHeight="1" s="101">
      <c r="A45" s="13" t="inlineStr">
        <is>
          <t>Palay</t>
        </is>
      </c>
      <c r="B45" s="13" t="inlineStr">
        <is>
          <t>Santiago</t>
        </is>
      </c>
      <c r="C45" s="13" t="inlineStr">
        <is>
          <t>January</t>
        </is>
      </c>
      <c r="D45" s="13" t="inlineStr">
        <is>
          <t>2008</t>
        </is>
      </c>
      <c r="E45" s="13" t="inlineStr">
        <is>
          <t>DS 2008</t>
        </is>
      </c>
      <c r="F45" s="13" t="inlineStr">
        <is>
          <t>Planting</t>
        </is>
      </c>
      <c r="G45" s="7" t="n">
        <v>1.45</v>
      </c>
      <c r="H45" s="8" t="n">
        <v>23.94</v>
      </c>
      <c r="I45" s="8" t="n">
        <v>17.59</v>
      </c>
      <c r="J45" s="8" t="n">
        <v>30.5</v>
      </c>
      <c r="K45" s="8" t="n">
        <v>81.62</v>
      </c>
      <c r="L45" s="8" t="n">
        <v>98.54000000000001</v>
      </c>
      <c r="M45" s="8" t="n">
        <v>16.06</v>
      </c>
      <c r="N45" s="13" t="inlineStr">
        <is>
          <t>Type I – Tropical Monsoon (PAGASA)</t>
        </is>
      </c>
      <c r="O45" s="13" t="inlineStr">
        <is>
          <t>Dry (Cool)</t>
        </is>
      </c>
      <c r="P45" s="13" t="inlineStr">
        <is>
          <t>Silty Clay Loam</t>
        </is>
      </c>
      <c r="Q45" s="13" t="inlineStr">
        <is>
          <t>Flat / Lowland</t>
        </is>
      </c>
      <c r="R45" s="14" t="n">
        <v>30</v>
      </c>
      <c r="S45" s="13" t="inlineStr">
        <is>
          <t>—</t>
        </is>
      </c>
      <c r="T45" s="15" t="n">
        <v>283.08</v>
      </c>
      <c r="U45" s="15" t="n">
        <v>15.54</v>
      </c>
      <c r="V45" s="15" t="n">
        <v>81.66</v>
      </c>
      <c r="W45" s="15" t="n">
        <v>85.18000000000001</v>
      </c>
      <c r="X45" s="15" t="n"/>
      <c r="Y45" s="15" t="n"/>
      <c r="Z45" s="16" t="n"/>
      <c r="AA45" s="17" t="inlineStr">
        <is>
          <t>Transplanting (Pindot) — optimal for clay-loam paddy fields</t>
        </is>
      </c>
      <c r="AB45" s="17" t="inlineStr">
        <is>
          <t>Wet Tillage (Puddling): 2 plowings + thorough harrowing under flooded condition</t>
        </is>
      </c>
      <c r="AC45" s="17" t="inlineStr">
        <is>
          <t>Continuous flooding 2–5 cm depth during vegetative stage; drain 2 weeks before harvest</t>
        </is>
      </c>
    </row>
    <row r="46" ht="21.75" customHeight="1" s="101">
      <c r="A46" s="6" t="inlineStr">
        <is>
          <t>Palay</t>
        </is>
      </c>
      <c r="B46" s="6" t="inlineStr">
        <is>
          <t>Pasileng Norte</t>
        </is>
      </c>
      <c r="C46" s="6" t="inlineStr">
        <is>
          <t>January</t>
        </is>
      </c>
      <c r="D46" s="6" t="inlineStr">
        <is>
          <t>2009</t>
        </is>
      </c>
      <c r="E46" s="6" t="inlineStr">
        <is>
          <t>DS 2009</t>
        </is>
      </c>
      <c r="F46" s="6" t="inlineStr">
        <is>
          <t>Planting</t>
        </is>
      </c>
      <c r="G46" s="7" t="n">
        <v>0.37</v>
      </c>
      <c r="H46" s="8" t="n">
        <v>23.05</v>
      </c>
      <c r="I46" s="8" t="n">
        <v>14.1</v>
      </c>
      <c r="J46" s="8" t="n">
        <v>31.33</v>
      </c>
      <c r="K46" s="8" t="n">
        <v>77.59999999999999</v>
      </c>
      <c r="L46" s="8" t="n">
        <v>98.59999999999999</v>
      </c>
      <c r="M46" s="8" t="n">
        <v>15.67</v>
      </c>
      <c r="N46" s="6" t="inlineStr">
        <is>
          <t>Type I – Tropical Monsoon (PAGASA)</t>
        </is>
      </c>
      <c r="O46" s="6" t="inlineStr">
        <is>
          <t>Dry (Cool)</t>
        </is>
      </c>
      <c r="P46" s="6" t="inlineStr">
        <is>
          <t>Sandy Loam</t>
        </is>
      </c>
      <c r="Q46" s="6" t="inlineStr">
        <is>
          <t>Flat / Lowland</t>
        </is>
      </c>
      <c r="R46" s="9" t="n">
        <v>30</v>
      </c>
      <c r="S46" s="6" t="inlineStr">
        <is>
          <t>Tagamusing River</t>
        </is>
      </c>
      <c r="T46" s="10" t="n">
        <v>140.28</v>
      </c>
      <c r="U46" s="10" t="n">
        <v>2</v>
      </c>
      <c r="V46" s="10" t="n">
        <v>26.4</v>
      </c>
      <c r="W46" s="10" t="n">
        <v>86</v>
      </c>
      <c r="X46" s="10" t="n"/>
      <c r="Y46" s="10" t="n"/>
      <c r="Z46" s="11" t="n"/>
      <c r="AA46" s="12" t="inlineStr">
        <is>
          <t>Transplanting (Pindot) or Direct Seeding (Pinaghandaan)</t>
        </is>
      </c>
      <c r="AB46" s="12" t="inlineStr">
        <is>
          <t>Conventional Tillage: 2 plowings + 2 harrowings; soil workable when moist</t>
        </is>
      </c>
      <c r="AC46" s="12" t="inlineStr">
        <is>
          <t>Intermittent irrigation (Alternate Wetting and Drying — AWD); moderate retention</t>
        </is>
      </c>
    </row>
    <row r="47" ht="21.75" customHeight="1" s="101">
      <c r="A47" s="13" t="inlineStr">
        <is>
          <t>Palay</t>
        </is>
      </c>
      <c r="B47" s="13" t="inlineStr">
        <is>
          <t>Tabuyoc</t>
        </is>
      </c>
      <c r="C47" s="13" t="inlineStr">
        <is>
          <t>January</t>
        </is>
      </c>
      <c r="D47" s="13" t="inlineStr">
        <is>
          <t>2009</t>
        </is>
      </c>
      <c r="E47" s="13" t="inlineStr">
        <is>
          <t>DS 2009</t>
        </is>
      </c>
      <c r="F47" s="13" t="inlineStr">
        <is>
          <t>Planting</t>
        </is>
      </c>
      <c r="G47" s="7" t="n">
        <v>0.37</v>
      </c>
      <c r="H47" s="8" t="n">
        <v>23.05</v>
      </c>
      <c r="I47" s="8" t="n">
        <v>14.1</v>
      </c>
      <c r="J47" s="8" t="n">
        <v>31.33</v>
      </c>
      <c r="K47" s="8" t="n">
        <v>77.59999999999999</v>
      </c>
      <c r="L47" s="8" t="n">
        <v>98.59999999999999</v>
      </c>
      <c r="M47" s="8" t="n">
        <v>15.67</v>
      </c>
      <c r="N47" s="13" t="inlineStr">
        <is>
          <t>Type I – Tropical Monsoon (PAGASA)</t>
        </is>
      </c>
      <c r="O47" s="13" t="inlineStr">
        <is>
          <t>Dry (Cool)</t>
        </is>
      </c>
      <c r="P47" s="13" t="inlineStr">
        <is>
          <t>Silty Clay Loam</t>
        </is>
      </c>
      <c r="Q47" s="13" t="inlineStr">
        <is>
          <t>Flat / Lowland</t>
        </is>
      </c>
      <c r="R47" s="14" t="n">
        <v>30</v>
      </c>
      <c r="S47" s="13" t="inlineStr">
        <is>
          <t>—</t>
        </is>
      </c>
      <c r="T47" s="15" t="n">
        <v>277.2</v>
      </c>
      <c r="U47" s="15" t="n">
        <v>2</v>
      </c>
      <c r="V47" s="15" t="n">
        <v>81.66</v>
      </c>
      <c r="W47" s="15" t="n">
        <v>2</v>
      </c>
      <c r="X47" s="15" t="n"/>
      <c r="Y47" s="15" t="n"/>
      <c r="Z47" s="16" t="n"/>
      <c r="AA47" s="17" t="inlineStr">
        <is>
          <t>Transplanting (Pindot) — optimal for clay-loam paddy fields</t>
        </is>
      </c>
      <c r="AB47" s="17" t="inlineStr">
        <is>
          <t>Wet Tillage (Puddling): 2 plowings + thorough harrowing under flooded condition</t>
        </is>
      </c>
      <c r="AC47" s="17" t="inlineStr">
        <is>
          <t>Continuous flooding 2–5 cm depth during vegetative stage; drain 2 weeks before harvest</t>
        </is>
      </c>
    </row>
    <row r="48" ht="21.75" customHeight="1" s="101">
      <c r="A48" s="6" t="inlineStr">
        <is>
          <t>Palay</t>
        </is>
      </c>
      <c r="B48" s="6" t="inlineStr">
        <is>
          <t>Balangobong</t>
        </is>
      </c>
      <c r="C48" s="6" t="inlineStr">
        <is>
          <t>January</t>
        </is>
      </c>
      <c r="D48" s="6" t="inlineStr">
        <is>
          <t>2009</t>
        </is>
      </c>
      <c r="E48" s="6" t="inlineStr">
        <is>
          <t>DS 2009</t>
        </is>
      </c>
      <c r="F48" s="6" t="inlineStr">
        <is>
          <t>Planting</t>
        </is>
      </c>
      <c r="G48" s="7" t="n">
        <v>0.37</v>
      </c>
      <c r="H48" s="8" t="n">
        <v>23.05</v>
      </c>
      <c r="I48" s="8" t="n">
        <v>14.1</v>
      </c>
      <c r="J48" s="8" t="n">
        <v>31.33</v>
      </c>
      <c r="K48" s="8" t="n">
        <v>77.59999999999999</v>
      </c>
      <c r="L48" s="8" t="n">
        <v>98.59999999999999</v>
      </c>
      <c r="M48" s="8" t="n">
        <v>15.67</v>
      </c>
      <c r="N48" s="6" t="inlineStr">
        <is>
          <t>Type I – Tropical Monsoon (PAGASA)</t>
        </is>
      </c>
      <c r="O48" s="6" t="inlineStr">
        <is>
          <t>Dry (Cool)</t>
        </is>
      </c>
      <c r="P48" s="6" t="inlineStr">
        <is>
          <t>Silty Clay Loam</t>
        </is>
      </c>
      <c r="Q48" s="6" t="inlineStr">
        <is>
          <t>Flat / Lowland</t>
        </is>
      </c>
      <c r="R48" s="9" t="n">
        <v>30</v>
      </c>
      <c r="S48" s="6" t="inlineStr">
        <is>
          <t>—</t>
        </is>
      </c>
      <c r="T48" s="10" t="n">
        <v>281.4</v>
      </c>
      <c r="U48" s="10" t="n">
        <v>5</v>
      </c>
      <c r="V48" s="10" t="n">
        <v>35.32</v>
      </c>
      <c r="W48" s="10" t="n">
        <v>2</v>
      </c>
      <c r="X48" s="10" t="n"/>
      <c r="Y48" s="10" t="n"/>
      <c r="Z48" s="11" t="n"/>
      <c r="AA48" s="12" t="inlineStr">
        <is>
          <t>Transplanting (Pindot) — optimal for clay-loam paddy fields</t>
        </is>
      </c>
      <c r="AB48" s="12" t="inlineStr">
        <is>
          <t>Wet Tillage (Puddling): 2 plowings + thorough harrowing under flooded condition</t>
        </is>
      </c>
      <c r="AC48" s="12" t="inlineStr">
        <is>
          <t>Continuous flooding 2–5 cm depth during vegetative stage; drain 2 weeks before harvest</t>
        </is>
      </c>
    </row>
    <row r="49" ht="21.75" customHeight="1" s="101">
      <c r="A49" s="13" t="inlineStr">
        <is>
          <t>Palay</t>
        </is>
      </c>
      <c r="B49" s="13" t="inlineStr">
        <is>
          <t>San Pablo</t>
        </is>
      </c>
      <c r="C49" s="13" t="inlineStr">
        <is>
          <t>January</t>
        </is>
      </c>
      <c r="D49" s="13" t="inlineStr">
        <is>
          <t>2009</t>
        </is>
      </c>
      <c r="E49" s="13" t="inlineStr">
        <is>
          <t>DS 2009</t>
        </is>
      </c>
      <c r="F49" s="13" t="inlineStr">
        <is>
          <t>Planting</t>
        </is>
      </c>
      <c r="G49" s="7" t="n">
        <v>0.37</v>
      </c>
      <c r="H49" s="8" t="n">
        <v>23.05</v>
      </c>
      <c r="I49" s="8" t="n">
        <v>14.1</v>
      </c>
      <c r="J49" s="8" t="n">
        <v>31.33</v>
      </c>
      <c r="K49" s="8" t="n">
        <v>77.59999999999999</v>
      </c>
      <c r="L49" s="8" t="n">
        <v>98.59999999999999</v>
      </c>
      <c r="M49" s="8" t="n">
        <v>15.67</v>
      </c>
      <c r="N49" s="13" t="inlineStr">
        <is>
          <t>Type I – Tropical Monsoon (PAGASA)</t>
        </is>
      </c>
      <c r="O49" s="13" t="inlineStr">
        <is>
          <t>Dry (Cool)</t>
        </is>
      </c>
      <c r="P49" s="13" t="inlineStr">
        <is>
          <t>Sandy Loam</t>
        </is>
      </c>
      <c r="Q49" s="13" t="inlineStr">
        <is>
          <t>Flat / Lowland</t>
        </is>
      </c>
      <c r="R49" s="14" t="n">
        <v>30</v>
      </c>
      <c r="S49" s="13" t="inlineStr">
        <is>
          <t>San Pablo Creek</t>
        </is>
      </c>
      <c r="T49" s="15" t="n">
        <v>215.04</v>
      </c>
      <c r="U49" s="15" t="n">
        <v>1</v>
      </c>
      <c r="V49" s="15" t="n">
        <v>20.7</v>
      </c>
      <c r="W49" s="15" t="n">
        <v>5</v>
      </c>
      <c r="X49" s="15" t="n"/>
      <c r="Y49" s="15" t="n"/>
      <c r="Z49" s="16" t="n"/>
      <c r="AA49" s="17" t="inlineStr">
        <is>
          <t>Transplanting (Pindot) or Direct Seeding (Pinaghandaan)</t>
        </is>
      </c>
      <c r="AB49" s="17" t="inlineStr">
        <is>
          <t>Conventional Tillage: 2 plowings + 2 harrowings; soil workable when moist</t>
        </is>
      </c>
      <c r="AC49" s="17" t="inlineStr">
        <is>
          <t>Intermittent irrigation (Alternate Wetting and Drying — AWD); moderate retention</t>
        </is>
      </c>
    </row>
    <row r="50" ht="21.75" customHeight="1" s="101">
      <c r="A50" s="6" t="inlineStr">
        <is>
          <t>Palay</t>
        </is>
      </c>
      <c r="B50" s="6" t="inlineStr">
        <is>
          <t>San Felipe Central</t>
        </is>
      </c>
      <c r="C50" s="6" t="inlineStr">
        <is>
          <t>January</t>
        </is>
      </c>
      <c r="D50" s="6" t="inlineStr">
        <is>
          <t>2009</t>
        </is>
      </c>
      <c r="E50" s="6" t="inlineStr">
        <is>
          <t>DS 2009</t>
        </is>
      </c>
      <c r="F50" s="6" t="inlineStr">
        <is>
          <t>Planting</t>
        </is>
      </c>
      <c r="G50" s="7" t="n">
        <v>0.37</v>
      </c>
      <c r="H50" s="8" t="n">
        <v>23.05</v>
      </c>
      <c r="I50" s="8" t="n">
        <v>14.1</v>
      </c>
      <c r="J50" s="8" t="n">
        <v>31.33</v>
      </c>
      <c r="K50" s="8" t="n">
        <v>77.59999999999999</v>
      </c>
      <c r="L50" s="8" t="n">
        <v>98.59999999999999</v>
      </c>
      <c r="M50" s="8" t="n">
        <v>15.67</v>
      </c>
      <c r="N50" s="6" t="inlineStr">
        <is>
          <t>Type I – Tropical Monsoon (PAGASA)</t>
        </is>
      </c>
      <c r="O50" s="6" t="inlineStr">
        <is>
          <t>Dry (Cool)</t>
        </is>
      </c>
      <c r="P50" s="6" t="inlineStr">
        <is>
          <t>Sandy Loam</t>
        </is>
      </c>
      <c r="Q50" s="6" t="inlineStr">
        <is>
          <t>Flat / Lowland</t>
        </is>
      </c>
      <c r="R50" s="9" t="n">
        <v>30</v>
      </c>
      <c r="S50" s="6" t="inlineStr">
        <is>
          <t>—</t>
        </is>
      </c>
      <c r="T50" s="10" t="n">
        <v>452.76</v>
      </c>
      <c r="U50" s="10" t="n">
        <v>5</v>
      </c>
      <c r="V50" s="10" t="n">
        <v>41.02</v>
      </c>
      <c r="W50" s="10" t="n">
        <v>4</v>
      </c>
      <c r="X50" s="10" t="n"/>
      <c r="Y50" s="10" t="n"/>
      <c r="Z50" s="11" t="n"/>
      <c r="AA50" s="12" t="inlineStr">
        <is>
          <t>Transplanting (Pindot) or Direct Seeding (Pinaghandaan)</t>
        </is>
      </c>
      <c r="AB50" s="12" t="inlineStr">
        <is>
          <t>Conventional Tillage: 2 plowings + 2 harrowings; soil workable when moist</t>
        </is>
      </c>
      <c r="AC50" s="12" t="inlineStr">
        <is>
          <t>Intermittent irrigation (Alternate Wetting and Drying — AWD); moderate retention</t>
        </is>
      </c>
    </row>
    <row r="51" ht="21.75" customHeight="1" s="101">
      <c r="A51" s="13" t="inlineStr">
        <is>
          <t>Palay</t>
        </is>
      </c>
      <c r="B51" s="13" t="inlineStr">
        <is>
          <t>Pasileng Sur</t>
        </is>
      </c>
      <c r="C51" s="13" t="inlineStr">
        <is>
          <t>January</t>
        </is>
      </c>
      <c r="D51" s="13" t="inlineStr">
        <is>
          <t>2009</t>
        </is>
      </c>
      <c r="E51" s="13" t="inlineStr">
        <is>
          <t>DS 2009</t>
        </is>
      </c>
      <c r="F51" s="13" t="inlineStr">
        <is>
          <t>Planting</t>
        </is>
      </c>
      <c r="G51" s="7" t="n">
        <v>0.37</v>
      </c>
      <c r="H51" s="8" t="n">
        <v>23.05</v>
      </c>
      <c r="I51" s="8" t="n">
        <v>14.1</v>
      </c>
      <c r="J51" s="8" t="n">
        <v>31.33</v>
      </c>
      <c r="K51" s="8" t="n">
        <v>77.59999999999999</v>
      </c>
      <c r="L51" s="8" t="n">
        <v>98.59999999999999</v>
      </c>
      <c r="M51" s="8" t="n">
        <v>15.67</v>
      </c>
      <c r="N51" s="13" t="inlineStr">
        <is>
          <t>Type I – Tropical Monsoon (PAGASA)</t>
        </is>
      </c>
      <c r="O51" s="13" t="inlineStr">
        <is>
          <t>Dry (Cool)</t>
        </is>
      </c>
      <c r="P51" s="13" t="inlineStr">
        <is>
          <t>Sandy Loam</t>
        </is>
      </c>
      <c r="Q51" s="13" t="inlineStr">
        <is>
          <t>Flat / Lowland</t>
        </is>
      </c>
      <c r="R51" s="14" t="n">
        <v>30</v>
      </c>
      <c r="S51" s="13" t="inlineStr">
        <is>
          <t>Tagamusing River</t>
        </is>
      </c>
      <c r="T51" s="15" t="n">
        <v>414.96</v>
      </c>
      <c r="U51" s="15" t="n">
        <v>3</v>
      </c>
      <c r="V51" s="15" t="n">
        <v>41.02</v>
      </c>
      <c r="W51" s="15" t="n">
        <v>5</v>
      </c>
      <c r="X51" s="15" t="n"/>
      <c r="Y51" s="15" t="n"/>
      <c r="Z51" s="16" t="n"/>
      <c r="AA51" s="17" t="inlineStr">
        <is>
          <t>Transplanting (Pindot) or Direct Seeding (Pinaghandaan)</t>
        </is>
      </c>
      <c r="AB51" s="17" t="inlineStr">
        <is>
          <t>Conventional Tillage: 2 plowings + 2 harrowings; soil workable when moist</t>
        </is>
      </c>
      <c r="AC51" s="17" t="inlineStr">
        <is>
          <t>Intermittent irrigation (Alternate Wetting and Drying — AWD); moderate retention</t>
        </is>
      </c>
    </row>
    <row r="52" ht="21.75" customHeight="1" s="101">
      <c r="A52" s="6" t="inlineStr">
        <is>
          <t>Palay</t>
        </is>
      </c>
      <c r="B52" s="6" t="inlineStr">
        <is>
          <t>San Felipe Sur</t>
        </is>
      </c>
      <c r="C52" s="6" t="inlineStr">
        <is>
          <t>January</t>
        </is>
      </c>
      <c r="D52" s="6" t="inlineStr">
        <is>
          <t>2009</t>
        </is>
      </c>
      <c r="E52" s="6" t="inlineStr">
        <is>
          <t>DS 2009</t>
        </is>
      </c>
      <c r="F52" s="6" t="inlineStr">
        <is>
          <t>Planting</t>
        </is>
      </c>
      <c r="G52" s="7" t="n">
        <v>0.37</v>
      </c>
      <c r="H52" s="8" t="n">
        <v>23.05</v>
      </c>
      <c r="I52" s="8" t="n">
        <v>14.1</v>
      </c>
      <c r="J52" s="8" t="n">
        <v>31.33</v>
      </c>
      <c r="K52" s="8" t="n">
        <v>77.59999999999999</v>
      </c>
      <c r="L52" s="8" t="n">
        <v>98.59999999999999</v>
      </c>
      <c r="M52" s="8" t="n">
        <v>15.67</v>
      </c>
      <c r="N52" s="6" t="inlineStr">
        <is>
          <t>Type I – Tropical Monsoon (PAGASA)</t>
        </is>
      </c>
      <c r="O52" s="6" t="inlineStr">
        <is>
          <t>Dry (Cool)</t>
        </is>
      </c>
      <c r="P52" s="6" t="inlineStr">
        <is>
          <t>Sandy Loam</t>
        </is>
      </c>
      <c r="Q52" s="6" t="inlineStr">
        <is>
          <t>Flat / Lowland</t>
        </is>
      </c>
      <c r="R52" s="9" t="n">
        <v>30</v>
      </c>
      <c r="S52" s="6" t="inlineStr">
        <is>
          <t>Tagamusing River</t>
        </is>
      </c>
      <c r="T52" s="10" t="n">
        <v>504</v>
      </c>
      <c r="U52" s="10" t="n">
        <v>3</v>
      </c>
      <c r="V52" s="10" t="n">
        <v>26.4</v>
      </c>
      <c r="W52" s="10" t="n">
        <v>3</v>
      </c>
      <c r="X52" s="10" t="n"/>
      <c r="Y52" s="10" t="n"/>
      <c r="Z52" s="11" t="n"/>
      <c r="AA52" s="12" t="inlineStr">
        <is>
          <t>Transplanting (Pindot) or Direct Seeding (Pinaghandaan)</t>
        </is>
      </c>
      <c r="AB52" s="12" t="inlineStr">
        <is>
          <t>Conventional Tillage: 2 plowings + 2 harrowings; soil workable when moist</t>
        </is>
      </c>
      <c r="AC52" s="12" t="inlineStr">
        <is>
          <t>Intermittent irrigation (Alternate Wetting and Drying — AWD); moderate retention</t>
        </is>
      </c>
    </row>
    <row r="53" ht="21.75" customHeight="1" s="101">
      <c r="A53" s="13" t="inlineStr">
        <is>
          <t>Palay</t>
        </is>
      </c>
      <c r="B53" s="13" t="inlineStr">
        <is>
          <t>Camanggaan</t>
        </is>
      </c>
      <c r="C53" s="13" t="inlineStr">
        <is>
          <t>January</t>
        </is>
      </c>
      <c r="D53" s="13" t="inlineStr">
        <is>
          <t>2009</t>
        </is>
      </c>
      <c r="E53" s="13" t="inlineStr">
        <is>
          <t>DS 2009</t>
        </is>
      </c>
      <c r="F53" s="13" t="inlineStr">
        <is>
          <t>Planting</t>
        </is>
      </c>
      <c r="G53" s="7" t="n">
        <v>0.37</v>
      </c>
      <c r="H53" s="8" t="n">
        <v>23.05</v>
      </c>
      <c r="I53" s="8" t="n">
        <v>14.1</v>
      </c>
      <c r="J53" s="8" t="n">
        <v>31.33</v>
      </c>
      <c r="K53" s="8" t="n">
        <v>77.59999999999999</v>
      </c>
      <c r="L53" s="8" t="n">
        <v>98.59999999999999</v>
      </c>
      <c r="M53" s="8" t="n">
        <v>15.67</v>
      </c>
      <c r="N53" s="13" t="inlineStr">
        <is>
          <t>Type I – Tropical Monsoon (PAGASA)</t>
        </is>
      </c>
      <c r="O53" s="13" t="inlineStr">
        <is>
          <t>Dry (Cool)</t>
        </is>
      </c>
      <c r="P53" s="13" t="inlineStr">
        <is>
          <t>Sandy Loam</t>
        </is>
      </c>
      <c r="Q53" s="13" t="inlineStr">
        <is>
          <t>Flat / Lowland</t>
        </is>
      </c>
      <c r="R53" s="14" t="n">
        <v>30</v>
      </c>
      <c r="S53" s="13" t="inlineStr">
        <is>
          <t>—</t>
        </is>
      </c>
      <c r="T53" s="15" t="n">
        <v>244.44</v>
      </c>
      <c r="U53" s="15" t="n">
        <v>2</v>
      </c>
      <c r="V53" s="15" t="n">
        <v>52.42</v>
      </c>
      <c r="W53" s="15" t="n">
        <v>4</v>
      </c>
      <c r="X53" s="15" t="n"/>
      <c r="Y53" s="15" t="n"/>
      <c r="Z53" s="16" t="n"/>
      <c r="AA53" s="17" t="inlineStr">
        <is>
          <t>Transplanting (Pindot) or Direct Seeding (Pinaghandaan)</t>
        </is>
      </c>
      <c r="AB53" s="17" t="inlineStr">
        <is>
          <t>Conventional Tillage: 2 plowings + 2 harrowings; soil workable when moist</t>
        </is>
      </c>
      <c r="AC53" s="17" t="inlineStr">
        <is>
          <t>Intermittent irrigation (Alternate Wetting and Drying — AWD); moderate retention</t>
        </is>
      </c>
    </row>
    <row r="54" ht="21.75" customHeight="1" s="101">
      <c r="A54" s="6" t="inlineStr">
        <is>
          <t>Palay</t>
        </is>
      </c>
      <c r="B54" s="6" t="inlineStr">
        <is>
          <t>Bugayong</t>
        </is>
      </c>
      <c r="C54" s="6" t="inlineStr">
        <is>
          <t>January</t>
        </is>
      </c>
      <c r="D54" s="6" t="inlineStr">
        <is>
          <t>2009</t>
        </is>
      </c>
      <c r="E54" s="6" t="inlineStr">
        <is>
          <t>DS 2009</t>
        </is>
      </c>
      <c r="F54" s="6" t="inlineStr">
        <is>
          <t>Planting</t>
        </is>
      </c>
      <c r="G54" s="7" t="n">
        <v>0.37</v>
      </c>
      <c r="H54" s="8" t="n">
        <v>23.05</v>
      </c>
      <c r="I54" s="8" t="n">
        <v>14.1</v>
      </c>
      <c r="J54" s="8" t="n">
        <v>31.33</v>
      </c>
      <c r="K54" s="8" t="n">
        <v>77.59999999999999</v>
      </c>
      <c r="L54" s="8" t="n">
        <v>98.59999999999999</v>
      </c>
      <c r="M54" s="8" t="n">
        <v>15.67</v>
      </c>
      <c r="N54" s="6" t="inlineStr">
        <is>
          <t>Type I – Tropical Monsoon (PAGASA)</t>
        </is>
      </c>
      <c r="O54" s="6" t="inlineStr">
        <is>
          <t>Dry (Cool)</t>
        </is>
      </c>
      <c r="P54" s="6" t="inlineStr">
        <is>
          <t>Sandy Loam / Silty Clay Loam</t>
        </is>
      </c>
      <c r="Q54" s="6" t="inlineStr">
        <is>
          <t>Flat / Lowland</t>
        </is>
      </c>
      <c r="R54" s="9" t="n">
        <v>30</v>
      </c>
      <c r="S54" s="6" t="inlineStr">
        <is>
          <t>Aloragat River</t>
        </is>
      </c>
      <c r="T54" s="10" t="n">
        <v>346.08</v>
      </c>
      <c r="U54" s="10" t="n">
        <v>2</v>
      </c>
      <c r="V54" s="10" t="n">
        <v>41.02</v>
      </c>
      <c r="W54" s="10" t="n">
        <v>3</v>
      </c>
      <c r="X54" s="10" t="n"/>
      <c r="Y54" s="10" t="n"/>
      <c r="Z54" s="11" t="n"/>
      <c r="AA54" s="12" t="inlineStr">
        <is>
          <t>Transplanting (Pindot) — recommended; Direct Seeding possible in dry season</t>
        </is>
      </c>
      <c r="AB54" s="12" t="inlineStr">
        <is>
          <t>Conventional Tillage: 2 plowings + harrowing; puddle thoroughly for transplanting</t>
        </is>
      </c>
      <c r="AC54" s="12" t="inlineStr">
        <is>
          <t>Intermittent to continuous flooding; manage according to drainage section present</t>
        </is>
      </c>
    </row>
    <row r="55" ht="21.75" customHeight="1" s="101">
      <c r="A55" s="13" t="inlineStr">
        <is>
          <t>Palay</t>
        </is>
      </c>
      <c r="B55" s="13" t="inlineStr">
        <is>
          <t>Mangkasuy</t>
        </is>
      </c>
      <c r="C55" s="13" t="inlineStr">
        <is>
          <t>January</t>
        </is>
      </c>
      <c r="D55" s="13" t="inlineStr">
        <is>
          <t>2009</t>
        </is>
      </c>
      <c r="E55" s="13" t="inlineStr">
        <is>
          <t>DS 2009</t>
        </is>
      </c>
      <c r="F55" s="13" t="inlineStr">
        <is>
          <t>Planting</t>
        </is>
      </c>
      <c r="G55" s="7" t="n">
        <v>0.37</v>
      </c>
      <c r="H55" s="8" t="n">
        <v>23.05</v>
      </c>
      <c r="I55" s="8" t="n">
        <v>14.1</v>
      </c>
      <c r="J55" s="8" t="n">
        <v>31.33</v>
      </c>
      <c r="K55" s="8" t="n">
        <v>77.59999999999999</v>
      </c>
      <c r="L55" s="8" t="n">
        <v>98.59999999999999</v>
      </c>
      <c r="M55" s="8" t="n">
        <v>15.67</v>
      </c>
      <c r="N55" s="13" t="inlineStr">
        <is>
          <t>Type I – Tropical Monsoon (PAGASA)</t>
        </is>
      </c>
      <c r="O55" s="13" t="inlineStr">
        <is>
          <t>Dry (Cool)</t>
        </is>
      </c>
      <c r="P55" s="13" t="inlineStr">
        <is>
          <t>Sandy Loam</t>
        </is>
      </c>
      <c r="Q55" s="13" t="inlineStr">
        <is>
          <t>Flat / Lowland</t>
        </is>
      </c>
      <c r="R55" s="14" t="n">
        <v>30</v>
      </c>
      <c r="S55" s="13" t="inlineStr">
        <is>
          <t>Tagamusing River</t>
        </is>
      </c>
      <c r="T55" s="15" t="n">
        <v>802.2</v>
      </c>
      <c r="U55" s="15" t="n">
        <v>2</v>
      </c>
      <c r="V55" s="15" t="n">
        <v>70.81999999999999</v>
      </c>
      <c r="W55" s="15" t="n">
        <v>12.25</v>
      </c>
      <c r="X55" s="15" t="n"/>
      <c r="Y55" s="15" t="n"/>
      <c r="Z55" s="16" t="n"/>
      <c r="AA55" s="17" t="inlineStr">
        <is>
          <t>Transplanting (Pindot) or Direct Seeding (Pinaghandaan)</t>
        </is>
      </c>
      <c r="AB55" s="17" t="inlineStr">
        <is>
          <t>Conventional Tillage: 2 plowings + 2 harrowings; soil workable when moist</t>
        </is>
      </c>
      <c r="AC55" s="17" t="inlineStr">
        <is>
          <t>Intermittent irrigation (Alternate Wetting and Drying — AWD); moderate retention</t>
        </is>
      </c>
    </row>
    <row r="56" ht="21.75" customHeight="1" s="101">
      <c r="A56" s="6" t="inlineStr">
        <is>
          <t>Palay</t>
        </is>
      </c>
      <c r="B56" s="6" t="inlineStr">
        <is>
          <t>Sta. Maria Norte</t>
        </is>
      </c>
      <c r="C56" s="6" t="inlineStr">
        <is>
          <t>January</t>
        </is>
      </c>
      <c r="D56" s="6" t="inlineStr">
        <is>
          <t>2009</t>
        </is>
      </c>
      <c r="E56" s="6" t="inlineStr">
        <is>
          <t>DS 2009</t>
        </is>
      </c>
      <c r="F56" s="6" t="inlineStr">
        <is>
          <t>Planting</t>
        </is>
      </c>
      <c r="G56" s="7" t="n">
        <v>0.37</v>
      </c>
      <c r="H56" s="8" t="n">
        <v>23.05</v>
      </c>
      <c r="I56" s="8" t="n">
        <v>14.1</v>
      </c>
      <c r="J56" s="8" t="n">
        <v>31.33</v>
      </c>
      <c r="K56" s="8" t="n">
        <v>77.59999999999999</v>
      </c>
      <c r="L56" s="8" t="n">
        <v>98.59999999999999</v>
      </c>
      <c r="M56" s="8" t="n">
        <v>15.67</v>
      </c>
      <c r="N56" s="6" t="inlineStr">
        <is>
          <t>Type I – Tropical Monsoon (PAGASA)</t>
        </is>
      </c>
      <c r="O56" s="6" t="inlineStr">
        <is>
          <t>Dry (Cool)</t>
        </is>
      </c>
      <c r="P56" s="6" t="inlineStr">
        <is>
          <t>Sandy Loam</t>
        </is>
      </c>
      <c r="Q56" s="6" t="inlineStr">
        <is>
          <t>Flat / Lowland</t>
        </is>
      </c>
      <c r="R56" s="9" t="n">
        <v>30</v>
      </c>
      <c r="S56" s="6" t="inlineStr">
        <is>
          <t>Tagamusing River</t>
        </is>
      </c>
      <c r="T56" s="10" t="n">
        <v>157.08</v>
      </c>
      <c r="U56" s="10" t="n">
        <v>2</v>
      </c>
      <c r="V56" s="10" t="n">
        <v>20.7</v>
      </c>
      <c r="W56" s="10" t="n">
        <v>12.25</v>
      </c>
      <c r="X56" s="10" t="n"/>
      <c r="Y56" s="10" t="n"/>
      <c r="Z56" s="11" t="n"/>
      <c r="AA56" s="12" t="inlineStr">
        <is>
          <t>Transplanting (Pindot) or Direct Seeding (Pinaghandaan)</t>
        </is>
      </c>
      <c r="AB56" s="12" t="inlineStr">
        <is>
          <t>Conventional Tillage: 2 plowings + 2 harrowings; soil workable when moist</t>
        </is>
      </c>
      <c r="AC56" s="12" t="inlineStr">
        <is>
          <t>Intermittent irrigation (Alternate Wetting and Drying — AWD); moderate retention</t>
        </is>
      </c>
    </row>
    <row r="57" ht="21.75" customHeight="1" s="101">
      <c r="A57" s="13" t="inlineStr">
        <is>
          <t>Palay</t>
        </is>
      </c>
      <c r="B57" s="13" t="inlineStr">
        <is>
          <t>Capas</t>
        </is>
      </c>
      <c r="C57" s="13" t="inlineStr">
        <is>
          <t>January</t>
        </is>
      </c>
      <c r="D57" s="13" t="inlineStr">
        <is>
          <t>2009</t>
        </is>
      </c>
      <c r="E57" s="13" t="inlineStr">
        <is>
          <t>DS 2009</t>
        </is>
      </c>
      <c r="F57" s="13" t="inlineStr">
        <is>
          <t>Planting</t>
        </is>
      </c>
      <c r="G57" s="7" t="n">
        <v>0.37</v>
      </c>
      <c r="H57" s="8" t="n">
        <v>23.05</v>
      </c>
      <c r="I57" s="8" t="n">
        <v>14.1</v>
      </c>
      <c r="J57" s="8" t="n">
        <v>31.33</v>
      </c>
      <c r="K57" s="8" t="n">
        <v>77.59999999999999</v>
      </c>
      <c r="L57" s="8" t="n">
        <v>98.59999999999999</v>
      </c>
      <c r="M57" s="8" t="n">
        <v>15.67</v>
      </c>
      <c r="N57" s="13" t="inlineStr">
        <is>
          <t>Type I – Tropical Monsoon (PAGASA)</t>
        </is>
      </c>
      <c r="O57" s="13" t="inlineStr">
        <is>
          <t>Dry (Cool)</t>
        </is>
      </c>
      <c r="P57" s="13" t="inlineStr">
        <is>
          <t>Sandy Loam</t>
        </is>
      </c>
      <c r="Q57" s="13" t="inlineStr">
        <is>
          <t>Flat / Lowland</t>
        </is>
      </c>
      <c r="R57" s="14" t="n">
        <v>30</v>
      </c>
      <c r="S57" s="13" t="inlineStr">
        <is>
          <t>—</t>
        </is>
      </c>
      <c r="T57" s="15" t="n">
        <v>377.16</v>
      </c>
      <c r="U57" s="15" t="n">
        <v>1</v>
      </c>
      <c r="V57" s="15" t="n">
        <v>52.42</v>
      </c>
      <c r="W57" s="15" t="n">
        <v>13</v>
      </c>
      <c r="X57" s="15" t="n"/>
      <c r="Y57" s="15" t="n"/>
      <c r="Z57" s="16" t="n"/>
      <c r="AA57" s="17" t="inlineStr">
        <is>
          <t>Transplanting (Pindot) or Direct Seeding (Pinaghandaan)</t>
        </is>
      </c>
      <c r="AB57" s="17" t="inlineStr">
        <is>
          <t>Conventional Tillage: 2 plowings + 2 harrowings; soil workable when moist</t>
        </is>
      </c>
      <c r="AC57" s="17" t="inlineStr">
        <is>
          <t>Intermittent irrigation (Alternate Wetting and Drying — AWD); moderate retention</t>
        </is>
      </c>
    </row>
    <row r="58" ht="21.75" customHeight="1" s="101">
      <c r="A58" s="6" t="inlineStr">
        <is>
          <t>Palay</t>
        </is>
      </c>
      <c r="B58" s="6" t="inlineStr">
        <is>
          <t>Cili</t>
        </is>
      </c>
      <c r="C58" s="6" t="inlineStr">
        <is>
          <t>January</t>
        </is>
      </c>
      <c r="D58" s="6" t="inlineStr">
        <is>
          <t>2009</t>
        </is>
      </c>
      <c r="E58" s="6" t="inlineStr">
        <is>
          <t>DS 2009</t>
        </is>
      </c>
      <c r="F58" s="6" t="inlineStr">
        <is>
          <t>Planting</t>
        </is>
      </c>
      <c r="G58" s="7" t="n">
        <v>0.37</v>
      </c>
      <c r="H58" s="8" t="n">
        <v>23.05</v>
      </c>
      <c r="I58" s="8" t="n">
        <v>14.1</v>
      </c>
      <c r="J58" s="8" t="n">
        <v>31.33</v>
      </c>
      <c r="K58" s="8" t="n">
        <v>77.59999999999999</v>
      </c>
      <c r="L58" s="8" t="n">
        <v>98.59999999999999</v>
      </c>
      <c r="M58" s="8" t="n">
        <v>15.67</v>
      </c>
      <c r="N58" s="6" t="inlineStr">
        <is>
          <t>Type I – Tropical Monsoon (PAGASA)</t>
        </is>
      </c>
      <c r="O58" s="6" t="inlineStr">
        <is>
          <t>Dry (Cool)</t>
        </is>
      </c>
      <c r="P58" s="6" t="inlineStr">
        <is>
          <t>Silty Clay Loam</t>
        </is>
      </c>
      <c r="Q58" s="6" t="inlineStr">
        <is>
          <t>Flat / Lowland</t>
        </is>
      </c>
      <c r="R58" s="9" t="n">
        <v>30</v>
      </c>
      <c r="S58" s="6" t="inlineStr">
        <is>
          <t>Alibeng River</t>
        </is>
      </c>
      <c r="T58" s="10" t="n">
        <v>264.6</v>
      </c>
      <c r="U58" s="10" t="n">
        <v>2</v>
      </c>
      <c r="V58" s="10" t="n">
        <v>35.32</v>
      </c>
      <c r="W58" s="10" t="n">
        <v>2</v>
      </c>
      <c r="X58" s="10" t="n"/>
      <c r="Y58" s="10" t="n"/>
      <c r="Z58" s="11" t="n"/>
      <c r="AA58" s="12" t="inlineStr">
        <is>
          <t>Transplanting (Pindot) — optimal for clay-loam paddy fields</t>
        </is>
      </c>
      <c r="AB58" s="12" t="inlineStr">
        <is>
          <t>Wet Tillage (Puddling): 2 plowings + thorough harrowing under flooded condition</t>
        </is>
      </c>
      <c r="AC58" s="12" t="inlineStr">
        <is>
          <t>Continuous flooding 2–5 cm depth during vegetative stage; drain 2 weeks before harvest</t>
        </is>
      </c>
    </row>
    <row r="59" ht="21.75" customHeight="1" s="101">
      <c r="A59" s="13" t="inlineStr">
        <is>
          <t>Palay</t>
        </is>
      </c>
      <c r="B59" s="13" t="inlineStr">
        <is>
          <t>Sumabnit</t>
        </is>
      </c>
      <c r="C59" s="13" t="inlineStr">
        <is>
          <t>January</t>
        </is>
      </c>
      <c r="D59" s="13" t="inlineStr">
        <is>
          <t>2009</t>
        </is>
      </c>
      <c r="E59" s="13" t="inlineStr">
        <is>
          <t>DS 2009</t>
        </is>
      </c>
      <c r="F59" s="13" t="inlineStr">
        <is>
          <t>Planting</t>
        </is>
      </c>
      <c r="G59" s="7" t="n">
        <v>0.37</v>
      </c>
      <c r="H59" s="8" t="n">
        <v>23.05</v>
      </c>
      <c r="I59" s="8" t="n">
        <v>14.1</v>
      </c>
      <c r="J59" s="8" t="n">
        <v>31.33</v>
      </c>
      <c r="K59" s="8" t="n">
        <v>77.59999999999999</v>
      </c>
      <c r="L59" s="8" t="n">
        <v>98.59999999999999</v>
      </c>
      <c r="M59" s="8" t="n">
        <v>15.67</v>
      </c>
      <c r="N59" s="13" t="inlineStr">
        <is>
          <t>Type I – Tropical Monsoon (PAGASA)</t>
        </is>
      </c>
      <c r="O59" s="13" t="inlineStr">
        <is>
          <t>Dry (Cool)</t>
        </is>
      </c>
      <c r="P59" s="13" t="inlineStr">
        <is>
          <t>Silty Clay Loam / Fine Sandy Loam</t>
        </is>
      </c>
      <c r="Q59" s="13" t="inlineStr">
        <is>
          <t>Flat / Lowland</t>
        </is>
      </c>
      <c r="R59" s="14" t="n">
        <v>30</v>
      </c>
      <c r="S59" s="13" t="inlineStr">
        <is>
          <t>Tagamusing River</t>
        </is>
      </c>
      <c r="T59" s="15" t="n">
        <v>406.56</v>
      </c>
      <c r="U59" s="15" t="n">
        <v>2</v>
      </c>
      <c r="V59" s="15" t="n">
        <v>81.66</v>
      </c>
      <c r="W59" s="15" t="n">
        <v>35.22</v>
      </c>
      <c r="X59" s="15" t="n"/>
      <c r="Y59" s="15" t="n"/>
      <c r="Z59" s="16" t="n"/>
      <c r="AA59" s="17" t="inlineStr">
        <is>
          <t>Transplanting (Pindot)</t>
        </is>
      </c>
      <c r="AB59" s="17" t="inlineStr">
        <is>
          <t>Minimum Tillage (avoid compaction; sandy structure fragile)</t>
        </is>
      </c>
      <c r="AC59" s="17" t="inlineStr">
        <is>
          <t>Continuous flooding or frequent irrigation; high percolation risk</t>
        </is>
      </c>
    </row>
    <row r="60" ht="21.75" customHeight="1" s="101">
      <c r="A60" s="6" t="inlineStr">
        <is>
          <t>Palay</t>
        </is>
      </c>
      <c r="B60" s="6" t="inlineStr">
        <is>
          <t>Pasileng Norte</t>
        </is>
      </c>
      <c r="C60" s="6" t="inlineStr">
        <is>
          <t>January</t>
        </is>
      </c>
      <c r="D60" s="6" t="inlineStr">
        <is>
          <t>2011</t>
        </is>
      </c>
      <c r="E60" s="6" t="inlineStr">
        <is>
          <t>DS 2011</t>
        </is>
      </c>
      <c r="F60" s="6" t="inlineStr">
        <is>
          <t>Planting</t>
        </is>
      </c>
      <c r="G60" s="7" t="n">
        <v>1.5</v>
      </c>
      <c r="H60" s="8" t="n">
        <v>23.26</v>
      </c>
      <c r="I60" s="8" t="n">
        <v>16.59</v>
      </c>
      <c r="J60" s="8" t="n">
        <v>29.76</v>
      </c>
      <c r="K60" s="8" t="n">
        <v>81.59</v>
      </c>
      <c r="L60" s="8" t="n">
        <v>98.45999999999999</v>
      </c>
      <c r="M60" s="8" t="n">
        <v>15.11</v>
      </c>
      <c r="N60" s="6" t="inlineStr">
        <is>
          <t>Type I – Tropical Monsoon (PAGASA)</t>
        </is>
      </c>
      <c r="O60" s="6" t="inlineStr">
        <is>
          <t>Dry (Cool)</t>
        </is>
      </c>
      <c r="P60" s="6" t="inlineStr">
        <is>
          <t>Sandy Loam</t>
        </is>
      </c>
      <c r="Q60" s="6" t="inlineStr">
        <is>
          <t>Flat / Lowland</t>
        </is>
      </c>
      <c r="R60" s="9" t="n">
        <v>30</v>
      </c>
      <c r="S60" s="6" t="inlineStr">
        <is>
          <t>Tagamusing River</t>
        </is>
      </c>
      <c r="T60" s="10" t="n">
        <v>140.28</v>
      </c>
      <c r="U60" s="10" t="n">
        <v>2</v>
      </c>
      <c r="V60" s="10" t="n">
        <v>26.4</v>
      </c>
      <c r="W60" s="10" t="n">
        <v>74</v>
      </c>
      <c r="X60" s="10" t="n"/>
      <c r="Y60" s="10" t="n"/>
      <c r="Z60" s="11" t="n"/>
      <c r="AA60" s="12" t="inlineStr">
        <is>
          <t>Transplanting (Pindot) or Direct Seeding (Pinaghandaan)</t>
        </is>
      </c>
      <c r="AB60" s="12" t="inlineStr">
        <is>
          <t>Conventional Tillage: 2 plowings + 2 harrowings; soil workable when moist</t>
        </is>
      </c>
      <c r="AC60" s="12" t="inlineStr">
        <is>
          <t>Intermittent irrigation (Alternate Wetting and Drying — AWD); moderate retention</t>
        </is>
      </c>
    </row>
    <row r="61" ht="21.75" customHeight="1" s="101">
      <c r="A61" s="13" t="inlineStr">
        <is>
          <t>Palay</t>
        </is>
      </c>
      <c r="B61" s="13" t="inlineStr">
        <is>
          <t>Tabuyoc</t>
        </is>
      </c>
      <c r="C61" s="13" t="inlineStr">
        <is>
          <t>January</t>
        </is>
      </c>
      <c r="D61" s="13" t="inlineStr">
        <is>
          <t>2011</t>
        </is>
      </c>
      <c r="E61" s="13" t="inlineStr">
        <is>
          <t>DS 2011</t>
        </is>
      </c>
      <c r="F61" s="13" t="inlineStr">
        <is>
          <t>Planting</t>
        </is>
      </c>
      <c r="G61" s="7" t="n">
        <v>1.5</v>
      </c>
      <c r="H61" s="8" t="n">
        <v>23.26</v>
      </c>
      <c r="I61" s="8" t="n">
        <v>16.59</v>
      </c>
      <c r="J61" s="8" t="n">
        <v>29.76</v>
      </c>
      <c r="K61" s="8" t="n">
        <v>81.59</v>
      </c>
      <c r="L61" s="8" t="n">
        <v>98.45999999999999</v>
      </c>
      <c r="M61" s="8" t="n">
        <v>15.11</v>
      </c>
      <c r="N61" s="13" t="inlineStr">
        <is>
          <t>Type I – Tropical Monsoon (PAGASA)</t>
        </is>
      </c>
      <c r="O61" s="13" t="inlineStr">
        <is>
          <t>Dry (Cool)</t>
        </is>
      </c>
      <c r="P61" s="13" t="inlineStr">
        <is>
          <t>Silty Clay Loam</t>
        </is>
      </c>
      <c r="Q61" s="13" t="inlineStr">
        <is>
          <t>Flat / Lowland</t>
        </is>
      </c>
      <c r="R61" s="14" t="n">
        <v>30</v>
      </c>
      <c r="S61" s="13" t="inlineStr">
        <is>
          <t>—</t>
        </is>
      </c>
      <c r="T61" s="15" t="n">
        <v>277.2</v>
      </c>
      <c r="U61" s="15" t="n">
        <v>7</v>
      </c>
      <c r="V61" s="15" t="n">
        <v>81.66</v>
      </c>
      <c r="W61" s="15" t="n">
        <v>125</v>
      </c>
      <c r="X61" s="15" t="n"/>
      <c r="Y61" s="15" t="n"/>
      <c r="Z61" s="16" t="n"/>
      <c r="AA61" s="17" t="inlineStr">
        <is>
          <t>Transplanting (Pindot) — optimal for clay-loam paddy fields</t>
        </is>
      </c>
      <c r="AB61" s="17" t="inlineStr">
        <is>
          <t>Wet Tillage (Puddling): 2 plowings + thorough harrowing under flooded condition</t>
        </is>
      </c>
      <c r="AC61" s="17" t="inlineStr">
        <is>
          <t>Continuous flooding 2–5 cm depth during vegetative stage; drain 2 weeks before harvest</t>
        </is>
      </c>
    </row>
    <row r="62" ht="21.75" customHeight="1" s="101">
      <c r="A62" s="6" t="inlineStr">
        <is>
          <t>Palay</t>
        </is>
      </c>
      <c r="B62" s="6" t="inlineStr">
        <is>
          <t>Bued</t>
        </is>
      </c>
      <c r="C62" s="6" t="inlineStr">
        <is>
          <t>January</t>
        </is>
      </c>
      <c r="D62" s="6" t="inlineStr">
        <is>
          <t>2011</t>
        </is>
      </c>
      <c r="E62" s="6" t="inlineStr">
        <is>
          <t>DS 2011</t>
        </is>
      </c>
      <c r="F62" s="6" t="inlineStr">
        <is>
          <t>Planting</t>
        </is>
      </c>
      <c r="G62" s="7" t="n">
        <v>1.5</v>
      </c>
      <c r="H62" s="8" t="n">
        <v>23.26</v>
      </c>
      <c r="I62" s="8" t="n">
        <v>16.59</v>
      </c>
      <c r="J62" s="8" t="n">
        <v>29.76</v>
      </c>
      <c r="K62" s="8" t="n">
        <v>81.59</v>
      </c>
      <c r="L62" s="8" t="n">
        <v>98.45999999999999</v>
      </c>
      <c r="M62" s="8" t="n">
        <v>15.11</v>
      </c>
      <c r="N62" s="6" t="inlineStr">
        <is>
          <t>Type I – Tropical Monsoon (PAGASA)</t>
        </is>
      </c>
      <c r="O62" s="6" t="inlineStr">
        <is>
          <t>Dry (Cool)</t>
        </is>
      </c>
      <c r="P62" s="6" t="inlineStr">
        <is>
          <t>Silty Clay Loam</t>
        </is>
      </c>
      <c r="Q62" s="6" t="inlineStr">
        <is>
          <t>Flat / Lowland</t>
        </is>
      </c>
      <c r="R62" s="9" t="n">
        <v>30</v>
      </c>
      <c r="S62" s="6" t="inlineStr">
        <is>
          <t>Tagamusing River</t>
        </is>
      </c>
      <c r="T62" s="10" t="n">
        <v>210.84</v>
      </c>
      <c r="U62" s="10" t="n">
        <v>2</v>
      </c>
      <c r="V62" s="10" t="n">
        <v>35.32</v>
      </c>
      <c r="W62" s="10" t="n">
        <v>105.4</v>
      </c>
      <c r="X62" s="10" t="n"/>
      <c r="Y62" s="10" t="n"/>
      <c r="Z62" s="11" t="n"/>
      <c r="AA62" s="12" t="inlineStr">
        <is>
          <t>Transplanting (Pindot) — optimal for clay-loam paddy fields</t>
        </is>
      </c>
      <c r="AB62" s="12" t="inlineStr">
        <is>
          <t>Wet Tillage (Puddling): 2 plowings + thorough harrowing under flooded condition</t>
        </is>
      </c>
      <c r="AC62" s="12" t="inlineStr">
        <is>
          <t>Continuous flooding 2–5 cm depth during vegetative stage; drain 2 weeks before harvest</t>
        </is>
      </c>
    </row>
    <row r="63" ht="21.75" customHeight="1" s="101">
      <c r="A63" s="13" t="inlineStr">
        <is>
          <t>Palay</t>
        </is>
      </c>
      <c r="B63" s="13" t="inlineStr">
        <is>
          <t>Dumayat</t>
        </is>
      </c>
      <c r="C63" s="13" t="inlineStr">
        <is>
          <t>January</t>
        </is>
      </c>
      <c r="D63" s="13" t="inlineStr">
        <is>
          <t>2011</t>
        </is>
      </c>
      <c r="E63" s="13" t="inlineStr">
        <is>
          <t>DS 2011</t>
        </is>
      </c>
      <c r="F63" s="13" t="inlineStr">
        <is>
          <t>Planting</t>
        </is>
      </c>
      <c r="G63" s="7" t="n">
        <v>1.5</v>
      </c>
      <c r="H63" s="8" t="n">
        <v>23.26</v>
      </c>
      <c r="I63" s="8" t="n">
        <v>16.59</v>
      </c>
      <c r="J63" s="8" t="n">
        <v>29.76</v>
      </c>
      <c r="K63" s="8" t="n">
        <v>81.59</v>
      </c>
      <c r="L63" s="8" t="n">
        <v>98.45999999999999</v>
      </c>
      <c r="M63" s="8" t="n">
        <v>15.11</v>
      </c>
      <c r="N63" s="13" t="inlineStr">
        <is>
          <t>Type I – Tropical Monsoon (PAGASA)</t>
        </is>
      </c>
      <c r="O63" s="13" t="inlineStr">
        <is>
          <t>Dry (Cool)</t>
        </is>
      </c>
      <c r="P63" s="13" t="inlineStr">
        <is>
          <t>Silty Clay Loam</t>
        </is>
      </c>
      <c r="Q63" s="13" t="inlineStr">
        <is>
          <t>Flat / Lowland</t>
        </is>
      </c>
      <c r="R63" s="14" t="n">
        <v>30</v>
      </c>
      <c r="S63" s="13" t="inlineStr">
        <is>
          <t>—</t>
        </is>
      </c>
      <c r="T63" s="15" t="n">
        <v>266.28</v>
      </c>
      <c r="U63" s="15" t="n">
        <v>2</v>
      </c>
      <c r="V63" s="15" t="n">
        <v>35.32</v>
      </c>
      <c r="W63" s="15" t="n">
        <v>12.25</v>
      </c>
      <c r="X63" s="15" t="n"/>
      <c r="Y63" s="15" t="n"/>
      <c r="Z63" s="16" t="n"/>
      <c r="AA63" s="17" t="inlineStr">
        <is>
          <t>Transplanting (Pindot) — optimal for clay-loam paddy fields</t>
        </is>
      </c>
      <c r="AB63" s="17" t="inlineStr">
        <is>
          <t>Wet Tillage (Puddling): 2 plowings + thorough harrowing under flooded condition</t>
        </is>
      </c>
      <c r="AC63" s="17" t="inlineStr">
        <is>
          <t>Continuous flooding 2–5 cm depth during vegetative stage; drain 2 weeks before harvest</t>
        </is>
      </c>
    </row>
    <row r="64" ht="21.75" customHeight="1" s="101">
      <c r="A64" s="6" t="inlineStr">
        <is>
          <t>Palay</t>
        </is>
      </c>
      <c r="B64" s="6" t="inlineStr">
        <is>
          <t>Camanggaan</t>
        </is>
      </c>
      <c r="C64" s="6" t="inlineStr">
        <is>
          <t>January</t>
        </is>
      </c>
      <c r="D64" s="6" t="inlineStr">
        <is>
          <t>2011</t>
        </is>
      </c>
      <c r="E64" s="6" t="inlineStr">
        <is>
          <t>DS 2011</t>
        </is>
      </c>
      <c r="F64" s="6" t="inlineStr">
        <is>
          <t>Planting</t>
        </is>
      </c>
      <c r="G64" s="7" t="n">
        <v>1.5</v>
      </c>
      <c r="H64" s="8" t="n">
        <v>23.26</v>
      </c>
      <c r="I64" s="8" t="n">
        <v>16.59</v>
      </c>
      <c r="J64" s="8" t="n">
        <v>29.76</v>
      </c>
      <c r="K64" s="8" t="n">
        <v>81.59</v>
      </c>
      <c r="L64" s="8" t="n">
        <v>98.45999999999999</v>
      </c>
      <c r="M64" s="8" t="n">
        <v>15.11</v>
      </c>
      <c r="N64" s="6" t="inlineStr">
        <is>
          <t>Type I – Tropical Monsoon (PAGASA)</t>
        </is>
      </c>
      <c r="O64" s="6" t="inlineStr">
        <is>
          <t>Dry (Cool)</t>
        </is>
      </c>
      <c r="P64" s="6" t="inlineStr">
        <is>
          <t>Sandy Loam</t>
        </is>
      </c>
      <c r="Q64" s="6" t="inlineStr">
        <is>
          <t>Flat / Lowland</t>
        </is>
      </c>
      <c r="R64" s="9" t="n">
        <v>30</v>
      </c>
      <c r="S64" s="6" t="inlineStr">
        <is>
          <t>—</t>
        </is>
      </c>
      <c r="T64" s="10" t="n">
        <v>244.44</v>
      </c>
      <c r="U64" s="10" t="n">
        <v>2</v>
      </c>
      <c r="V64" s="10" t="n">
        <v>72.73999999999999</v>
      </c>
      <c r="W64" s="10" t="n">
        <v>10</v>
      </c>
      <c r="X64" s="10" t="n"/>
      <c r="Y64" s="10" t="n"/>
      <c r="Z64" s="11" t="n"/>
      <c r="AA64" s="12" t="inlineStr">
        <is>
          <t>Transplanting (Pindot) or Direct Seeding (Pinaghandaan)</t>
        </is>
      </c>
      <c r="AB64" s="12" t="inlineStr">
        <is>
          <t>Conventional Tillage: 2 plowings + 2 harrowings; soil workable when moist</t>
        </is>
      </c>
      <c r="AC64" s="12" t="inlineStr">
        <is>
          <t>Intermittent irrigation (Alternate Wetting and Drying — AWD); moderate retention</t>
        </is>
      </c>
    </row>
    <row r="65" ht="21.75" customHeight="1" s="101">
      <c r="A65" s="13" t="inlineStr">
        <is>
          <t>Palay</t>
        </is>
      </c>
      <c r="B65" s="13" t="inlineStr">
        <is>
          <t>Vacante</t>
        </is>
      </c>
      <c r="C65" s="13" t="inlineStr">
        <is>
          <t>January</t>
        </is>
      </c>
      <c r="D65" s="13" t="inlineStr">
        <is>
          <t>2011</t>
        </is>
      </c>
      <c r="E65" s="13" t="inlineStr">
        <is>
          <t>DS 2011</t>
        </is>
      </c>
      <c r="F65" s="13" t="inlineStr">
        <is>
          <t>Planting</t>
        </is>
      </c>
      <c r="G65" s="7" t="n">
        <v>1.5</v>
      </c>
      <c r="H65" s="8" t="n">
        <v>23.26</v>
      </c>
      <c r="I65" s="8" t="n">
        <v>16.59</v>
      </c>
      <c r="J65" s="8" t="n">
        <v>29.76</v>
      </c>
      <c r="K65" s="8" t="n">
        <v>81.59</v>
      </c>
      <c r="L65" s="8" t="n">
        <v>98.45999999999999</v>
      </c>
      <c r="M65" s="8" t="n">
        <v>15.11</v>
      </c>
      <c r="N65" s="13" t="inlineStr">
        <is>
          <t>Type I – Tropical Monsoon (PAGASA)</t>
        </is>
      </c>
      <c r="O65" s="13" t="inlineStr">
        <is>
          <t>Dry (Cool)</t>
        </is>
      </c>
      <c r="P65" s="13" t="inlineStr">
        <is>
          <t>Silty Clay Loam</t>
        </is>
      </c>
      <c r="Q65" s="13" t="inlineStr">
        <is>
          <t>Flat / Lowland</t>
        </is>
      </c>
      <c r="R65" s="14" t="n">
        <v>30</v>
      </c>
      <c r="S65" s="13" t="inlineStr">
        <is>
          <t>Aloragat River</t>
        </is>
      </c>
      <c r="T65" s="15" t="n">
        <v>484.68</v>
      </c>
      <c r="U65" s="15" t="n">
        <v>2</v>
      </c>
      <c r="V65" s="15" t="n">
        <v>81.66</v>
      </c>
      <c r="W65" s="15" t="n">
        <v>43.79</v>
      </c>
      <c r="X65" s="15" t="n"/>
      <c r="Y65" s="15" t="n"/>
      <c r="Z65" s="16" t="n"/>
      <c r="AA65" s="17" t="inlineStr">
        <is>
          <t>Transplanting (Pindot) — optimal for clay-loam paddy fields</t>
        </is>
      </c>
      <c r="AB65" s="17" t="inlineStr">
        <is>
          <t>Wet Tillage (Puddling): 2 plowings + thorough harrowing under flooded condition</t>
        </is>
      </c>
      <c r="AC65" s="17" t="inlineStr">
        <is>
          <t>Continuous flooding 2–5 cm depth during vegetative stage; drain 2 weeks before harvest</t>
        </is>
      </c>
    </row>
    <row r="66" ht="21.75" customHeight="1" s="101">
      <c r="A66" s="6" t="inlineStr">
        <is>
          <t>Palay</t>
        </is>
      </c>
      <c r="B66" s="6" t="inlineStr">
        <is>
          <t>Sta. Catalina</t>
        </is>
      </c>
      <c r="C66" s="6" t="inlineStr">
        <is>
          <t>January</t>
        </is>
      </c>
      <c r="D66" s="6" t="inlineStr">
        <is>
          <t>2011</t>
        </is>
      </c>
      <c r="E66" s="6" t="inlineStr">
        <is>
          <t>DS 2011</t>
        </is>
      </c>
      <c r="F66" s="6" t="inlineStr">
        <is>
          <t>Planting</t>
        </is>
      </c>
      <c r="G66" s="7" t="n">
        <v>1.5</v>
      </c>
      <c r="H66" s="8" t="n">
        <v>23.26</v>
      </c>
      <c r="I66" s="8" t="n">
        <v>16.59</v>
      </c>
      <c r="J66" s="8" t="n">
        <v>29.76</v>
      </c>
      <c r="K66" s="8" t="n">
        <v>81.59</v>
      </c>
      <c r="L66" s="8" t="n">
        <v>98.45999999999999</v>
      </c>
      <c r="M66" s="8" t="n">
        <v>15.11</v>
      </c>
      <c r="N66" s="6" t="inlineStr">
        <is>
          <t>Type I – Tropical Monsoon (PAGASA)</t>
        </is>
      </c>
      <c r="O66" s="6" t="inlineStr">
        <is>
          <t>Dry (Cool)</t>
        </is>
      </c>
      <c r="P66" s="6" t="inlineStr">
        <is>
          <t>Fine Sand / Sandy Loam</t>
        </is>
      </c>
      <c r="Q66" s="6" t="inlineStr">
        <is>
          <t>Moderately Sloping / Highland</t>
        </is>
      </c>
      <c r="R66" s="9" t="n">
        <v>90</v>
      </c>
      <c r="S66" s="6" t="inlineStr">
        <is>
          <t>—</t>
        </is>
      </c>
      <c r="T66" s="10" t="n">
        <v>709.8</v>
      </c>
      <c r="U66" s="10" t="n">
        <v>31.07</v>
      </c>
      <c r="V66" s="10" t="n">
        <v>145.04</v>
      </c>
      <c r="W66" s="10" t="n">
        <v>35.8</v>
      </c>
      <c r="X66" s="10" t="n"/>
      <c r="Y66" s="10" t="n"/>
      <c r="Z66" s="11" t="n"/>
      <c r="AA66" s="12" t="inlineStr">
        <is>
          <t>Transplanting (Pindot)</t>
        </is>
      </c>
      <c r="AB66" s="12" t="inlineStr">
        <is>
          <t>Minimum Tillage (avoid compaction; sandy structure fragile)</t>
        </is>
      </c>
      <c r="AC66" s="12" t="inlineStr">
        <is>
          <t>Continuous flooding or frequent irrigation; high percolation risk; terrace or bund-assisted water retention essential on slopes</t>
        </is>
      </c>
    </row>
    <row r="67" ht="21.75" customHeight="1" s="101">
      <c r="A67" s="13" t="inlineStr">
        <is>
          <t>Palay</t>
        </is>
      </c>
      <c r="B67" s="13" t="inlineStr">
        <is>
          <t>Moreno</t>
        </is>
      </c>
      <c r="C67" s="13" t="inlineStr">
        <is>
          <t>January</t>
        </is>
      </c>
      <c r="D67" s="13" t="inlineStr">
        <is>
          <t>2011</t>
        </is>
      </c>
      <c r="E67" s="13" t="inlineStr">
        <is>
          <t>DS 2011</t>
        </is>
      </c>
      <c r="F67" s="13" t="inlineStr">
        <is>
          <t>Planting</t>
        </is>
      </c>
      <c r="G67" s="7" t="n">
        <v>1.5</v>
      </c>
      <c r="H67" s="8" t="n">
        <v>23.26</v>
      </c>
      <c r="I67" s="8" t="n">
        <v>16.59</v>
      </c>
      <c r="J67" s="8" t="n">
        <v>29.76</v>
      </c>
      <c r="K67" s="8" t="n">
        <v>81.59</v>
      </c>
      <c r="L67" s="8" t="n">
        <v>98.45999999999999</v>
      </c>
      <c r="M67" s="8" t="n">
        <v>15.11</v>
      </c>
      <c r="N67" s="13" t="inlineStr">
        <is>
          <t>Type I – Tropical Monsoon (PAGASA)</t>
        </is>
      </c>
      <c r="O67" s="13" t="inlineStr">
        <is>
          <t>Dry (Cool)</t>
        </is>
      </c>
      <c r="P67" s="13" t="inlineStr">
        <is>
          <t>Sandy Loam</t>
        </is>
      </c>
      <c r="Q67" s="13" t="inlineStr">
        <is>
          <t>Moderately Sloping / Highland</t>
        </is>
      </c>
      <c r="R67" s="14" t="n">
        <v>90</v>
      </c>
      <c r="S67" s="13" t="inlineStr">
        <is>
          <t>Alibeng River</t>
        </is>
      </c>
      <c r="T67" s="15" t="n">
        <v>641.76</v>
      </c>
      <c r="U67" s="15" t="n">
        <v>12.14</v>
      </c>
      <c r="V67" s="15" t="n">
        <v>135.56</v>
      </c>
      <c r="W67" s="15" t="n">
        <v>25.69</v>
      </c>
      <c r="X67" s="15" t="n"/>
      <c r="Y67" s="15" t="n"/>
      <c r="Z67" s="16" t="n"/>
      <c r="AA67" s="17" t="inlineStr">
        <is>
          <t>Transplanting (Pindot) or Direct Seeding (Pinaghandaan)</t>
        </is>
      </c>
      <c r="AB67" s="17" t="inlineStr">
        <is>
          <t>Conventional Tillage: 2 plowings + 2 harrowings; soil workable when moist</t>
        </is>
      </c>
      <c r="AC67" s="17" t="inlineStr">
        <is>
          <t>Intermittent irrigation (Alternate Wetting and Drying — AWD); moderate retention; terrace or bund-assisted water retention essential on slopes</t>
        </is>
      </c>
    </row>
    <row r="68" ht="21.75" customHeight="1" s="101">
      <c r="A68" s="6" t="inlineStr">
        <is>
          <t>Palay</t>
        </is>
      </c>
      <c r="B68" s="6" t="inlineStr">
        <is>
          <t>Cili</t>
        </is>
      </c>
      <c r="C68" s="6" t="inlineStr">
        <is>
          <t>January</t>
        </is>
      </c>
      <c r="D68" s="6" t="inlineStr">
        <is>
          <t>2011</t>
        </is>
      </c>
      <c r="E68" s="6" t="inlineStr">
        <is>
          <t>DS 2011</t>
        </is>
      </c>
      <c r="F68" s="6" t="inlineStr">
        <is>
          <t>Planting</t>
        </is>
      </c>
      <c r="G68" s="7" t="n">
        <v>1.5</v>
      </c>
      <c r="H68" s="8" t="n">
        <v>23.26</v>
      </c>
      <c r="I68" s="8" t="n">
        <v>16.59</v>
      </c>
      <c r="J68" s="8" t="n">
        <v>29.76</v>
      </c>
      <c r="K68" s="8" t="n">
        <v>81.59</v>
      </c>
      <c r="L68" s="8" t="n">
        <v>98.45999999999999</v>
      </c>
      <c r="M68" s="8" t="n">
        <v>15.11</v>
      </c>
      <c r="N68" s="6" t="inlineStr">
        <is>
          <t>Type I – Tropical Monsoon (PAGASA)</t>
        </is>
      </c>
      <c r="O68" s="6" t="inlineStr">
        <is>
          <t>Dry (Cool)</t>
        </is>
      </c>
      <c r="P68" s="6" t="inlineStr">
        <is>
          <t>Silty Clay Loam</t>
        </is>
      </c>
      <c r="Q68" s="6" t="inlineStr">
        <is>
          <t>Flat / Lowland</t>
        </is>
      </c>
      <c r="R68" s="9" t="n">
        <v>30</v>
      </c>
      <c r="S68" s="6" t="inlineStr">
        <is>
          <t>Alibeng River</t>
        </is>
      </c>
      <c r="T68" s="10" t="n">
        <v>264.6</v>
      </c>
      <c r="U68" s="10" t="n">
        <v>2</v>
      </c>
      <c r="V68" s="10" t="n">
        <v>35.32</v>
      </c>
      <c r="W68" s="10" t="n">
        <v>14</v>
      </c>
      <c r="X68" s="10" t="n"/>
      <c r="Y68" s="10" t="n"/>
      <c r="Z68" s="11" t="n"/>
      <c r="AA68" s="12" t="inlineStr">
        <is>
          <t>Transplanting (Pindot) — optimal for clay-loam paddy fields</t>
        </is>
      </c>
      <c r="AB68" s="12" t="inlineStr">
        <is>
          <t>Wet Tillage (Puddling): 2 plowings + thorough harrowing under flooded condition</t>
        </is>
      </c>
      <c r="AC68" s="12" t="inlineStr">
        <is>
          <t>Continuous flooding 2–5 cm depth during vegetative stage; drain 2 weeks before harvest</t>
        </is>
      </c>
    </row>
    <row r="69" ht="21.75" customHeight="1" s="101">
      <c r="A69" s="13" t="inlineStr">
        <is>
          <t>Palay</t>
        </is>
      </c>
      <c r="B69" s="13" t="inlineStr">
        <is>
          <t>Sumabnit</t>
        </is>
      </c>
      <c r="C69" s="13" t="inlineStr">
        <is>
          <t>January</t>
        </is>
      </c>
      <c r="D69" s="13" t="inlineStr">
        <is>
          <t>2011</t>
        </is>
      </c>
      <c r="E69" s="13" t="inlineStr">
        <is>
          <t>DS 2011</t>
        </is>
      </c>
      <c r="F69" s="13" t="inlineStr">
        <is>
          <t>Planting</t>
        </is>
      </c>
      <c r="G69" s="7" t="n">
        <v>1.5</v>
      </c>
      <c r="H69" s="8" t="n">
        <v>23.26</v>
      </c>
      <c r="I69" s="8" t="n">
        <v>16.59</v>
      </c>
      <c r="J69" s="8" t="n">
        <v>29.76</v>
      </c>
      <c r="K69" s="8" t="n">
        <v>81.59</v>
      </c>
      <c r="L69" s="8" t="n">
        <v>98.45999999999999</v>
      </c>
      <c r="M69" s="8" t="n">
        <v>15.11</v>
      </c>
      <c r="N69" s="13" t="inlineStr">
        <is>
          <t>Type I – Tropical Monsoon (PAGASA)</t>
        </is>
      </c>
      <c r="O69" s="13" t="inlineStr">
        <is>
          <t>Dry (Cool)</t>
        </is>
      </c>
      <c r="P69" s="13" t="inlineStr">
        <is>
          <t>Silty Clay Loam / Fine Sandy Loam</t>
        </is>
      </c>
      <c r="Q69" s="13" t="inlineStr">
        <is>
          <t>Flat / Lowland</t>
        </is>
      </c>
      <c r="R69" s="14" t="n">
        <v>30</v>
      </c>
      <c r="S69" s="13" t="inlineStr">
        <is>
          <t>Tagamusing River</t>
        </is>
      </c>
      <c r="T69" s="15" t="n">
        <v>406.56</v>
      </c>
      <c r="U69" s="15" t="n">
        <v>2</v>
      </c>
      <c r="V69" s="15" t="n">
        <v>81.66</v>
      </c>
      <c r="W69" s="15" t="n">
        <v>63.6</v>
      </c>
      <c r="X69" s="15" t="n"/>
      <c r="Y69" s="15" t="n"/>
      <c r="Z69" s="16" t="n"/>
      <c r="AA69" s="17" t="inlineStr">
        <is>
          <t>Transplanting (Pindot)</t>
        </is>
      </c>
      <c r="AB69" s="17" t="inlineStr">
        <is>
          <t>Minimum Tillage (avoid compaction; sandy structure fragile)</t>
        </is>
      </c>
      <c r="AC69" s="17" t="inlineStr">
        <is>
          <t>Continuous flooding or frequent irrigation; high percolation risk</t>
        </is>
      </c>
    </row>
    <row r="70" ht="21.75" customHeight="1" s="101">
      <c r="A70" s="6" t="inlineStr">
        <is>
          <t>Palay</t>
        </is>
      </c>
      <c r="B70" s="6" t="inlineStr">
        <is>
          <t>Capas</t>
        </is>
      </c>
      <c r="C70" s="6" t="inlineStr">
        <is>
          <t>January</t>
        </is>
      </c>
      <c r="D70" s="6" t="inlineStr">
        <is>
          <t>2011</t>
        </is>
      </c>
      <c r="E70" s="6" t="inlineStr">
        <is>
          <t>DS 2011</t>
        </is>
      </c>
      <c r="F70" s="6" t="inlineStr">
        <is>
          <t>Planting</t>
        </is>
      </c>
      <c r="G70" s="7" t="n">
        <v>1.5</v>
      </c>
      <c r="H70" s="8" t="n">
        <v>23.26</v>
      </c>
      <c r="I70" s="8" t="n">
        <v>16.59</v>
      </c>
      <c r="J70" s="8" t="n">
        <v>29.76</v>
      </c>
      <c r="K70" s="8" t="n">
        <v>81.59</v>
      </c>
      <c r="L70" s="8" t="n">
        <v>98.45999999999999</v>
      </c>
      <c r="M70" s="8" t="n">
        <v>15.11</v>
      </c>
      <c r="N70" s="6" t="inlineStr">
        <is>
          <t>Type I – Tropical Monsoon (PAGASA)</t>
        </is>
      </c>
      <c r="O70" s="6" t="inlineStr">
        <is>
          <t>Dry (Cool)</t>
        </is>
      </c>
      <c r="P70" s="6" t="inlineStr">
        <is>
          <t>Sandy Loam</t>
        </is>
      </c>
      <c r="Q70" s="6" t="inlineStr">
        <is>
          <t>Flat / Lowland</t>
        </is>
      </c>
      <c r="R70" s="9" t="n">
        <v>30</v>
      </c>
      <c r="S70" s="6" t="inlineStr">
        <is>
          <t>—</t>
        </is>
      </c>
      <c r="T70" s="10" t="n">
        <v>377.16</v>
      </c>
      <c r="U70" s="10" t="n">
        <v>2</v>
      </c>
      <c r="V70" s="10" t="n">
        <v>52.42</v>
      </c>
      <c r="W70" s="10" t="n">
        <v>179</v>
      </c>
      <c r="X70" s="10" t="n"/>
      <c r="Y70" s="10" t="n"/>
      <c r="Z70" s="11" t="n"/>
      <c r="AA70" s="12" t="inlineStr">
        <is>
          <t>Transplanting (Pindot) or Direct Seeding (Pinaghandaan)</t>
        </is>
      </c>
      <c r="AB70" s="12" t="inlineStr">
        <is>
          <t>Conventional Tillage: 2 plowings + 2 harrowings; soil workable when moist</t>
        </is>
      </c>
      <c r="AC70" s="12" t="inlineStr">
        <is>
          <t>Intermittent irrigation (Alternate Wetting and Drying — AWD); moderate retention</t>
        </is>
      </c>
    </row>
    <row r="71" ht="21.75" customHeight="1" s="101">
      <c r="A71" s="13" t="inlineStr">
        <is>
          <t>Palay</t>
        </is>
      </c>
      <c r="B71" s="13" t="inlineStr">
        <is>
          <t>San Pablo</t>
        </is>
      </c>
      <c r="C71" s="13" t="inlineStr">
        <is>
          <t>January</t>
        </is>
      </c>
      <c r="D71" s="13" t="inlineStr">
        <is>
          <t>2011</t>
        </is>
      </c>
      <c r="E71" s="13" t="inlineStr">
        <is>
          <t>DS 2011</t>
        </is>
      </c>
      <c r="F71" s="13" t="inlineStr">
        <is>
          <t>Planting</t>
        </is>
      </c>
      <c r="G71" s="7" t="n">
        <v>1.5</v>
      </c>
      <c r="H71" s="8" t="n">
        <v>23.26</v>
      </c>
      <c r="I71" s="8" t="n">
        <v>16.59</v>
      </c>
      <c r="J71" s="8" t="n">
        <v>29.76</v>
      </c>
      <c r="K71" s="8" t="n">
        <v>81.59</v>
      </c>
      <c r="L71" s="8" t="n">
        <v>98.45999999999999</v>
      </c>
      <c r="M71" s="8" t="n">
        <v>15.11</v>
      </c>
      <c r="N71" s="13" t="inlineStr">
        <is>
          <t>Type I – Tropical Monsoon (PAGASA)</t>
        </is>
      </c>
      <c r="O71" s="13" t="inlineStr">
        <is>
          <t>Dry (Cool)</t>
        </is>
      </c>
      <c r="P71" s="13" t="inlineStr">
        <is>
          <t>Sandy Loam</t>
        </is>
      </c>
      <c r="Q71" s="13" t="inlineStr">
        <is>
          <t>Flat / Lowland</t>
        </is>
      </c>
      <c r="R71" s="14" t="n">
        <v>30</v>
      </c>
      <c r="S71" s="13" t="inlineStr">
        <is>
          <t>San Pablo Creek</t>
        </is>
      </c>
      <c r="T71" s="15" t="n">
        <v>215.04</v>
      </c>
      <c r="U71" s="15" t="n">
        <v>2</v>
      </c>
      <c r="V71" s="15" t="n">
        <v>20.7</v>
      </c>
      <c r="W71" s="15" t="n">
        <v>115</v>
      </c>
      <c r="X71" s="15" t="n"/>
      <c r="Y71" s="15" t="n"/>
      <c r="Z71" s="16" t="n"/>
      <c r="AA71" s="17" t="inlineStr">
        <is>
          <t>Transplanting (Pindot) or Direct Seeding (Pinaghandaan)</t>
        </is>
      </c>
      <c r="AB71" s="17" t="inlineStr">
        <is>
          <t>Conventional Tillage: 2 plowings + 2 harrowings; soil workable when moist</t>
        </is>
      </c>
      <c r="AC71" s="17" t="inlineStr">
        <is>
          <t>Intermittent irrigation (Alternate Wetting and Drying — AWD); moderate retention</t>
        </is>
      </c>
    </row>
    <row r="72" ht="21.75" customHeight="1" s="101">
      <c r="A72" s="6" t="inlineStr">
        <is>
          <t>Palay</t>
        </is>
      </c>
      <c r="B72" s="6" t="inlineStr">
        <is>
          <t>Balangobong</t>
        </is>
      </c>
      <c r="C72" s="6" t="inlineStr">
        <is>
          <t>January</t>
        </is>
      </c>
      <c r="D72" s="6" t="inlineStr">
        <is>
          <t>2011</t>
        </is>
      </c>
      <c r="E72" s="6" t="inlineStr">
        <is>
          <t>DS 2011</t>
        </is>
      </c>
      <c r="F72" s="6" t="inlineStr">
        <is>
          <t>Planting</t>
        </is>
      </c>
      <c r="G72" s="7" t="n">
        <v>1.5</v>
      </c>
      <c r="H72" s="8" t="n">
        <v>23.26</v>
      </c>
      <c r="I72" s="8" t="n">
        <v>16.59</v>
      </c>
      <c r="J72" s="8" t="n">
        <v>29.76</v>
      </c>
      <c r="K72" s="8" t="n">
        <v>81.59</v>
      </c>
      <c r="L72" s="8" t="n">
        <v>98.45999999999999</v>
      </c>
      <c r="M72" s="8" t="n">
        <v>15.11</v>
      </c>
      <c r="N72" s="6" t="inlineStr">
        <is>
          <t>Type I – Tropical Monsoon (PAGASA)</t>
        </is>
      </c>
      <c r="O72" s="6" t="inlineStr">
        <is>
          <t>Dry (Cool)</t>
        </is>
      </c>
      <c r="P72" s="6" t="inlineStr">
        <is>
          <t>Silty Clay Loam</t>
        </is>
      </c>
      <c r="Q72" s="6" t="inlineStr">
        <is>
          <t>Flat / Lowland</t>
        </is>
      </c>
      <c r="R72" s="9" t="n">
        <v>30</v>
      </c>
      <c r="S72" s="6" t="inlineStr">
        <is>
          <t>—</t>
        </is>
      </c>
      <c r="T72" s="10" t="n">
        <v>281.4</v>
      </c>
      <c r="U72" s="10" t="n">
        <v>2</v>
      </c>
      <c r="V72" s="10" t="n">
        <v>35.32</v>
      </c>
      <c r="W72" s="10" t="n">
        <v>120</v>
      </c>
      <c r="X72" s="10" t="n"/>
      <c r="Y72" s="10" t="n"/>
      <c r="Z72" s="11" t="n"/>
      <c r="AA72" s="12" t="inlineStr">
        <is>
          <t>Transplanting (Pindot) — optimal for clay-loam paddy fields</t>
        </is>
      </c>
      <c r="AB72" s="12" t="inlineStr">
        <is>
          <t>Wet Tillage (Puddling): 2 plowings + thorough harrowing under flooded condition</t>
        </is>
      </c>
      <c r="AC72" s="12" t="inlineStr">
        <is>
          <t>Continuous flooding 2–5 cm depth during vegetative stage; drain 2 weeks before harvest</t>
        </is>
      </c>
    </row>
    <row r="73" ht="21.75" customHeight="1" s="101">
      <c r="A73" s="13" t="inlineStr">
        <is>
          <t>Palay</t>
        </is>
      </c>
      <c r="B73" s="13" t="inlineStr">
        <is>
          <t>San Felipe Central</t>
        </is>
      </c>
      <c r="C73" s="13" t="inlineStr">
        <is>
          <t>January</t>
        </is>
      </c>
      <c r="D73" s="13" t="inlineStr">
        <is>
          <t>2011</t>
        </is>
      </c>
      <c r="E73" s="13" t="inlineStr">
        <is>
          <t>DS 2011</t>
        </is>
      </c>
      <c r="F73" s="13" t="inlineStr">
        <is>
          <t>Planting</t>
        </is>
      </c>
      <c r="G73" s="7" t="n">
        <v>1.5</v>
      </c>
      <c r="H73" s="8" t="n">
        <v>23.26</v>
      </c>
      <c r="I73" s="8" t="n">
        <v>16.59</v>
      </c>
      <c r="J73" s="8" t="n">
        <v>29.76</v>
      </c>
      <c r="K73" s="8" t="n">
        <v>81.59</v>
      </c>
      <c r="L73" s="8" t="n">
        <v>98.45999999999999</v>
      </c>
      <c r="M73" s="8" t="n">
        <v>15.11</v>
      </c>
      <c r="N73" s="13" t="inlineStr">
        <is>
          <t>Type I – Tropical Monsoon (PAGASA)</t>
        </is>
      </c>
      <c r="O73" s="13" t="inlineStr">
        <is>
          <t>Dry (Cool)</t>
        </is>
      </c>
      <c r="P73" s="13" t="inlineStr">
        <is>
          <t>Sandy Loam</t>
        </is>
      </c>
      <c r="Q73" s="13" t="inlineStr">
        <is>
          <t>Flat / Lowland</t>
        </is>
      </c>
      <c r="R73" s="14" t="n">
        <v>30</v>
      </c>
      <c r="S73" s="13" t="inlineStr">
        <is>
          <t>—</t>
        </is>
      </c>
      <c r="T73" s="15" t="n">
        <v>452.76</v>
      </c>
      <c r="U73" s="15" t="n">
        <v>6</v>
      </c>
      <c r="V73" s="15" t="n">
        <v>26.4</v>
      </c>
      <c r="W73" s="15" t="n">
        <v>129</v>
      </c>
      <c r="X73" s="15" t="n"/>
      <c r="Y73" s="15" t="n"/>
      <c r="Z73" s="16" t="n"/>
      <c r="AA73" s="17" t="inlineStr">
        <is>
          <t>Transplanting (Pindot) or Direct Seeding (Pinaghandaan)</t>
        </is>
      </c>
      <c r="AB73" s="17" t="inlineStr">
        <is>
          <t>Conventional Tillage: 2 plowings + 2 harrowings; soil workable when moist</t>
        </is>
      </c>
      <c r="AC73" s="17" t="inlineStr">
        <is>
          <t>Intermittent irrigation (Alternate Wetting and Drying — AWD); moderate retention</t>
        </is>
      </c>
    </row>
    <row r="74" ht="21.75" customHeight="1" s="101">
      <c r="A74" s="6" t="inlineStr">
        <is>
          <t>Palay</t>
        </is>
      </c>
      <c r="B74" s="6" t="inlineStr">
        <is>
          <t>San Felipe Sur</t>
        </is>
      </c>
      <c r="C74" s="6" t="inlineStr">
        <is>
          <t>January</t>
        </is>
      </c>
      <c r="D74" s="6" t="inlineStr">
        <is>
          <t>2011</t>
        </is>
      </c>
      <c r="E74" s="6" t="inlineStr">
        <is>
          <t>DS 2011</t>
        </is>
      </c>
      <c r="F74" s="6" t="inlineStr">
        <is>
          <t>Planting</t>
        </is>
      </c>
      <c r="G74" s="7" t="n">
        <v>1.5</v>
      </c>
      <c r="H74" s="8" t="n">
        <v>23.26</v>
      </c>
      <c r="I74" s="8" t="n">
        <v>16.59</v>
      </c>
      <c r="J74" s="8" t="n">
        <v>29.76</v>
      </c>
      <c r="K74" s="8" t="n">
        <v>81.59</v>
      </c>
      <c r="L74" s="8" t="n">
        <v>98.45999999999999</v>
      </c>
      <c r="M74" s="8" t="n">
        <v>15.11</v>
      </c>
      <c r="N74" s="6" t="inlineStr">
        <is>
          <t>Type I – Tropical Monsoon (PAGASA)</t>
        </is>
      </c>
      <c r="O74" s="6" t="inlineStr">
        <is>
          <t>Dry (Cool)</t>
        </is>
      </c>
      <c r="P74" s="6" t="inlineStr">
        <is>
          <t>Sandy Loam</t>
        </is>
      </c>
      <c r="Q74" s="6" t="inlineStr">
        <is>
          <t>Flat / Lowland</t>
        </is>
      </c>
      <c r="R74" s="9" t="n">
        <v>30</v>
      </c>
      <c r="S74" s="6" t="inlineStr">
        <is>
          <t>Tagamusing River</t>
        </is>
      </c>
      <c r="T74" s="10" t="n">
        <v>504</v>
      </c>
      <c r="U74" s="10" t="n">
        <v>7.28</v>
      </c>
      <c r="V74" s="10" t="n">
        <v>32.1</v>
      </c>
      <c r="W74" s="10" t="n">
        <v>150</v>
      </c>
      <c r="X74" s="10" t="n"/>
      <c r="Y74" s="10" t="n"/>
      <c r="Z74" s="11" t="n"/>
      <c r="AA74" s="12" t="inlineStr">
        <is>
          <t>Transplanting (Pindot) or Direct Seeding (Pinaghandaan)</t>
        </is>
      </c>
      <c r="AB74" s="12" t="inlineStr">
        <is>
          <t>Conventional Tillage: 2 plowings + 2 harrowings; soil workable when moist</t>
        </is>
      </c>
      <c r="AC74" s="12" t="inlineStr">
        <is>
          <t>Intermittent irrigation (Alternate Wetting and Drying — AWD); moderate retention</t>
        </is>
      </c>
    </row>
    <row r="75" ht="21.75" customHeight="1" s="101">
      <c r="A75" s="13" t="inlineStr">
        <is>
          <t>Palay</t>
        </is>
      </c>
      <c r="B75" s="13" t="inlineStr">
        <is>
          <t>Linmansangan</t>
        </is>
      </c>
      <c r="C75" s="13" t="inlineStr">
        <is>
          <t>January</t>
        </is>
      </c>
      <c r="D75" s="13" t="inlineStr">
        <is>
          <t>2011</t>
        </is>
      </c>
      <c r="E75" s="13" t="inlineStr">
        <is>
          <t>DS 2011</t>
        </is>
      </c>
      <c r="F75" s="13" t="inlineStr">
        <is>
          <t>Planting</t>
        </is>
      </c>
      <c r="G75" s="7" t="n">
        <v>1.5</v>
      </c>
      <c r="H75" s="8" t="n">
        <v>23.26</v>
      </c>
      <c r="I75" s="8" t="n">
        <v>16.59</v>
      </c>
      <c r="J75" s="8" t="n">
        <v>29.76</v>
      </c>
      <c r="K75" s="8" t="n">
        <v>81.59</v>
      </c>
      <c r="L75" s="8" t="n">
        <v>98.45999999999999</v>
      </c>
      <c r="M75" s="8" t="n">
        <v>15.11</v>
      </c>
      <c r="N75" s="13" t="inlineStr">
        <is>
          <t>Type I – Tropical Monsoon (PAGASA)</t>
        </is>
      </c>
      <c r="O75" s="13" t="inlineStr">
        <is>
          <t>Dry (Cool)</t>
        </is>
      </c>
      <c r="P75" s="13" t="inlineStr">
        <is>
          <t>Silty Clay Loam</t>
        </is>
      </c>
      <c r="Q75" s="13" t="inlineStr">
        <is>
          <t>Flat / Lowland</t>
        </is>
      </c>
      <c r="R75" s="14" t="n">
        <v>30</v>
      </c>
      <c r="S75" s="13" t="inlineStr">
        <is>
          <t>—</t>
        </is>
      </c>
      <c r="T75" s="15" t="n">
        <v>492.24</v>
      </c>
      <c r="U75" s="15" t="n">
        <v>2</v>
      </c>
      <c r="V75" s="15" t="n">
        <v>81.66</v>
      </c>
      <c r="W75" s="15" t="n">
        <v>12.25</v>
      </c>
      <c r="X75" s="15" t="n"/>
      <c r="Y75" s="15" t="n"/>
      <c r="Z75" s="16" t="n"/>
      <c r="AA75" s="17" t="inlineStr">
        <is>
          <t>Transplanting (Pindot) — optimal for clay-loam paddy fields</t>
        </is>
      </c>
      <c r="AB75" s="17" t="inlineStr">
        <is>
          <t>Wet Tillage (Puddling): 2 plowings + thorough harrowing under flooded condition</t>
        </is>
      </c>
      <c r="AC75" s="17" t="inlineStr">
        <is>
          <t>Continuous flooding 2–5 cm depth during vegetative stage; drain 2 weeks before harvest</t>
        </is>
      </c>
    </row>
    <row r="76" ht="21.75" customHeight="1" s="101">
      <c r="A76" s="6" t="inlineStr">
        <is>
          <t>Palay</t>
        </is>
      </c>
      <c r="B76" s="6" t="inlineStr">
        <is>
          <t>Pasileng Sur</t>
        </is>
      </c>
      <c r="C76" s="6" t="inlineStr">
        <is>
          <t>January</t>
        </is>
      </c>
      <c r="D76" s="6" t="inlineStr">
        <is>
          <t>2011</t>
        </is>
      </c>
      <c r="E76" s="6" t="inlineStr">
        <is>
          <t>DS 2011</t>
        </is>
      </c>
      <c r="F76" s="6" t="inlineStr">
        <is>
          <t>Planting</t>
        </is>
      </c>
      <c r="G76" s="7" t="n">
        <v>1.5</v>
      </c>
      <c r="H76" s="8" t="n">
        <v>23.26</v>
      </c>
      <c r="I76" s="8" t="n">
        <v>16.59</v>
      </c>
      <c r="J76" s="8" t="n">
        <v>29.76</v>
      </c>
      <c r="K76" s="8" t="n">
        <v>81.59</v>
      </c>
      <c r="L76" s="8" t="n">
        <v>98.45999999999999</v>
      </c>
      <c r="M76" s="8" t="n">
        <v>15.11</v>
      </c>
      <c r="N76" s="6" t="inlineStr">
        <is>
          <t>Type I – Tropical Monsoon (PAGASA)</t>
        </is>
      </c>
      <c r="O76" s="6" t="inlineStr">
        <is>
          <t>Dry (Cool)</t>
        </is>
      </c>
      <c r="P76" s="6" t="inlineStr">
        <is>
          <t>Sandy Loam</t>
        </is>
      </c>
      <c r="Q76" s="6" t="inlineStr">
        <is>
          <t>Flat / Lowland</t>
        </is>
      </c>
      <c r="R76" s="9" t="n">
        <v>30</v>
      </c>
      <c r="S76" s="6" t="inlineStr">
        <is>
          <t>Tagamusing River</t>
        </is>
      </c>
      <c r="T76" s="10" t="n">
        <v>414.96</v>
      </c>
      <c r="U76" s="10" t="n">
        <v>7.89</v>
      </c>
      <c r="V76" s="10" t="n">
        <v>41.02</v>
      </c>
      <c r="W76" s="10" t="n">
        <v>160</v>
      </c>
      <c r="X76" s="10" t="n"/>
      <c r="Y76" s="10" t="n"/>
      <c r="Z76" s="11" t="n"/>
      <c r="AA76" s="12" t="inlineStr">
        <is>
          <t>Transplanting (Pindot) or Direct Seeding (Pinaghandaan)</t>
        </is>
      </c>
      <c r="AB76" s="12" t="inlineStr">
        <is>
          <t>Conventional Tillage: 2 plowings + 2 harrowings; soil workable when moist</t>
        </is>
      </c>
      <c r="AC76" s="12" t="inlineStr">
        <is>
          <t>Intermittent irrigation (Alternate Wetting and Drying — AWD); moderate retention</t>
        </is>
      </c>
    </row>
    <row r="77" ht="21.75" customHeight="1" s="101">
      <c r="A77" s="13" t="inlineStr">
        <is>
          <t>Palay</t>
        </is>
      </c>
      <c r="B77" s="13" t="inlineStr">
        <is>
          <t>Sta. Maria Norte</t>
        </is>
      </c>
      <c r="C77" s="13" t="inlineStr">
        <is>
          <t>January</t>
        </is>
      </c>
      <c r="D77" s="13" t="inlineStr">
        <is>
          <t>2011</t>
        </is>
      </c>
      <c r="E77" s="13" t="inlineStr">
        <is>
          <t>DS 2011</t>
        </is>
      </c>
      <c r="F77" s="13" t="inlineStr">
        <is>
          <t>Planting</t>
        </is>
      </c>
      <c r="G77" s="7" t="n">
        <v>1.5</v>
      </c>
      <c r="H77" s="8" t="n">
        <v>23.26</v>
      </c>
      <c r="I77" s="8" t="n">
        <v>16.59</v>
      </c>
      <c r="J77" s="8" t="n">
        <v>29.76</v>
      </c>
      <c r="K77" s="8" t="n">
        <v>81.59</v>
      </c>
      <c r="L77" s="8" t="n">
        <v>98.45999999999999</v>
      </c>
      <c r="M77" s="8" t="n">
        <v>15.11</v>
      </c>
      <c r="N77" s="13" t="inlineStr">
        <is>
          <t>Type I – Tropical Monsoon (PAGASA)</t>
        </is>
      </c>
      <c r="O77" s="13" t="inlineStr">
        <is>
          <t>Dry (Cool)</t>
        </is>
      </c>
      <c r="P77" s="13" t="inlineStr">
        <is>
          <t>Sandy Loam</t>
        </is>
      </c>
      <c r="Q77" s="13" t="inlineStr">
        <is>
          <t>Flat / Lowland</t>
        </is>
      </c>
      <c r="R77" s="14" t="n">
        <v>30</v>
      </c>
      <c r="S77" s="13" t="inlineStr">
        <is>
          <t>Tagamusing River</t>
        </is>
      </c>
      <c r="T77" s="15" t="n">
        <v>157.08</v>
      </c>
      <c r="U77" s="15" t="n">
        <v>2</v>
      </c>
      <c r="V77" s="15" t="n">
        <v>26.4</v>
      </c>
      <c r="W77" s="15" t="n">
        <v>25.5</v>
      </c>
      <c r="X77" s="15" t="n"/>
      <c r="Y77" s="15" t="n"/>
      <c r="Z77" s="16" t="n"/>
      <c r="AA77" s="17" t="inlineStr">
        <is>
          <t>Transplanting (Pindot) or Direct Seeding (Pinaghandaan)</t>
        </is>
      </c>
      <c r="AB77" s="17" t="inlineStr">
        <is>
          <t>Conventional Tillage: 2 plowings + 2 harrowings; soil workable when moist</t>
        </is>
      </c>
      <c r="AC77" s="17" t="inlineStr">
        <is>
          <t>Intermittent irrigation (Alternate Wetting and Drying — AWD); moderate retention</t>
        </is>
      </c>
    </row>
    <row r="78" ht="21.75" customHeight="1" s="101">
      <c r="A78" s="6" t="inlineStr">
        <is>
          <t>Palay</t>
        </is>
      </c>
      <c r="B78" s="6" t="inlineStr">
        <is>
          <t>Bugayong</t>
        </is>
      </c>
      <c r="C78" s="6" t="inlineStr">
        <is>
          <t>January</t>
        </is>
      </c>
      <c r="D78" s="6" t="inlineStr">
        <is>
          <t>2011</t>
        </is>
      </c>
      <c r="E78" s="6" t="inlineStr">
        <is>
          <t>DS 2011</t>
        </is>
      </c>
      <c r="F78" s="6" t="inlineStr">
        <is>
          <t>Planting</t>
        </is>
      </c>
      <c r="G78" s="7" t="n">
        <v>1.5</v>
      </c>
      <c r="H78" s="8" t="n">
        <v>23.26</v>
      </c>
      <c r="I78" s="8" t="n">
        <v>16.59</v>
      </c>
      <c r="J78" s="8" t="n">
        <v>29.76</v>
      </c>
      <c r="K78" s="8" t="n">
        <v>81.59</v>
      </c>
      <c r="L78" s="8" t="n">
        <v>98.45999999999999</v>
      </c>
      <c r="M78" s="8" t="n">
        <v>15.11</v>
      </c>
      <c r="N78" s="6" t="inlineStr">
        <is>
          <t>Type I – Tropical Monsoon (PAGASA)</t>
        </is>
      </c>
      <c r="O78" s="6" t="inlineStr">
        <is>
          <t>Dry (Cool)</t>
        </is>
      </c>
      <c r="P78" s="6" t="inlineStr">
        <is>
          <t>Sandy Loam / Silty Clay Loam</t>
        </is>
      </c>
      <c r="Q78" s="6" t="inlineStr">
        <is>
          <t>Flat / Lowland</t>
        </is>
      </c>
      <c r="R78" s="9" t="n">
        <v>30</v>
      </c>
      <c r="S78" s="6" t="inlineStr">
        <is>
          <t>Aloragat River</t>
        </is>
      </c>
      <c r="T78" s="10" t="n">
        <v>346.08</v>
      </c>
      <c r="U78" s="10" t="n">
        <v>2</v>
      </c>
      <c r="V78" s="10" t="n">
        <v>41.02</v>
      </c>
      <c r="W78" s="10" t="n">
        <v>16.6</v>
      </c>
      <c r="X78" s="10" t="n"/>
      <c r="Y78" s="10" t="n"/>
      <c r="Z78" s="11" t="n"/>
      <c r="AA78" s="12" t="inlineStr">
        <is>
          <t>Transplanting (Pindot) — recommended; Direct Seeding possible in dry season</t>
        </is>
      </c>
      <c r="AB78" s="12" t="inlineStr">
        <is>
          <t>Conventional Tillage: 2 plowings + harrowing; puddle thoroughly for transplanting</t>
        </is>
      </c>
      <c r="AC78" s="12" t="inlineStr">
        <is>
          <t>Intermittent to continuous flooding; manage according to drainage section present</t>
        </is>
      </c>
    </row>
    <row r="79" ht="21.75" customHeight="1" s="101">
      <c r="A79" s="13" t="inlineStr">
        <is>
          <t>Palay</t>
        </is>
      </c>
      <c r="B79" s="13" t="inlineStr">
        <is>
          <t>Mangkasuy</t>
        </is>
      </c>
      <c r="C79" s="13" t="inlineStr">
        <is>
          <t>January</t>
        </is>
      </c>
      <c r="D79" s="13" t="inlineStr">
        <is>
          <t>2011</t>
        </is>
      </c>
      <c r="E79" s="13" t="inlineStr">
        <is>
          <t>DS 2011</t>
        </is>
      </c>
      <c r="F79" s="13" t="inlineStr">
        <is>
          <t>Planting</t>
        </is>
      </c>
      <c r="G79" s="7" t="n">
        <v>1.5</v>
      </c>
      <c r="H79" s="8" t="n">
        <v>23.26</v>
      </c>
      <c r="I79" s="8" t="n">
        <v>16.59</v>
      </c>
      <c r="J79" s="8" t="n">
        <v>29.76</v>
      </c>
      <c r="K79" s="8" t="n">
        <v>81.59</v>
      </c>
      <c r="L79" s="8" t="n">
        <v>98.45999999999999</v>
      </c>
      <c r="M79" s="8" t="n">
        <v>15.11</v>
      </c>
      <c r="N79" s="13" t="inlineStr">
        <is>
          <t>Type I – Tropical Monsoon (PAGASA)</t>
        </is>
      </c>
      <c r="O79" s="13" t="inlineStr">
        <is>
          <t>Dry (Cool)</t>
        </is>
      </c>
      <c r="P79" s="13" t="inlineStr">
        <is>
          <t>Sandy Loam</t>
        </is>
      </c>
      <c r="Q79" s="13" t="inlineStr">
        <is>
          <t>Flat / Lowland</t>
        </is>
      </c>
      <c r="R79" s="14" t="n">
        <v>30</v>
      </c>
      <c r="S79" s="13" t="inlineStr">
        <is>
          <t>Tagamusing River</t>
        </is>
      </c>
      <c r="T79" s="15" t="n">
        <v>802.2</v>
      </c>
      <c r="U79" s="15" t="n">
        <v>2</v>
      </c>
      <c r="V79" s="15" t="n">
        <v>80.3</v>
      </c>
      <c r="W79" s="15" t="n">
        <v>16.9</v>
      </c>
      <c r="X79" s="15" t="n"/>
      <c r="Y79" s="15" t="n"/>
      <c r="Z79" s="16" t="n"/>
      <c r="AA79" s="17" t="inlineStr">
        <is>
          <t>Transplanting (Pindot) or Direct Seeding (Pinaghandaan)</t>
        </is>
      </c>
      <c r="AB79" s="17" t="inlineStr">
        <is>
          <t>Conventional Tillage: 2 plowings + 2 harrowings; soil workable when moist</t>
        </is>
      </c>
      <c r="AC79" s="17" t="inlineStr">
        <is>
          <t>Intermittent irrigation (Alternate Wetting and Drying — AWD); moderate retention</t>
        </is>
      </c>
    </row>
    <row r="80" ht="21.75" customHeight="1" s="101">
      <c r="A80" s="6" t="inlineStr">
        <is>
          <t>Palay</t>
        </is>
      </c>
      <c r="B80" s="6" t="inlineStr">
        <is>
          <t>Santiago</t>
        </is>
      </c>
      <c r="C80" s="6" t="inlineStr">
        <is>
          <t>January</t>
        </is>
      </c>
      <c r="D80" s="6" t="inlineStr">
        <is>
          <t>2011</t>
        </is>
      </c>
      <c r="E80" s="6" t="inlineStr">
        <is>
          <t>DS 2011</t>
        </is>
      </c>
      <c r="F80" s="6" t="inlineStr">
        <is>
          <t>Planting</t>
        </is>
      </c>
      <c r="G80" s="7" t="n">
        <v>1.5</v>
      </c>
      <c r="H80" s="8" t="n">
        <v>23.26</v>
      </c>
      <c r="I80" s="8" t="n">
        <v>16.59</v>
      </c>
      <c r="J80" s="8" t="n">
        <v>29.76</v>
      </c>
      <c r="K80" s="8" t="n">
        <v>81.59</v>
      </c>
      <c r="L80" s="8" t="n">
        <v>98.45999999999999</v>
      </c>
      <c r="M80" s="8" t="n">
        <v>15.11</v>
      </c>
      <c r="N80" s="6" t="inlineStr">
        <is>
          <t>Type I – Tropical Monsoon (PAGASA)</t>
        </is>
      </c>
      <c r="O80" s="6" t="inlineStr">
        <is>
          <t>Dry (Cool)</t>
        </is>
      </c>
      <c r="P80" s="6" t="inlineStr">
        <is>
          <t>Silty Clay Loam</t>
        </is>
      </c>
      <c r="Q80" s="6" t="inlineStr">
        <is>
          <t>Flat / Lowland</t>
        </is>
      </c>
      <c r="R80" s="9" t="n">
        <v>30</v>
      </c>
      <c r="S80" s="6" t="inlineStr">
        <is>
          <t>—</t>
        </is>
      </c>
      <c r="T80" s="10" t="n">
        <v>283.08</v>
      </c>
      <c r="U80" s="10" t="n">
        <v>5.3</v>
      </c>
      <c r="V80" s="10" t="n">
        <v>81.66</v>
      </c>
      <c r="W80" s="10" t="n">
        <v>12</v>
      </c>
      <c r="X80" s="10" t="n"/>
      <c r="Y80" s="10" t="n"/>
      <c r="Z80" s="11" t="n"/>
      <c r="AA80" s="12" t="inlineStr">
        <is>
          <t>Transplanting (Pindot) — optimal for clay-loam paddy fields</t>
        </is>
      </c>
      <c r="AB80" s="12" t="inlineStr">
        <is>
          <t>Wet Tillage (Puddling): 2 plowings + thorough harrowing under flooded condition</t>
        </is>
      </c>
      <c r="AC80" s="12" t="inlineStr">
        <is>
          <t>Continuous flooding 2–5 cm depth during vegetative stage; drain 2 weeks before harvest</t>
        </is>
      </c>
    </row>
    <row r="81" ht="21.75" customHeight="1" s="101">
      <c r="A81" s="13" t="inlineStr">
        <is>
          <t>Palay</t>
        </is>
      </c>
      <c r="B81" s="13" t="inlineStr">
        <is>
          <t>Pasileng Norte</t>
        </is>
      </c>
      <c r="C81" s="13" t="inlineStr">
        <is>
          <t>January</t>
        </is>
      </c>
      <c r="D81" s="13" t="inlineStr">
        <is>
          <t>2012</t>
        </is>
      </c>
      <c r="E81" s="13" t="inlineStr">
        <is>
          <t>DS 2012</t>
        </is>
      </c>
      <c r="F81" s="13" t="inlineStr">
        <is>
          <t>Planting</t>
        </is>
      </c>
      <c r="G81" s="7" t="n">
        <v>0.85</v>
      </c>
      <c r="H81" s="8" t="n">
        <v>24.57</v>
      </c>
      <c r="I81" s="8" t="n">
        <v>18.71</v>
      </c>
      <c r="J81" s="8" t="n">
        <v>31.08</v>
      </c>
      <c r="K81" s="8" t="n">
        <v>80.65000000000001</v>
      </c>
      <c r="L81" s="8" t="n">
        <v>98.53</v>
      </c>
      <c r="M81" s="8" t="n">
        <v>16.8</v>
      </c>
      <c r="N81" s="13" t="inlineStr">
        <is>
          <t>Type I – Tropical Monsoon (PAGASA)</t>
        </is>
      </c>
      <c r="O81" s="13" t="inlineStr">
        <is>
          <t>Dry (Cool)</t>
        </is>
      </c>
      <c r="P81" s="13" t="inlineStr">
        <is>
          <t>Sandy Loam</t>
        </is>
      </c>
      <c r="Q81" s="13" t="inlineStr">
        <is>
          <t>Flat / Lowland</t>
        </is>
      </c>
      <c r="R81" s="14" t="n">
        <v>30</v>
      </c>
      <c r="S81" s="13" t="inlineStr">
        <is>
          <t>Tagamusing River</t>
        </is>
      </c>
      <c r="T81" s="15" t="n">
        <v>140.28</v>
      </c>
      <c r="U81" s="15" t="n">
        <v>2</v>
      </c>
      <c r="V81" s="15" t="n">
        <v>26.4</v>
      </c>
      <c r="W81" s="15" t="n">
        <v>74</v>
      </c>
      <c r="X81" s="15" t="n"/>
      <c r="Y81" s="15" t="n"/>
      <c r="Z81" s="16" t="n"/>
      <c r="AA81" s="17" t="inlineStr">
        <is>
          <t>Transplanting (Pindot) or Direct Seeding (Pinaghandaan)</t>
        </is>
      </c>
      <c r="AB81" s="17" t="inlineStr">
        <is>
          <t>Conventional Tillage: 2 plowings + 2 harrowings; soil workable when moist</t>
        </is>
      </c>
      <c r="AC81" s="17" t="inlineStr">
        <is>
          <t>Intermittent irrigation (Alternate Wetting and Drying — AWD); moderate retention</t>
        </is>
      </c>
    </row>
    <row r="82" ht="21.75" customHeight="1" s="101">
      <c r="A82" s="6" t="inlineStr">
        <is>
          <t>Palay</t>
        </is>
      </c>
      <c r="B82" s="6" t="inlineStr">
        <is>
          <t>Tabuyoc</t>
        </is>
      </c>
      <c r="C82" s="6" t="inlineStr">
        <is>
          <t>January</t>
        </is>
      </c>
      <c r="D82" s="6" t="inlineStr">
        <is>
          <t>2012</t>
        </is>
      </c>
      <c r="E82" s="6" t="inlineStr">
        <is>
          <t>DS 2012</t>
        </is>
      </c>
      <c r="F82" s="6" t="inlineStr">
        <is>
          <t>Planting</t>
        </is>
      </c>
      <c r="G82" s="7" t="n">
        <v>0.85</v>
      </c>
      <c r="H82" s="8" t="n">
        <v>24.57</v>
      </c>
      <c r="I82" s="8" t="n">
        <v>18.71</v>
      </c>
      <c r="J82" s="8" t="n">
        <v>31.08</v>
      </c>
      <c r="K82" s="8" t="n">
        <v>80.65000000000001</v>
      </c>
      <c r="L82" s="8" t="n">
        <v>98.53</v>
      </c>
      <c r="M82" s="8" t="n">
        <v>16.8</v>
      </c>
      <c r="N82" s="6" t="inlineStr">
        <is>
          <t>Type I – Tropical Monsoon (PAGASA)</t>
        </is>
      </c>
      <c r="O82" s="6" t="inlineStr">
        <is>
          <t>Dry (Cool)</t>
        </is>
      </c>
      <c r="P82" s="6" t="inlineStr">
        <is>
          <t>Silty Clay Loam</t>
        </is>
      </c>
      <c r="Q82" s="6" t="inlineStr">
        <is>
          <t>Flat / Lowland</t>
        </is>
      </c>
      <c r="R82" s="9" t="n">
        <v>30</v>
      </c>
      <c r="S82" s="6" t="inlineStr">
        <is>
          <t>—</t>
        </is>
      </c>
      <c r="T82" s="10" t="n">
        <v>277.2</v>
      </c>
      <c r="U82" s="10" t="n">
        <v>1</v>
      </c>
      <c r="V82" s="10" t="n">
        <v>81.66</v>
      </c>
      <c r="W82" s="10" t="n">
        <v>121</v>
      </c>
      <c r="X82" s="10" t="n"/>
      <c r="Y82" s="10" t="n"/>
      <c r="Z82" s="11" t="n"/>
      <c r="AA82" s="12" t="inlineStr">
        <is>
          <t>Transplanting (Pindot) — optimal for clay-loam paddy fields</t>
        </is>
      </c>
      <c r="AB82" s="12" t="inlineStr">
        <is>
          <t>Wet Tillage (Puddling): 2 plowings + thorough harrowing under flooded condition</t>
        </is>
      </c>
      <c r="AC82" s="12" t="inlineStr">
        <is>
          <t>Continuous flooding 2–5 cm depth during vegetative stage; drain 2 weeks before harvest</t>
        </is>
      </c>
    </row>
    <row r="83" ht="21.75" customHeight="1" s="101">
      <c r="A83" s="13" t="inlineStr">
        <is>
          <t>Palay</t>
        </is>
      </c>
      <c r="B83" s="13" t="inlineStr">
        <is>
          <t>Camanggaan</t>
        </is>
      </c>
      <c r="C83" s="13" t="inlineStr">
        <is>
          <t>January</t>
        </is>
      </c>
      <c r="D83" s="13" t="inlineStr">
        <is>
          <t>2012</t>
        </is>
      </c>
      <c r="E83" s="13" t="inlineStr">
        <is>
          <t>DS 2012</t>
        </is>
      </c>
      <c r="F83" s="13" t="inlineStr">
        <is>
          <t>Planting</t>
        </is>
      </c>
      <c r="G83" s="7" t="n">
        <v>0.85</v>
      </c>
      <c r="H83" s="8" t="n">
        <v>24.57</v>
      </c>
      <c r="I83" s="8" t="n">
        <v>18.71</v>
      </c>
      <c r="J83" s="8" t="n">
        <v>31.08</v>
      </c>
      <c r="K83" s="8" t="n">
        <v>80.65000000000001</v>
      </c>
      <c r="L83" s="8" t="n">
        <v>98.53</v>
      </c>
      <c r="M83" s="8" t="n">
        <v>16.8</v>
      </c>
      <c r="N83" s="13" t="inlineStr">
        <is>
          <t>Type I – Tropical Monsoon (PAGASA)</t>
        </is>
      </c>
      <c r="O83" s="13" t="inlineStr">
        <is>
          <t>Dry (Cool)</t>
        </is>
      </c>
      <c r="P83" s="13" t="inlineStr">
        <is>
          <t>Sandy Loam</t>
        </is>
      </c>
      <c r="Q83" s="13" t="inlineStr">
        <is>
          <t>Flat / Lowland</t>
        </is>
      </c>
      <c r="R83" s="14" t="n">
        <v>30</v>
      </c>
      <c r="S83" s="13" t="inlineStr">
        <is>
          <t>—</t>
        </is>
      </c>
      <c r="T83" s="15" t="n">
        <v>244.44</v>
      </c>
      <c r="U83" s="15" t="n">
        <v>2</v>
      </c>
      <c r="V83" s="15" t="n">
        <v>72.73999999999999</v>
      </c>
      <c r="W83" s="15" t="n">
        <v>10</v>
      </c>
      <c r="X83" s="15" t="n"/>
      <c r="Y83" s="15" t="n"/>
      <c r="Z83" s="16" t="n"/>
      <c r="AA83" s="17" t="inlineStr">
        <is>
          <t>Transplanting (Pindot) or Direct Seeding (Pinaghandaan)</t>
        </is>
      </c>
      <c r="AB83" s="17" t="inlineStr">
        <is>
          <t>Conventional Tillage: 2 plowings + 2 harrowings; soil workable when moist</t>
        </is>
      </c>
      <c r="AC83" s="17" t="inlineStr">
        <is>
          <t>Intermittent irrigation (Alternate Wetting and Drying — AWD); moderate retention</t>
        </is>
      </c>
    </row>
    <row r="84" ht="21.75" customHeight="1" s="101">
      <c r="A84" s="6" t="inlineStr">
        <is>
          <t>Palay</t>
        </is>
      </c>
      <c r="B84" s="6" t="inlineStr">
        <is>
          <t>Cili</t>
        </is>
      </c>
      <c r="C84" s="6" t="inlineStr">
        <is>
          <t>January</t>
        </is>
      </c>
      <c r="D84" s="6" t="inlineStr">
        <is>
          <t>2012</t>
        </is>
      </c>
      <c r="E84" s="6" t="inlineStr">
        <is>
          <t>DS 2012</t>
        </is>
      </c>
      <c r="F84" s="6" t="inlineStr">
        <is>
          <t>Planting</t>
        </is>
      </c>
      <c r="G84" s="7" t="n">
        <v>0.85</v>
      </c>
      <c r="H84" s="8" t="n">
        <v>24.57</v>
      </c>
      <c r="I84" s="8" t="n">
        <v>18.71</v>
      </c>
      <c r="J84" s="8" t="n">
        <v>31.08</v>
      </c>
      <c r="K84" s="8" t="n">
        <v>80.65000000000001</v>
      </c>
      <c r="L84" s="8" t="n">
        <v>98.53</v>
      </c>
      <c r="M84" s="8" t="n">
        <v>16.8</v>
      </c>
      <c r="N84" s="6" t="inlineStr">
        <is>
          <t>Type I – Tropical Monsoon (PAGASA)</t>
        </is>
      </c>
      <c r="O84" s="6" t="inlineStr">
        <is>
          <t>Dry (Cool)</t>
        </is>
      </c>
      <c r="P84" s="6" t="inlineStr">
        <is>
          <t>Silty Clay Loam</t>
        </is>
      </c>
      <c r="Q84" s="6" t="inlineStr">
        <is>
          <t>Flat / Lowland</t>
        </is>
      </c>
      <c r="R84" s="9" t="n">
        <v>30</v>
      </c>
      <c r="S84" s="6" t="inlineStr">
        <is>
          <t>Alibeng River</t>
        </is>
      </c>
      <c r="T84" s="10" t="n">
        <v>264.6</v>
      </c>
      <c r="U84" s="10" t="n">
        <v>2</v>
      </c>
      <c r="V84" s="10" t="n">
        <v>35.32</v>
      </c>
      <c r="W84" s="10" t="n">
        <v>14</v>
      </c>
      <c r="X84" s="10" t="n"/>
      <c r="Y84" s="10" t="n"/>
      <c r="Z84" s="11" t="n"/>
      <c r="AA84" s="12" t="inlineStr">
        <is>
          <t>Transplanting (Pindot) — optimal for clay-loam paddy fields</t>
        </is>
      </c>
      <c r="AB84" s="12" t="inlineStr">
        <is>
          <t>Wet Tillage (Puddling): 2 plowings + thorough harrowing under flooded condition</t>
        </is>
      </c>
      <c r="AC84" s="12" t="inlineStr">
        <is>
          <t>Continuous flooding 2–5 cm depth during vegetative stage; drain 2 weeks before harvest</t>
        </is>
      </c>
    </row>
    <row r="85" ht="21.75" customHeight="1" s="101">
      <c r="A85" s="13" t="inlineStr">
        <is>
          <t>Palay</t>
        </is>
      </c>
      <c r="B85" s="13" t="inlineStr">
        <is>
          <t>Sumabnit</t>
        </is>
      </c>
      <c r="C85" s="13" t="inlineStr">
        <is>
          <t>January</t>
        </is>
      </c>
      <c r="D85" s="13" t="inlineStr">
        <is>
          <t>2012</t>
        </is>
      </c>
      <c r="E85" s="13" t="inlineStr">
        <is>
          <t>DS 2012</t>
        </is>
      </c>
      <c r="F85" s="13" t="inlineStr">
        <is>
          <t>Planting</t>
        </is>
      </c>
      <c r="G85" s="7" t="n">
        <v>0.85</v>
      </c>
      <c r="H85" s="8" t="n">
        <v>24.57</v>
      </c>
      <c r="I85" s="8" t="n">
        <v>18.71</v>
      </c>
      <c r="J85" s="8" t="n">
        <v>31.08</v>
      </c>
      <c r="K85" s="8" t="n">
        <v>80.65000000000001</v>
      </c>
      <c r="L85" s="8" t="n">
        <v>98.53</v>
      </c>
      <c r="M85" s="8" t="n">
        <v>16.8</v>
      </c>
      <c r="N85" s="13" t="inlineStr">
        <is>
          <t>Type I – Tropical Monsoon (PAGASA)</t>
        </is>
      </c>
      <c r="O85" s="13" t="inlineStr">
        <is>
          <t>Dry (Cool)</t>
        </is>
      </c>
      <c r="P85" s="13" t="inlineStr">
        <is>
          <t>Silty Clay Loam / Fine Sandy Loam</t>
        </is>
      </c>
      <c r="Q85" s="13" t="inlineStr">
        <is>
          <t>Flat / Lowland</t>
        </is>
      </c>
      <c r="R85" s="14" t="n">
        <v>30</v>
      </c>
      <c r="S85" s="13" t="inlineStr">
        <is>
          <t>Tagamusing River</t>
        </is>
      </c>
      <c r="T85" s="15" t="n">
        <v>406.56</v>
      </c>
      <c r="U85" s="15" t="n">
        <v>1.5</v>
      </c>
      <c r="V85" s="15" t="n">
        <v>81.66</v>
      </c>
      <c r="W85" s="15" t="n">
        <v>63.6</v>
      </c>
      <c r="X85" s="15" t="n"/>
      <c r="Y85" s="15" t="n"/>
      <c r="Z85" s="16" t="n"/>
      <c r="AA85" s="17" t="inlineStr">
        <is>
          <t>Transplanting (Pindot)</t>
        </is>
      </c>
      <c r="AB85" s="17" t="inlineStr">
        <is>
          <t>Minimum Tillage (avoid compaction; sandy structure fragile)</t>
        </is>
      </c>
      <c r="AC85" s="17" t="inlineStr">
        <is>
          <t>Continuous flooding or frequent irrigation; high percolation risk</t>
        </is>
      </c>
    </row>
    <row r="86" ht="21.75" customHeight="1" s="101">
      <c r="A86" s="6" t="inlineStr">
        <is>
          <t>Palay</t>
        </is>
      </c>
      <c r="B86" s="6" t="inlineStr">
        <is>
          <t>Capas</t>
        </is>
      </c>
      <c r="C86" s="6" t="inlineStr">
        <is>
          <t>January</t>
        </is>
      </c>
      <c r="D86" s="6" t="inlineStr">
        <is>
          <t>2012</t>
        </is>
      </c>
      <c r="E86" s="6" t="inlineStr">
        <is>
          <t>DS 2012</t>
        </is>
      </c>
      <c r="F86" s="6" t="inlineStr">
        <is>
          <t>Planting</t>
        </is>
      </c>
      <c r="G86" s="7" t="n">
        <v>0.85</v>
      </c>
      <c r="H86" s="8" t="n">
        <v>24.57</v>
      </c>
      <c r="I86" s="8" t="n">
        <v>18.71</v>
      </c>
      <c r="J86" s="8" t="n">
        <v>31.08</v>
      </c>
      <c r="K86" s="8" t="n">
        <v>80.65000000000001</v>
      </c>
      <c r="L86" s="8" t="n">
        <v>98.53</v>
      </c>
      <c r="M86" s="8" t="n">
        <v>16.8</v>
      </c>
      <c r="N86" s="6" t="inlineStr">
        <is>
          <t>Type I – Tropical Monsoon (PAGASA)</t>
        </is>
      </c>
      <c r="O86" s="6" t="inlineStr">
        <is>
          <t>Dry (Cool)</t>
        </is>
      </c>
      <c r="P86" s="6" t="inlineStr">
        <is>
          <t>Sandy Loam</t>
        </is>
      </c>
      <c r="Q86" s="6" t="inlineStr">
        <is>
          <t>Flat / Lowland</t>
        </is>
      </c>
      <c r="R86" s="9" t="n">
        <v>30</v>
      </c>
      <c r="S86" s="6" t="inlineStr">
        <is>
          <t>—</t>
        </is>
      </c>
      <c r="T86" s="10" t="n">
        <v>377.16</v>
      </c>
      <c r="U86" s="10" t="n">
        <v>2</v>
      </c>
      <c r="V86" s="10" t="n">
        <v>52.42</v>
      </c>
      <c r="W86" s="10" t="n">
        <v>179</v>
      </c>
      <c r="X86" s="10" t="n"/>
      <c r="Y86" s="10" t="n"/>
      <c r="Z86" s="11" t="n"/>
      <c r="AA86" s="12" t="inlineStr">
        <is>
          <t>Transplanting (Pindot) or Direct Seeding (Pinaghandaan)</t>
        </is>
      </c>
      <c r="AB86" s="12" t="inlineStr">
        <is>
          <t>Conventional Tillage: 2 plowings + 2 harrowings; soil workable when moist</t>
        </is>
      </c>
      <c r="AC86" s="12" t="inlineStr">
        <is>
          <t>Intermittent irrigation (Alternate Wetting and Drying — AWD); moderate retention</t>
        </is>
      </c>
    </row>
    <row r="87" ht="21.75" customHeight="1" s="101">
      <c r="A87" s="13" t="inlineStr">
        <is>
          <t>Palay</t>
        </is>
      </c>
      <c r="B87" s="13" t="inlineStr">
        <is>
          <t>San Pablo</t>
        </is>
      </c>
      <c r="C87" s="13" t="inlineStr">
        <is>
          <t>January</t>
        </is>
      </c>
      <c r="D87" s="13" t="inlineStr">
        <is>
          <t>2012</t>
        </is>
      </c>
      <c r="E87" s="13" t="inlineStr">
        <is>
          <t>DS 2012</t>
        </is>
      </c>
      <c r="F87" s="13" t="inlineStr">
        <is>
          <t>Planting</t>
        </is>
      </c>
      <c r="G87" s="7" t="n">
        <v>0.85</v>
      </c>
      <c r="H87" s="8" t="n">
        <v>24.57</v>
      </c>
      <c r="I87" s="8" t="n">
        <v>18.71</v>
      </c>
      <c r="J87" s="8" t="n">
        <v>31.08</v>
      </c>
      <c r="K87" s="8" t="n">
        <v>80.65000000000001</v>
      </c>
      <c r="L87" s="8" t="n">
        <v>98.53</v>
      </c>
      <c r="M87" s="8" t="n">
        <v>16.8</v>
      </c>
      <c r="N87" s="13" t="inlineStr">
        <is>
          <t>Type I – Tropical Monsoon (PAGASA)</t>
        </is>
      </c>
      <c r="O87" s="13" t="inlineStr">
        <is>
          <t>Dry (Cool)</t>
        </is>
      </c>
      <c r="P87" s="13" t="inlineStr">
        <is>
          <t>Sandy Loam</t>
        </is>
      </c>
      <c r="Q87" s="13" t="inlineStr">
        <is>
          <t>Flat / Lowland</t>
        </is>
      </c>
      <c r="R87" s="14" t="n">
        <v>30</v>
      </c>
      <c r="S87" s="13" t="inlineStr">
        <is>
          <t>San Pablo Creek</t>
        </is>
      </c>
      <c r="T87" s="15" t="n">
        <v>215.04</v>
      </c>
      <c r="U87" s="15" t="n">
        <v>0.5</v>
      </c>
      <c r="V87" s="15" t="n">
        <v>26.4</v>
      </c>
      <c r="W87" s="15" t="n">
        <v>115</v>
      </c>
      <c r="X87" s="15" t="n"/>
      <c r="Y87" s="15" t="n"/>
      <c r="Z87" s="16" t="n"/>
      <c r="AA87" s="17" t="inlineStr">
        <is>
          <t>Transplanting (Pindot) or Direct Seeding (Pinaghandaan)</t>
        </is>
      </c>
      <c r="AB87" s="17" t="inlineStr">
        <is>
          <t>Conventional Tillage: 2 plowings + 2 harrowings; soil workable when moist</t>
        </is>
      </c>
      <c r="AC87" s="17" t="inlineStr">
        <is>
          <t>Intermittent irrigation (Alternate Wetting and Drying — AWD); moderate retention</t>
        </is>
      </c>
    </row>
    <row r="88" ht="21.75" customHeight="1" s="101">
      <c r="A88" s="6" t="inlineStr">
        <is>
          <t>Palay</t>
        </is>
      </c>
      <c r="B88" s="6" t="inlineStr">
        <is>
          <t>Balangobong</t>
        </is>
      </c>
      <c r="C88" s="6" t="inlineStr">
        <is>
          <t>January</t>
        </is>
      </c>
      <c r="D88" s="6" t="inlineStr">
        <is>
          <t>2012</t>
        </is>
      </c>
      <c r="E88" s="6" t="inlineStr">
        <is>
          <t>DS 2012</t>
        </is>
      </c>
      <c r="F88" s="6" t="inlineStr">
        <is>
          <t>Planting</t>
        </is>
      </c>
      <c r="G88" s="7" t="n">
        <v>0.85</v>
      </c>
      <c r="H88" s="8" t="n">
        <v>24.57</v>
      </c>
      <c r="I88" s="8" t="n">
        <v>18.71</v>
      </c>
      <c r="J88" s="8" t="n">
        <v>31.08</v>
      </c>
      <c r="K88" s="8" t="n">
        <v>80.65000000000001</v>
      </c>
      <c r="L88" s="8" t="n">
        <v>98.53</v>
      </c>
      <c r="M88" s="8" t="n">
        <v>16.8</v>
      </c>
      <c r="N88" s="6" t="inlineStr">
        <is>
          <t>Type I – Tropical Monsoon (PAGASA)</t>
        </is>
      </c>
      <c r="O88" s="6" t="inlineStr">
        <is>
          <t>Dry (Cool)</t>
        </is>
      </c>
      <c r="P88" s="6" t="inlineStr">
        <is>
          <t>Silty Clay Loam</t>
        </is>
      </c>
      <c r="Q88" s="6" t="inlineStr">
        <is>
          <t>Flat / Lowland</t>
        </is>
      </c>
      <c r="R88" s="9" t="n">
        <v>30</v>
      </c>
      <c r="S88" s="6" t="inlineStr">
        <is>
          <t>—</t>
        </is>
      </c>
      <c r="T88" s="10" t="n">
        <v>281.4</v>
      </c>
      <c r="U88" s="10" t="n">
        <v>2</v>
      </c>
      <c r="V88" s="10" t="n">
        <v>35.32</v>
      </c>
      <c r="W88" s="10" t="n">
        <v>100</v>
      </c>
      <c r="X88" s="10" t="n"/>
      <c r="Y88" s="10" t="n"/>
      <c r="Z88" s="11" t="n"/>
      <c r="AA88" s="12" t="inlineStr">
        <is>
          <t>Transplanting (Pindot) — optimal for clay-loam paddy fields</t>
        </is>
      </c>
      <c r="AB88" s="12" t="inlineStr">
        <is>
          <t>Wet Tillage (Puddling): 2 plowings + thorough harrowing under flooded condition</t>
        </is>
      </c>
      <c r="AC88" s="12" t="inlineStr">
        <is>
          <t>Continuous flooding 2–5 cm depth during vegetative stage; drain 2 weeks before harvest</t>
        </is>
      </c>
    </row>
    <row r="89" ht="21.75" customHeight="1" s="101">
      <c r="A89" s="13" t="inlineStr">
        <is>
          <t>Palay</t>
        </is>
      </c>
      <c r="B89" s="13" t="inlineStr">
        <is>
          <t>San Felipe Central</t>
        </is>
      </c>
      <c r="C89" s="13" t="inlineStr">
        <is>
          <t>January</t>
        </is>
      </c>
      <c r="D89" s="13" t="inlineStr">
        <is>
          <t>2012</t>
        </is>
      </c>
      <c r="E89" s="13" t="inlineStr">
        <is>
          <t>DS 2012</t>
        </is>
      </c>
      <c r="F89" s="13" t="inlineStr">
        <is>
          <t>Planting</t>
        </is>
      </c>
      <c r="G89" s="7" t="n">
        <v>0.85</v>
      </c>
      <c r="H89" s="8" t="n">
        <v>24.57</v>
      </c>
      <c r="I89" s="8" t="n">
        <v>18.71</v>
      </c>
      <c r="J89" s="8" t="n">
        <v>31.08</v>
      </c>
      <c r="K89" s="8" t="n">
        <v>80.65000000000001</v>
      </c>
      <c r="L89" s="8" t="n">
        <v>98.53</v>
      </c>
      <c r="M89" s="8" t="n">
        <v>16.8</v>
      </c>
      <c r="N89" s="13" t="inlineStr">
        <is>
          <t>Type I – Tropical Monsoon (PAGASA)</t>
        </is>
      </c>
      <c r="O89" s="13" t="inlineStr">
        <is>
          <t>Dry (Cool)</t>
        </is>
      </c>
      <c r="P89" s="13" t="inlineStr">
        <is>
          <t>Sandy Loam</t>
        </is>
      </c>
      <c r="Q89" s="13" t="inlineStr">
        <is>
          <t>Flat / Lowland</t>
        </is>
      </c>
      <c r="R89" s="14" t="n">
        <v>30</v>
      </c>
      <c r="S89" s="13" t="inlineStr">
        <is>
          <t>—</t>
        </is>
      </c>
      <c r="T89" s="15" t="n">
        <v>452.76</v>
      </c>
      <c r="U89" s="15" t="n">
        <v>1.5</v>
      </c>
      <c r="V89" s="15" t="n">
        <v>26.4</v>
      </c>
      <c r="W89" s="15" t="n">
        <v>129</v>
      </c>
      <c r="X89" s="15" t="n"/>
      <c r="Y89" s="15" t="n"/>
      <c r="Z89" s="16" t="n"/>
      <c r="AA89" s="17" t="inlineStr">
        <is>
          <t>Transplanting (Pindot) or Direct Seeding (Pinaghandaan)</t>
        </is>
      </c>
      <c r="AB89" s="17" t="inlineStr">
        <is>
          <t>Conventional Tillage: 2 plowings + 2 harrowings; soil workable when moist</t>
        </is>
      </c>
      <c r="AC89" s="17" t="inlineStr">
        <is>
          <t>Intermittent irrigation (Alternate Wetting and Drying — AWD); moderate retention</t>
        </is>
      </c>
    </row>
    <row r="90" ht="21.75" customHeight="1" s="101">
      <c r="A90" s="6" t="inlineStr">
        <is>
          <t>Palay</t>
        </is>
      </c>
      <c r="B90" s="6" t="inlineStr">
        <is>
          <t>San Felipe Sur</t>
        </is>
      </c>
      <c r="C90" s="6" t="inlineStr">
        <is>
          <t>January</t>
        </is>
      </c>
      <c r="D90" s="6" t="inlineStr">
        <is>
          <t>2012</t>
        </is>
      </c>
      <c r="E90" s="6" t="inlineStr">
        <is>
          <t>DS 2012</t>
        </is>
      </c>
      <c r="F90" s="6" t="inlineStr">
        <is>
          <t>Planting</t>
        </is>
      </c>
      <c r="G90" s="7" t="n">
        <v>0.85</v>
      </c>
      <c r="H90" s="8" t="n">
        <v>24.57</v>
      </c>
      <c r="I90" s="8" t="n">
        <v>18.71</v>
      </c>
      <c r="J90" s="8" t="n">
        <v>31.08</v>
      </c>
      <c r="K90" s="8" t="n">
        <v>80.65000000000001</v>
      </c>
      <c r="L90" s="8" t="n">
        <v>98.53</v>
      </c>
      <c r="M90" s="8" t="n">
        <v>16.8</v>
      </c>
      <c r="N90" s="6" t="inlineStr">
        <is>
          <t>Type I – Tropical Monsoon (PAGASA)</t>
        </is>
      </c>
      <c r="O90" s="6" t="inlineStr">
        <is>
          <t>Dry (Cool)</t>
        </is>
      </c>
      <c r="P90" s="6" t="inlineStr">
        <is>
          <t>Sandy Loam</t>
        </is>
      </c>
      <c r="Q90" s="6" t="inlineStr">
        <is>
          <t>Flat / Lowland</t>
        </is>
      </c>
      <c r="R90" s="9" t="n">
        <v>30</v>
      </c>
      <c r="S90" s="6" t="inlineStr">
        <is>
          <t>Tagamusing River</t>
        </is>
      </c>
      <c r="T90" s="10" t="n">
        <v>504</v>
      </c>
      <c r="U90" s="10" t="n">
        <v>1</v>
      </c>
      <c r="V90" s="10" t="n">
        <v>32.1</v>
      </c>
      <c r="W90" s="10" t="n">
        <v>150</v>
      </c>
      <c r="X90" s="10" t="n"/>
      <c r="Y90" s="10" t="n"/>
      <c r="Z90" s="11" t="n"/>
      <c r="AA90" s="12" t="inlineStr">
        <is>
          <t>Transplanting (Pindot) or Direct Seeding (Pinaghandaan)</t>
        </is>
      </c>
      <c r="AB90" s="12" t="inlineStr">
        <is>
          <t>Conventional Tillage: 2 plowings + 2 harrowings; soil workable when moist</t>
        </is>
      </c>
      <c r="AC90" s="12" t="inlineStr">
        <is>
          <t>Intermittent irrigation (Alternate Wetting and Drying — AWD); moderate retention</t>
        </is>
      </c>
    </row>
    <row r="91" ht="21.75" customHeight="1" s="101">
      <c r="A91" s="13" t="inlineStr">
        <is>
          <t>Palay</t>
        </is>
      </c>
      <c r="B91" s="13" t="inlineStr">
        <is>
          <t>Pasileng Sur</t>
        </is>
      </c>
      <c r="C91" s="13" t="inlineStr">
        <is>
          <t>January</t>
        </is>
      </c>
      <c r="D91" s="13" t="inlineStr">
        <is>
          <t>2012</t>
        </is>
      </c>
      <c r="E91" s="13" t="inlineStr">
        <is>
          <t>DS 2012</t>
        </is>
      </c>
      <c r="F91" s="13" t="inlineStr">
        <is>
          <t>Planting</t>
        </is>
      </c>
      <c r="G91" s="7" t="n">
        <v>0.85</v>
      </c>
      <c r="H91" s="8" t="n">
        <v>24.57</v>
      </c>
      <c r="I91" s="8" t="n">
        <v>18.71</v>
      </c>
      <c r="J91" s="8" t="n">
        <v>31.08</v>
      </c>
      <c r="K91" s="8" t="n">
        <v>80.65000000000001</v>
      </c>
      <c r="L91" s="8" t="n">
        <v>98.53</v>
      </c>
      <c r="M91" s="8" t="n">
        <v>16.8</v>
      </c>
      <c r="N91" s="13" t="inlineStr">
        <is>
          <t>Type I – Tropical Monsoon (PAGASA)</t>
        </is>
      </c>
      <c r="O91" s="13" t="inlineStr">
        <is>
          <t>Dry (Cool)</t>
        </is>
      </c>
      <c r="P91" s="13" t="inlineStr">
        <is>
          <t>Sandy Loam</t>
        </is>
      </c>
      <c r="Q91" s="13" t="inlineStr">
        <is>
          <t>Flat / Lowland</t>
        </is>
      </c>
      <c r="R91" s="14" t="n">
        <v>30</v>
      </c>
      <c r="S91" s="13" t="inlineStr">
        <is>
          <t>Tagamusing River</t>
        </is>
      </c>
      <c r="T91" s="15" t="n">
        <v>414.96</v>
      </c>
      <c r="U91" s="15" t="n">
        <v>2</v>
      </c>
      <c r="V91" s="15" t="n">
        <v>41.02</v>
      </c>
      <c r="W91" s="15" t="n">
        <v>160</v>
      </c>
      <c r="X91" s="15" t="n"/>
      <c r="Y91" s="15" t="n"/>
      <c r="Z91" s="16" t="n"/>
      <c r="AA91" s="17" t="inlineStr">
        <is>
          <t>Transplanting (Pindot) or Direct Seeding (Pinaghandaan)</t>
        </is>
      </c>
      <c r="AB91" s="17" t="inlineStr">
        <is>
          <t>Conventional Tillage: 2 plowings + 2 harrowings; soil workable when moist</t>
        </is>
      </c>
      <c r="AC91" s="17" t="inlineStr">
        <is>
          <t>Intermittent irrigation (Alternate Wetting and Drying — AWD); moderate retention</t>
        </is>
      </c>
    </row>
    <row r="92" ht="21.75" customHeight="1" s="101">
      <c r="A92" s="6" t="inlineStr">
        <is>
          <t>Palay</t>
        </is>
      </c>
      <c r="B92" s="6" t="inlineStr">
        <is>
          <t>Sta. Maria Norte</t>
        </is>
      </c>
      <c r="C92" s="6" t="inlineStr">
        <is>
          <t>January</t>
        </is>
      </c>
      <c r="D92" s="6" t="inlineStr">
        <is>
          <t>2012</t>
        </is>
      </c>
      <c r="E92" s="6" t="inlineStr">
        <is>
          <t>DS 2012</t>
        </is>
      </c>
      <c r="F92" s="6" t="inlineStr">
        <is>
          <t>Planting</t>
        </is>
      </c>
      <c r="G92" s="7" t="n">
        <v>0.85</v>
      </c>
      <c r="H92" s="8" t="n">
        <v>24.57</v>
      </c>
      <c r="I92" s="8" t="n">
        <v>18.71</v>
      </c>
      <c r="J92" s="8" t="n">
        <v>31.08</v>
      </c>
      <c r="K92" s="8" t="n">
        <v>80.65000000000001</v>
      </c>
      <c r="L92" s="8" t="n">
        <v>98.53</v>
      </c>
      <c r="M92" s="8" t="n">
        <v>16.8</v>
      </c>
      <c r="N92" s="6" t="inlineStr">
        <is>
          <t>Type I – Tropical Monsoon (PAGASA)</t>
        </is>
      </c>
      <c r="O92" s="6" t="inlineStr">
        <is>
          <t>Dry (Cool)</t>
        </is>
      </c>
      <c r="P92" s="6" t="inlineStr">
        <is>
          <t>Sandy Loam</t>
        </is>
      </c>
      <c r="Q92" s="6" t="inlineStr">
        <is>
          <t>Flat / Lowland</t>
        </is>
      </c>
      <c r="R92" s="9" t="n">
        <v>30</v>
      </c>
      <c r="S92" s="6" t="inlineStr">
        <is>
          <t>Tagamusing River</t>
        </is>
      </c>
      <c r="T92" s="10" t="n">
        <v>157.08</v>
      </c>
      <c r="U92" s="10" t="n">
        <v>6.97</v>
      </c>
      <c r="V92" s="10" t="n">
        <v>26.4</v>
      </c>
      <c r="W92" s="10" t="n">
        <v>25.5</v>
      </c>
      <c r="X92" s="10" t="n"/>
      <c r="Y92" s="10" t="n"/>
      <c r="Z92" s="11" t="n"/>
      <c r="AA92" s="12" t="inlineStr">
        <is>
          <t>Transplanting (Pindot) or Direct Seeding (Pinaghandaan)</t>
        </is>
      </c>
      <c r="AB92" s="12" t="inlineStr">
        <is>
          <t>Conventional Tillage: 2 plowings + 2 harrowings; soil workable when moist</t>
        </is>
      </c>
      <c r="AC92" s="12" t="inlineStr">
        <is>
          <t>Intermittent irrigation (Alternate Wetting and Drying — AWD); moderate retention</t>
        </is>
      </c>
    </row>
    <row r="93" ht="21.75" customHeight="1" s="101">
      <c r="A93" s="13" t="inlineStr">
        <is>
          <t>Palay</t>
        </is>
      </c>
      <c r="B93" s="13" t="inlineStr">
        <is>
          <t>Bugayong</t>
        </is>
      </c>
      <c r="C93" s="13" t="inlineStr">
        <is>
          <t>January</t>
        </is>
      </c>
      <c r="D93" s="13" t="inlineStr">
        <is>
          <t>2012</t>
        </is>
      </c>
      <c r="E93" s="13" t="inlineStr">
        <is>
          <t>DS 2012</t>
        </is>
      </c>
      <c r="F93" s="13" t="inlineStr">
        <is>
          <t>Planting</t>
        </is>
      </c>
      <c r="G93" s="7" t="n">
        <v>0.85</v>
      </c>
      <c r="H93" s="8" t="n">
        <v>24.57</v>
      </c>
      <c r="I93" s="8" t="n">
        <v>18.71</v>
      </c>
      <c r="J93" s="8" t="n">
        <v>31.08</v>
      </c>
      <c r="K93" s="8" t="n">
        <v>80.65000000000001</v>
      </c>
      <c r="L93" s="8" t="n">
        <v>98.53</v>
      </c>
      <c r="M93" s="8" t="n">
        <v>16.8</v>
      </c>
      <c r="N93" s="13" t="inlineStr">
        <is>
          <t>Type I – Tropical Monsoon (PAGASA)</t>
        </is>
      </c>
      <c r="O93" s="13" t="inlineStr">
        <is>
          <t>Dry (Cool)</t>
        </is>
      </c>
      <c r="P93" s="13" t="inlineStr">
        <is>
          <t>Sandy Loam / Silty Clay Loam</t>
        </is>
      </c>
      <c r="Q93" s="13" t="inlineStr">
        <is>
          <t>Flat / Lowland</t>
        </is>
      </c>
      <c r="R93" s="14" t="n">
        <v>30</v>
      </c>
      <c r="S93" s="13" t="inlineStr">
        <is>
          <t>Aloragat River</t>
        </is>
      </c>
      <c r="T93" s="15" t="n">
        <v>346.08</v>
      </c>
      <c r="U93" s="15" t="n">
        <v>2</v>
      </c>
      <c r="V93" s="15" t="n">
        <v>41.02</v>
      </c>
      <c r="W93" s="15" t="n">
        <v>16</v>
      </c>
      <c r="X93" s="15" t="n"/>
      <c r="Y93" s="15" t="n"/>
      <c r="Z93" s="16" t="n"/>
      <c r="AA93" s="17" t="inlineStr">
        <is>
          <t>Transplanting (Pindot) — recommended; Direct Seeding possible in dry season</t>
        </is>
      </c>
      <c r="AB93" s="17" t="inlineStr">
        <is>
          <t>Conventional Tillage: 2 plowings + harrowing; puddle thoroughly for transplanting</t>
        </is>
      </c>
      <c r="AC93" s="17" t="inlineStr">
        <is>
          <t>Intermittent to continuous flooding; manage according to drainage section present</t>
        </is>
      </c>
    </row>
    <row r="94" ht="21.75" customHeight="1" s="101">
      <c r="A94" s="6" t="inlineStr">
        <is>
          <t>Palay</t>
        </is>
      </c>
      <c r="B94" s="6" t="inlineStr">
        <is>
          <t>Mangkasuy</t>
        </is>
      </c>
      <c r="C94" s="6" t="inlineStr">
        <is>
          <t>January</t>
        </is>
      </c>
      <c r="D94" s="6" t="inlineStr">
        <is>
          <t>2012</t>
        </is>
      </c>
      <c r="E94" s="6" t="inlineStr">
        <is>
          <t>DS 2012</t>
        </is>
      </c>
      <c r="F94" s="6" t="inlineStr">
        <is>
          <t>Planting</t>
        </is>
      </c>
      <c r="G94" s="7" t="n">
        <v>0.85</v>
      </c>
      <c r="H94" s="8" t="n">
        <v>24.57</v>
      </c>
      <c r="I94" s="8" t="n">
        <v>18.71</v>
      </c>
      <c r="J94" s="8" t="n">
        <v>31.08</v>
      </c>
      <c r="K94" s="8" t="n">
        <v>80.65000000000001</v>
      </c>
      <c r="L94" s="8" t="n">
        <v>98.53</v>
      </c>
      <c r="M94" s="8" t="n">
        <v>16.8</v>
      </c>
      <c r="N94" s="6" t="inlineStr">
        <is>
          <t>Type I – Tropical Monsoon (PAGASA)</t>
        </is>
      </c>
      <c r="O94" s="6" t="inlineStr">
        <is>
          <t>Dry (Cool)</t>
        </is>
      </c>
      <c r="P94" s="6" t="inlineStr">
        <is>
          <t>Sandy Loam</t>
        </is>
      </c>
      <c r="Q94" s="6" t="inlineStr">
        <is>
          <t>Flat / Lowland</t>
        </is>
      </c>
      <c r="R94" s="9" t="n">
        <v>30</v>
      </c>
      <c r="S94" s="6" t="inlineStr">
        <is>
          <t>Tagamusing River</t>
        </is>
      </c>
      <c r="T94" s="10" t="n">
        <v>802.2</v>
      </c>
      <c r="U94" s="10" t="n">
        <v>0.5</v>
      </c>
      <c r="V94" s="10" t="n">
        <v>80.3</v>
      </c>
      <c r="W94" s="10" t="n">
        <v>16.9</v>
      </c>
      <c r="X94" s="10" t="n"/>
      <c r="Y94" s="10" t="n"/>
      <c r="Z94" s="11" t="n"/>
      <c r="AA94" s="12" t="inlineStr">
        <is>
          <t>Transplanting (Pindot) or Direct Seeding (Pinaghandaan)</t>
        </is>
      </c>
      <c r="AB94" s="12" t="inlineStr">
        <is>
          <t>Conventional Tillage: 2 plowings + 2 harrowings; soil workable when moist</t>
        </is>
      </c>
      <c r="AC94" s="12" t="inlineStr">
        <is>
          <t>Intermittent irrigation (Alternate Wetting and Drying — AWD); moderate retention</t>
        </is>
      </c>
    </row>
    <row r="95" ht="21.75" customHeight="1" s="101">
      <c r="A95" s="13" t="inlineStr">
        <is>
          <t>Palay</t>
        </is>
      </c>
      <c r="B95" s="13" t="inlineStr">
        <is>
          <t>Santiago</t>
        </is>
      </c>
      <c r="C95" s="13" t="inlineStr">
        <is>
          <t>January</t>
        </is>
      </c>
      <c r="D95" s="13" t="inlineStr">
        <is>
          <t>2012</t>
        </is>
      </c>
      <c r="E95" s="13" t="inlineStr">
        <is>
          <t>DS 2012</t>
        </is>
      </c>
      <c r="F95" s="13" t="inlineStr">
        <is>
          <t>Planting</t>
        </is>
      </c>
      <c r="G95" s="7" t="n">
        <v>0.85</v>
      </c>
      <c r="H95" s="8" t="n">
        <v>24.57</v>
      </c>
      <c r="I95" s="8" t="n">
        <v>18.71</v>
      </c>
      <c r="J95" s="8" t="n">
        <v>31.08</v>
      </c>
      <c r="K95" s="8" t="n">
        <v>80.65000000000001</v>
      </c>
      <c r="L95" s="8" t="n">
        <v>98.53</v>
      </c>
      <c r="M95" s="8" t="n">
        <v>16.8</v>
      </c>
      <c r="N95" s="13" t="inlineStr">
        <is>
          <t>Type I – Tropical Monsoon (PAGASA)</t>
        </is>
      </c>
      <c r="O95" s="13" t="inlineStr">
        <is>
          <t>Dry (Cool)</t>
        </is>
      </c>
      <c r="P95" s="13" t="inlineStr">
        <is>
          <t>Silty Clay Loam</t>
        </is>
      </c>
      <c r="Q95" s="13" t="inlineStr">
        <is>
          <t>Flat / Lowland</t>
        </is>
      </c>
      <c r="R95" s="14" t="n">
        <v>30</v>
      </c>
      <c r="S95" s="13" t="inlineStr">
        <is>
          <t>—</t>
        </is>
      </c>
      <c r="T95" s="15" t="n">
        <v>283.08</v>
      </c>
      <c r="U95" s="15" t="n">
        <v>0.5</v>
      </c>
      <c r="V95" s="15" t="n">
        <v>81.66</v>
      </c>
      <c r="W95" s="15" t="n">
        <v>14</v>
      </c>
      <c r="X95" s="15" t="n"/>
      <c r="Y95" s="15" t="n"/>
      <c r="Z95" s="16" t="n"/>
      <c r="AA95" s="17" t="inlineStr">
        <is>
          <t>Transplanting (Pindot) — optimal for clay-loam paddy fields</t>
        </is>
      </c>
      <c r="AB95" s="17" t="inlineStr">
        <is>
          <t>Wet Tillage (Puddling): 2 plowings + thorough harrowing under flooded condition</t>
        </is>
      </c>
      <c r="AC95" s="17" t="inlineStr">
        <is>
          <t>Continuous flooding 2–5 cm depth during vegetative stage; drain 2 weeks before harvest</t>
        </is>
      </c>
    </row>
    <row r="96" ht="21.75" customHeight="1" s="101">
      <c r="A96" s="6" t="inlineStr">
        <is>
          <t>Palay</t>
        </is>
      </c>
      <c r="B96" s="6" t="inlineStr">
        <is>
          <t>Pasileng Norte</t>
        </is>
      </c>
      <c r="C96" s="6" t="inlineStr">
        <is>
          <t>January</t>
        </is>
      </c>
      <c r="D96" s="6" t="inlineStr">
        <is>
          <t>2013</t>
        </is>
      </c>
      <c r="E96" s="6" t="inlineStr">
        <is>
          <t>DS 2013</t>
        </is>
      </c>
      <c r="F96" s="6" t="inlineStr">
        <is>
          <t>Planting</t>
        </is>
      </c>
      <c r="G96" s="7" t="n">
        <v>0.58</v>
      </c>
      <c r="H96" s="8" t="n">
        <v>24.32</v>
      </c>
      <c r="I96" s="8" t="n">
        <v>16.94</v>
      </c>
      <c r="J96" s="8" t="n">
        <v>31.93</v>
      </c>
      <c r="K96" s="8" t="n">
        <v>74.94</v>
      </c>
      <c r="L96" s="8" t="n">
        <v>98.59999999999999</v>
      </c>
      <c r="M96" s="8" t="n">
        <v>16.43</v>
      </c>
      <c r="N96" s="6" t="inlineStr">
        <is>
          <t>Type I – Tropical Monsoon (PAGASA)</t>
        </is>
      </c>
      <c r="O96" s="6" t="inlineStr">
        <is>
          <t>Dry (Cool)</t>
        </is>
      </c>
      <c r="P96" s="6" t="inlineStr">
        <is>
          <t>Sandy Loam</t>
        </is>
      </c>
      <c r="Q96" s="6" t="inlineStr">
        <is>
          <t>Flat / Lowland</t>
        </is>
      </c>
      <c r="R96" s="9" t="n">
        <v>30</v>
      </c>
      <c r="S96" s="6" t="inlineStr">
        <is>
          <t>Tagamusing River</t>
        </is>
      </c>
      <c r="T96" s="10" t="n">
        <v>140.28</v>
      </c>
      <c r="U96" s="10" t="n">
        <v>5</v>
      </c>
      <c r="V96" s="10" t="n">
        <v>26.4</v>
      </c>
      <c r="W96" s="10" t="n">
        <v>75</v>
      </c>
      <c r="X96" s="10" t="n"/>
      <c r="Y96" s="10" t="n"/>
      <c r="Z96" s="11" t="n"/>
      <c r="AA96" s="12" t="inlineStr">
        <is>
          <t>Transplanting (Pindot) or Direct Seeding (Pinaghandaan)</t>
        </is>
      </c>
      <c r="AB96" s="12" t="inlineStr">
        <is>
          <t>Conventional Tillage: 2 plowings + 2 harrowings; soil workable when moist</t>
        </is>
      </c>
      <c r="AC96" s="12" t="inlineStr">
        <is>
          <t>Intermittent irrigation (Alternate Wetting and Drying — AWD); moderate retention</t>
        </is>
      </c>
    </row>
    <row r="97" ht="21.75" customHeight="1" s="101">
      <c r="A97" s="13" t="inlineStr">
        <is>
          <t>Palay</t>
        </is>
      </c>
      <c r="B97" s="13" t="inlineStr">
        <is>
          <t>Tabuyoc</t>
        </is>
      </c>
      <c r="C97" s="13" t="inlineStr">
        <is>
          <t>January</t>
        </is>
      </c>
      <c r="D97" s="13" t="inlineStr">
        <is>
          <t>2013</t>
        </is>
      </c>
      <c r="E97" s="13" t="inlineStr">
        <is>
          <t>DS 2013</t>
        </is>
      </c>
      <c r="F97" s="13" t="inlineStr">
        <is>
          <t>Planting</t>
        </is>
      </c>
      <c r="G97" s="7" t="n">
        <v>0.58</v>
      </c>
      <c r="H97" s="8" t="n">
        <v>24.32</v>
      </c>
      <c r="I97" s="8" t="n">
        <v>16.94</v>
      </c>
      <c r="J97" s="8" t="n">
        <v>31.93</v>
      </c>
      <c r="K97" s="8" t="n">
        <v>74.94</v>
      </c>
      <c r="L97" s="8" t="n">
        <v>98.59999999999999</v>
      </c>
      <c r="M97" s="8" t="n">
        <v>16.43</v>
      </c>
      <c r="N97" s="13" t="inlineStr">
        <is>
          <t>Type I – Tropical Monsoon (PAGASA)</t>
        </is>
      </c>
      <c r="O97" s="13" t="inlineStr">
        <is>
          <t>Dry (Cool)</t>
        </is>
      </c>
      <c r="P97" s="13" t="inlineStr">
        <is>
          <t>Silty Clay Loam</t>
        </is>
      </c>
      <c r="Q97" s="13" t="inlineStr">
        <is>
          <t>Flat / Lowland</t>
        </is>
      </c>
      <c r="R97" s="14" t="n">
        <v>30</v>
      </c>
      <c r="S97" s="13" t="inlineStr">
        <is>
          <t>—</t>
        </is>
      </c>
      <c r="T97" s="15" t="n">
        <v>277.2</v>
      </c>
      <c r="U97" s="15" t="n">
        <v>2</v>
      </c>
      <c r="V97" s="15" t="n">
        <v>81.66</v>
      </c>
      <c r="W97" s="15" t="n">
        <v>125</v>
      </c>
      <c r="X97" s="15" t="n"/>
      <c r="Y97" s="15" t="n"/>
      <c r="Z97" s="16" t="n"/>
      <c r="AA97" s="17" t="inlineStr">
        <is>
          <t>Transplanting (Pindot) — optimal for clay-loam paddy fields</t>
        </is>
      </c>
      <c r="AB97" s="17" t="inlineStr">
        <is>
          <t>Wet Tillage (Puddling): 2 plowings + thorough harrowing under flooded condition</t>
        </is>
      </c>
      <c r="AC97" s="17" t="inlineStr">
        <is>
          <t>Continuous flooding 2–5 cm depth during vegetative stage; drain 2 weeks before harvest</t>
        </is>
      </c>
    </row>
    <row r="98" ht="21.75" customHeight="1" s="101">
      <c r="A98" s="6" t="inlineStr">
        <is>
          <t>Palay</t>
        </is>
      </c>
      <c r="B98" s="6" t="inlineStr">
        <is>
          <t>Camanggaan</t>
        </is>
      </c>
      <c r="C98" s="6" t="inlineStr">
        <is>
          <t>January</t>
        </is>
      </c>
      <c r="D98" s="6" t="inlineStr">
        <is>
          <t>2013</t>
        </is>
      </c>
      <c r="E98" s="6" t="inlineStr">
        <is>
          <t>DS 2013</t>
        </is>
      </c>
      <c r="F98" s="6" t="inlineStr">
        <is>
          <t>Planting</t>
        </is>
      </c>
      <c r="G98" s="7" t="n">
        <v>0.58</v>
      </c>
      <c r="H98" s="8" t="n">
        <v>24.32</v>
      </c>
      <c r="I98" s="8" t="n">
        <v>16.94</v>
      </c>
      <c r="J98" s="8" t="n">
        <v>31.93</v>
      </c>
      <c r="K98" s="8" t="n">
        <v>74.94</v>
      </c>
      <c r="L98" s="8" t="n">
        <v>98.59999999999999</v>
      </c>
      <c r="M98" s="8" t="n">
        <v>16.43</v>
      </c>
      <c r="N98" s="6" t="inlineStr">
        <is>
          <t>Type I – Tropical Monsoon (PAGASA)</t>
        </is>
      </c>
      <c r="O98" s="6" t="inlineStr">
        <is>
          <t>Dry (Cool)</t>
        </is>
      </c>
      <c r="P98" s="6" t="inlineStr">
        <is>
          <t>Sandy Loam</t>
        </is>
      </c>
      <c r="Q98" s="6" t="inlineStr">
        <is>
          <t>Flat / Lowland</t>
        </is>
      </c>
      <c r="R98" s="9" t="n">
        <v>30</v>
      </c>
      <c r="S98" s="6" t="inlineStr">
        <is>
          <t>—</t>
        </is>
      </c>
      <c r="T98" s="10" t="n">
        <v>244.44</v>
      </c>
      <c r="U98" s="10" t="n">
        <v>2</v>
      </c>
      <c r="V98" s="10" t="n">
        <v>72.73999999999999</v>
      </c>
      <c r="W98" s="10" t="n">
        <v>5</v>
      </c>
      <c r="X98" s="10" t="n"/>
      <c r="Y98" s="10" t="n"/>
      <c r="Z98" s="11" t="n"/>
      <c r="AA98" s="12" t="inlineStr">
        <is>
          <t>Transplanting (Pindot) or Direct Seeding (Pinaghandaan)</t>
        </is>
      </c>
      <c r="AB98" s="12" t="inlineStr">
        <is>
          <t>Conventional Tillage: 2 plowings + 2 harrowings; soil workable when moist</t>
        </is>
      </c>
      <c r="AC98" s="12" t="inlineStr">
        <is>
          <t>Intermittent irrigation (Alternate Wetting and Drying — AWD); moderate retention</t>
        </is>
      </c>
    </row>
    <row r="99" ht="21.75" customHeight="1" s="101">
      <c r="A99" s="13" t="inlineStr">
        <is>
          <t>Palay</t>
        </is>
      </c>
      <c r="B99" s="13" t="inlineStr">
        <is>
          <t>Sumabnit</t>
        </is>
      </c>
      <c r="C99" s="13" t="inlineStr">
        <is>
          <t>January</t>
        </is>
      </c>
      <c r="D99" s="13" t="inlineStr">
        <is>
          <t>2013</t>
        </is>
      </c>
      <c r="E99" s="13" t="inlineStr">
        <is>
          <t>DS 2013</t>
        </is>
      </c>
      <c r="F99" s="13" t="inlineStr">
        <is>
          <t>Planting</t>
        </is>
      </c>
      <c r="G99" s="7" t="n">
        <v>0.58</v>
      </c>
      <c r="H99" s="8" t="n">
        <v>24.32</v>
      </c>
      <c r="I99" s="8" t="n">
        <v>16.94</v>
      </c>
      <c r="J99" s="8" t="n">
        <v>31.93</v>
      </c>
      <c r="K99" s="8" t="n">
        <v>74.94</v>
      </c>
      <c r="L99" s="8" t="n">
        <v>98.59999999999999</v>
      </c>
      <c r="M99" s="8" t="n">
        <v>16.43</v>
      </c>
      <c r="N99" s="13" t="inlineStr">
        <is>
          <t>Type I – Tropical Monsoon (PAGASA)</t>
        </is>
      </c>
      <c r="O99" s="13" t="inlineStr">
        <is>
          <t>Dry (Cool)</t>
        </is>
      </c>
      <c r="P99" s="13" t="inlineStr">
        <is>
          <t>Silty Clay Loam / Fine Sandy Loam</t>
        </is>
      </c>
      <c r="Q99" s="13" t="inlineStr">
        <is>
          <t>Flat / Lowland</t>
        </is>
      </c>
      <c r="R99" s="14" t="n">
        <v>30</v>
      </c>
      <c r="S99" s="13" t="inlineStr">
        <is>
          <t>Tagamusing River</t>
        </is>
      </c>
      <c r="T99" s="15" t="n">
        <v>406.56</v>
      </c>
      <c r="U99" s="15" t="n">
        <v>3</v>
      </c>
      <c r="V99" s="15" t="n">
        <v>81.66</v>
      </c>
      <c r="W99" s="15" t="n">
        <v>60</v>
      </c>
      <c r="X99" s="15" t="n"/>
      <c r="Y99" s="15" t="n"/>
      <c r="Z99" s="16" t="n"/>
      <c r="AA99" s="17" t="inlineStr">
        <is>
          <t>Transplanting (Pindot)</t>
        </is>
      </c>
      <c r="AB99" s="17" t="inlineStr">
        <is>
          <t>Minimum Tillage (avoid compaction; sandy structure fragile)</t>
        </is>
      </c>
      <c r="AC99" s="17" t="inlineStr">
        <is>
          <t>Continuous flooding or frequent irrigation; high percolation risk</t>
        </is>
      </c>
    </row>
    <row r="100" ht="21.75" customHeight="1" s="101">
      <c r="A100" s="6" t="inlineStr">
        <is>
          <t>Palay</t>
        </is>
      </c>
      <c r="B100" s="6" t="inlineStr">
        <is>
          <t>Capas</t>
        </is>
      </c>
      <c r="C100" s="6" t="inlineStr">
        <is>
          <t>January</t>
        </is>
      </c>
      <c r="D100" s="6" t="inlineStr">
        <is>
          <t>2013</t>
        </is>
      </c>
      <c r="E100" s="6" t="inlineStr">
        <is>
          <t>DS 2013</t>
        </is>
      </c>
      <c r="F100" s="6" t="inlineStr">
        <is>
          <t>Planting</t>
        </is>
      </c>
      <c r="G100" s="7" t="n">
        <v>0.58</v>
      </c>
      <c r="H100" s="8" t="n">
        <v>24.32</v>
      </c>
      <c r="I100" s="8" t="n">
        <v>16.94</v>
      </c>
      <c r="J100" s="8" t="n">
        <v>31.93</v>
      </c>
      <c r="K100" s="8" t="n">
        <v>74.94</v>
      </c>
      <c r="L100" s="8" t="n">
        <v>98.59999999999999</v>
      </c>
      <c r="M100" s="8" t="n">
        <v>16.43</v>
      </c>
      <c r="N100" s="6" t="inlineStr">
        <is>
          <t>Type I – Tropical Monsoon (PAGASA)</t>
        </is>
      </c>
      <c r="O100" s="6" t="inlineStr">
        <is>
          <t>Dry (Cool)</t>
        </is>
      </c>
      <c r="P100" s="6" t="inlineStr">
        <is>
          <t>Sandy Loam</t>
        </is>
      </c>
      <c r="Q100" s="6" t="inlineStr">
        <is>
          <t>Flat / Lowland</t>
        </is>
      </c>
      <c r="R100" s="9" t="n">
        <v>30</v>
      </c>
      <c r="S100" s="6" t="inlineStr">
        <is>
          <t>—</t>
        </is>
      </c>
      <c r="T100" s="10" t="n">
        <v>377.16</v>
      </c>
      <c r="U100" s="10" t="n">
        <v>4</v>
      </c>
      <c r="V100" s="10" t="n">
        <v>67.04000000000001</v>
      </c>
      <c r="W100" s="10" t="n">
        <v>179</v>
      </c>
      <c r="X100" s="10" t="n"/>
      <c r="Y100" s="10" t="n"/>
      <c r="Z100" s="11" t="n"/>
      <c r="AA100" s="12" t="inlineStr">
        <is>
          <t>Transplanting (Pindot) or Direct Seeding (Pinaghandaan)</t>
        </is>
      </c>
      <c r="AB100" s="12" t="inlineStr">
        <is>
          <t>Conventional Tillage: 2 plowings + 2 harrowings; soil workable when moist</t>
        </is>
      </c>
      <c r="AC100" s="12" t="inlineStr">
        <is>
          <t>Intermittent irrigation (Alternate Wetting and Drying — AWD); moderate retention</t>
        </is>
      </c>
    </row>
    <row r="101" ht="21.75" customHeight="1" s="101">
      <c r="A101" s="13" t="inlineStr">
        <is>
          <t>Palay</t>
        </is>
      </c>
      <c r="B101" s="13" t="inlineStr">
        <is>
          <t>San Pablo</t>
        </is>
      </c>
      <c r="C101" s="13" t="inlineStr">
        <is>
          <t>January</t>
        </is>
      </c>
      <c r="D101" s="13" t="inlineStr">
        <is>
          <t>2013</t>
        </is>
      </c>
      <c r="E101" s="13" t="inlineStr">
        <is>
          <t>DS 2013</t>
        </is>
      </c>
      <c r="F101" s="13" t="inlineStr">
        <is>
          <t>Planting</t>
        </is>
      </c>
      <c r="G101" s="7" t="n">
        <v>0.58</v>
      </c>
      <c r="H101" s="8" t="n">
        <v>24.32</v>
      </c>
      <c r="I101" s="8" t="n">
        <v>16.94</v>
      </c>
      <c r="J101" s="8" t="n">
        <v>31.93</v>
      </c>
      <c r="K101" s="8" t="n">
        <v>74.94</v>
      </c>
      <c r="L101" s="8" t="n">
        <v>98.59999999999999</v>
      </c>
      <c r="M101" s="8" t="n">
        <v>16.43</v>
      </c>
      <c r="N101" s="13" t="inlineStr">
        <is>
          <t>Type I – Tropical Monsoon (PAGASA)</t>
        </is>
      </c>
      <c r="O101" s="13" t="inlineStr">
        <is>
          <t>Dry (Cool)</t>
        </is>
      </c>
      <c r="P101" s="13" t="inlineStr">
        <is>
          <t>Sandy Loam</t>
        </is>
      </c>
      <c r="Q101" s="13" t="inlineStr">
        <is>
          <t>Flat / Lowland</t>
        </is>
      </c>
      <c r="R101" s="14" t="n">
        <v>30</v>
      </c>
      <c r="S101" s="13" t="inlineStr">
        <is>
          <t>San Pablo Creek</t>
        </is>
      </c>
      <c r="T101" s="15" t="n">
        <v>215.04</v>
      </c>
      <c r="U101" s="15" t="n">
        <v>10.5</v>
      </c>
      <c r="V101" s="15" t="n">
        <v>26.4</v>
      </c>
      <c r="W101" s="15" t="n">
        <v>120</v>
      </c>
      <c r="X101" s="15" t="n"/>
      <c r="Y101" s="15" t="n"/>
      <c r="Z101" s="16" t="n"/>
      <c r="AA101" s="17" t="inlineStr">
        <is>
          <t>Transplanting (Pindot) or Direct Seeding (Pinaghandaan)</t>
        </is>
      </c>
      <c r="AB101" s="17" t="inlineStr">
        <is>
          <t>Conventional Tillage: 2 plowings + 2 harrowings; soil workable when moist</t>
        </is>
      </c>
      <c r="AC101" s="17" t="inlineStr">
        <is>
          <t>Intermittent irrigation (Alternate Wetting and Drying — AWD); moderate retention</t>
        </is>
      </c>
    </row>
    <row r="102" ht="21.75" customHeight="1" s="101">
      <c r="A102" s="6" t="inlineStr">
        <is>
          <t>Palay</t>
        </is>
      </c>
      <c r="B102" s="6" t="inlineStr">
        <is>
          <t>Balangobong</t>
        </is>
      </c>
      <c r="C102" s="6" t="inlineStr">
        <is>
          <t>January</t>
        </is>
      </c>
      <c r="D102" s="6" t="inlineStr">
        <is>
          <t>2013</t>
        </is>
      </c>
      <c r="E102" s="6" t="inlineStr">
        <is>
          <t>DS 2013</t>
        </is>
      </c>
      <c r="F102" s="6" t="inlineStr">
        <is>
          <t>Planting</t>
        </is>
      </c>
      <c r="G102" s="7" t="n">
        <v>0.58</v>
      </c>
      <c r="H102" s="8" t="n">
        <v>24.32</v>
      </c>
      <c r="I102" s="8" t="n">
        <v>16.94</v>
      </c>
      <c r="J102" s="8" t="n">
        <v>31.93</v>
      </c>
      <c r="K102" s="8" t="n">
        <v>74.94</v>
      </c>
      <c r="L102" s="8" t="n">
        <v>98.59999999999999</v>
      </c>
      <c r="M102" s="8" t="n">
        <v>16.43</v>
      </c>
      <c r="N102" s="6" t="inlineStr">
        <is>
          <t>Type I – Tropical Monsoon (PAGASA)</t>
        </is>
      </c>
      <c r="O102" s="6" t="inlineStr">
        <is>
          <t>Dry (Cool)</t>
        </is>
      </c>
      <c r="P102" s="6" t="inlineStr">
        <is>
          <t>Silty Clay Loam</t>
        </is>
      </c>
      <c r="Q102" s="6" t="inlineStr">
        <is>
          <t>Flat / Lowland</t>
        </is>
      </c>
      <c r="R102" s="9" t="n">
        <v>30</v>
      </c>
      <c r="S102" s="6" t="inlineStr">
        <is>
          <t>—</t>
        </is>
      </c>
      <c r="T102" s="10" t="n">
        <v>281.4</v>
      </c>
      <c r="U102" s="10" t="n">
        <v>2</v>
      </c>
      <c r="V102" s="10" t="n">
        <v>35.32</v>
      </c>
      <c r="W102" s="10" t="n">
        <v>120</v>
      </c>
      <c r="X102" s="10" t="n"/>
      <c r="Y102" s="10" t="n"/>
      <c r="Z102" s="11" t="n"/>
      <c r="AA102" s="12" t="inlineStr">
        <is>
          <t>Transplanting (Pindot) — optimal for clay-loam paddy fields</t>
        </is>
      </c>
      <c r="AB102" s="12" t="inlineStr">
        <is>
          <t>Wet Tillage (Puddling): 2 plowings + thorough harrowing under flooded condition</t>
        </is>
      </c>
      <c r="AC102" s="12" t="inlineStr">
        <is>
          <t>Continuous flooding 2–5 cm depth during vegetative stage; drain 2 weeks before harvest</t>
        </is>
      </c>
    </row>
    <row r="103" ht="21.75" customHeight="1" s="101">
      <c r="A103" s="13" t="inlineStr">
        <is>
          <t>Palay</t>
        </is>
      </c>
      <c r="B103" s="13" t="inlineStr">
        <is>
          <t>San Felipe Sur</t>
        </is>
      </c>
      <c r="C103" s="13" t="inlineStr">
        <is>
          <t>January</t>
        </is>
      </c>
      <c r="D103" s="13" t="inlineStr">
        <is>
          <t>2013</t>
        </is>
      </c>
      <c r="E103" s="13" t="inlineStr">
        <is>
          <t>DS 2013</t>
        </is>
      </c>
      <c r="F103" s="13" t="inlineStr">
        <is>
          <t>Planting</t>
        </is>
      </c>
      <c r="G103" s="7" t="n">
        <v>0.58</v>
      </c>
      <c r="H103" s="8" t="n">
        <v>24.32</v>
      </c>
      <c r="I103" s="8" t="n">
        <v>16.94</v>
      </c>
      <c r="J103" s="8" t="n">
        <v>31.93</v>
      </c>
      <c r="K103" s="8" t="n">
        <v>74.94</v>
      </c>
      <c r="L103" s="8" t="n">
        <v>98.59999999999999</v>
      </c>
      <c r="M103" s="8" t="n">
        <v>16.43</v>
      </c>
      <c r="N103" s="13" t="inlineStr">
        <is>
          <t>Type I – Tropical Monsoon (PAGASA)</t>
        </is>
      </c>
      <c r="O103" s="13" t="inlineStr">
        <is>
          <t>Dry (Cool)</t>
        </is>
      </c>
      <c r="P103" s="13" t="inlineStr">
        <is>
          <t>Sandy Loam</t>
        </is>
      </c>
      <c r="Q103" s="13" t="inlineStr">
        <is>
          <t>Flat / Lowland</t>
        </is>
      </c>
      <c r="R103" s="14" t="n">
        <v>30</v>
      </c>
      <c r="S103" s="13" t="inlineStr">
        <is>
          <t>Tagamusing River</t>
        </is>
      </c>
      <c r="T103" s="15" t="n">
        <v>504</v>
      </c>
      <c r="U103" s="15" t="n">
        <v>1.5</v>
      </c>
      <c r="V103" s="15" t="n">
        <v>32.1</v>
      </c>
      <c r="W103" s="15" t="n">
        <v>125</v>
      </c>
      <c r="X103" s="15" t="n"/>
      <c r="Y103" s="15" t="n"/>
      <c r="Z103" s="16" t="n"/>
      <c r="AA103" s="17" t="inlineStr">
        <is>
          <t>Transplanting (Pindot) or Direct Seeding (Pinaghandaan)</t>
        </is>
      </c>
      <c r="AB103" s="17" t="inlineStr">
        <is>
          <t>Conventional Tillage: 2 plowings + 2 harrowings; soil workable when moist</t>
        </is>
      </c>
      <c r="AC103" s="17" t="inlineStr">
        <is>
          <t>Intermittent irrigation (Alternate Wetting and Drying — AWD); moderate retention</t>
        </is>
      </c>
    </row>
    <row r="104" ht="21.75" customHeight="1" s="101">
      <c r="A104" s="6" t="inlineStr">
        <is>
          <t>Palay</t>
        </is>
      </c>
      <c r="B104" s="6" t="inlineStr">
        <is>
          <t>Pasileng Sur</t>
        </is>
      </c>
      <c r="C104" s="6" t="inlineStr">
        <is>
          <t>January</t>
        </is>
      </c>
      <c r="D104" s="6" t="inlineStr">
        <is>
          <t>2013</t>
        </is>
      </c>
      <c r="E104" s="6" t="inlineStr">
        <is>
          <t>DS 2013</t>
        </is>
      </c>
      <c r="F104" s="6" t="inlineStr">
        <is>
          <t>Planting</t>
        </is>
      </c>
      <c r="G104" s="7" t="n">
        <v>0.58</v>
      </c>
      <c r="H104" s="8" t="n">
        <v>24.32</v>
      </c>
      <c r="I104" s="8" t="n">
        <v>16.94</v>
      </c>
      <c r="J104" s="8" t="n">
        <v>31.93</v>
      </c>
      <c r="K104" s="8" t="n">
        <v>74.94</v>
      </c>
      <c r="L104" s="8" t="n">
        <v>98.59999999999999</v>
      </c>
      <c r="M104" s="8" t="n">
        <v>16.43</v>
      </c>
      <c r="N104" s="6" t="inlineStr">
        <is>
          <t>Type I – Tropical Monsoon (PAGASA)</t>
        </is>
      </c>
      <c r="O104" s="6" t="inlineStr">
        <is>
          <t>Dry (Cool)</t>
        </is>
      </c>
      <c r="P104" s="6" t="inlineStr">
        <is>
          <t>Sandy Loam</t>
        </is>
      </c>
      <c r="Q104" s="6" t="inlineStr">
        <is>
          <t>Flat / Lowland</t>
        </is>
      </c>
      <c r="R104" s="9" t="n">
        <v>30</v>
      </c>
      <c r="S104" s="6" t="inlineStr">
        <is>
          <t>Tagamusing River</t>
        </is>
      </c>
      <c r="T104" s="10" t="n">
        <v>414.96</v>
      </c>
      <c r="U104" s="10" t="n">
        <v>1.5</v>
      </c>
      <c r="V104" s="10" t="n">
        <v>26.4</v>
      </c>
      <c r="W104" s="10" t="n">
        <v>160</v>
      </c>
      <c r="X104" s="10" t="n"/>
      <c r="Y104" s="10" t="n"/>
      <c r="Z104" s="11" t="n"/>
      <c r="AA104" s="12" t="inlineStr">
        <is>
          <t>Transplanting (Pindot) or Direct Seeding (Pinaghandaan)</t>
        </is>
      </c>
      <c r="AB104" s="12" t="inlineStr">
        <is>
          <t>Conventional Tillage: 2 plowings + 2 harrowings; soil workable when moist</t>
        </is>
      </c>
      <c r="AC104" s="12" t="inlineStr">
        <is>
          <t>Intermittent irrigation (Alternate Wetting and Drying — AWD); moderate retention</t>
        </is>
      </c>
    </row>
    <row r="105" ht="21.75" customHeight="1" s="101">
      <c r="A105" s="13" t="inlineStr">
        <is>
          <t>Palay</t>
        </is>
      </c>
      <c r="B105" s="13" t="inlineStr">
        <is>
          <t>Sta. Maria Norte</t>
        </is>
      </c>
      <c r="C105" s="13" t="inlineStr">
        <is>
          <t>January</t>
        </is>
      </c>
      <c r="D105" s="13" t="inlineStr">
        <is>
          <t>2013</t>
        </is>
      </c>
      <c r="E105" s="13" t="inlineStr">
        <is>
          <t>DS 2013</t>
        </is>
      </c>
      <c r="F105" s="13" t="inlineStr">
        <is>
          <t>Planting</t>
        </is>
      </c>
      <c r="G105" s="7" t="n">
        <v>0.58</v>
      </c>
      <c r="H105" s="8" t="n">
        <v>24.32</v>
      </c>
      <c r="I105" s="8" t="n">
        <v>16.94</v>
      </c>
      <c r="J105" s="8" t="n">
        <v>31.93</v>
      </c>
      <c r="K105" s="8" t="n">
        <v>74.94</v>
      </c>
      <c r="L105" s="8" t="n">
        <v>98.59999999999999</v>
      </c>
      <c r="M105" s="8" t="n">
        <v>16.43</v>
      </c>
      <c r="N105" s="13" t="inlineStr">
        <is>
          <t>Type I – Tropical Monsoon (PAGASA)</t>
        </is>
      </c>
      <c r="O105" s="13" t="inlineStr">
        <is>
          <t>Dry (Cool)</t>
        </is>
      </c>
      <c r="P105" s="13" t="inlineStr">
        <is>
          <t>Sandy Loam</t>
        </is>
      </c>
      <c r="Q105" s="13" t="inlineStr">
        <is>
          <t>Flat / Lowland</t>
        </is>
      </c>
      <c r="R105" s="14" t="n">
        <v>30</v>
      </c>
      <c r="S105" s="13" t="inlineStr">
        <is>
          <t>Tagamusing River</t>
        </is>
      </c>
      <c r="T105" s="15" t="n">
        <v>157.08</v>
      </c>
      <c r="U105" s="15" t="n">
        <v>8.19</v>
      </c>
      <c r="V105" s="15" t="n">
        <v>26.4</v>
      </c>
      <c r="W105" s="15" t="n">
        <v>12</v>
      </c>
      <c r="X105" s="15" t="n"/>
      <c r="Y105" s="15" t="n"/>
      <c r="Z105" s="16" t="n"/>
      <c r="AA105" s="17" t="inlineStr">
        <is>
          <t>Transplanting (Pindot) or Direct Seeding (Pinaghandaan)</t>
        </is>
      </c>
      <c r="AB105" s="17" t="inlineStr">
        <is>
          <t>Conventional Tillage: 2 plowings + 2 harrowings; soil workable when moist</t>
        </is>
      </c>
      <c r="AC105" s="17" t="inlineStr">
        <is>
          <t>Intermittent irrigation (Alternate Wetting and Drying — AWD); moderate retention</t>
        </is>
      </c>
    </row>
    <row r="106" ht="21.75" customHeight="1" s="101">
      <c r="A106" s="6" t="inlineStr">
        <is>
          <t>Palay</t>
        </is>
      </c>
      <c r="B106" s="6" t="inlineStr">
        <is>
          <t>Bugayong</t>
        </is>
      </c>
      <c r="C106" s="6" t="inlineStr">
        <is>
          <t>January</t>
        </is>
      </c>
      <c r="D106" s="6" t="inlineStr">
        <is>
          <t>2013</t>
        </is>
      </c>
      <c r="E106" s="6" t="inlineStr">
        <is>
          <t>DS 2013</t>
        </is>
      </c>
      <c r="F106" s="6" t="inlineStr">
        <is>
          <t>Planting</t>
        </is>
      </c>
      <c r="G106" s="7" t="n">
        <v>0.58</v>
      </c>
      <c r="H106" s="8" t="n">
        <v>24.32</v>
      </c>
      <c r="I106" s="8" t="n">
        <v>16.94</v>
      </c>
      <c r="J106" s="8" t="n">
        <v>31.93</v>
      </c>
      <c r="K106" s="8" t="n">
        <v>74.94</v>
      </c>
      <c r="L106" s="8" t="n">
        <v>98.59999999999999</v>
      </c>
      <c r="M106" s="8" t="n">
        <v>16.43</v>
      </c>
      <c r="N106" s="6" t="inlineStr">
        <is>
          <t>Type I – Tropical Monsoon (PAGASA)</t>
        </is>
      </c>
      <c r="O106" s="6" t="inlineStr">
        <is>
          <t>Dry (Cool)</t>
        </is>
      </c>
      <c r="P106" s="6" t="inlineStr">
        <is>
          <t>Sandy Loam / Silty Clay Loam</t>
        </is>
      </c>
      <c r="Q106" s="6" t="inlineStr">
        <is>
          <t>Flat / Lowland</t>
        </is>
      </c>
      <c r="R106" s="9" t="n">
        <v>30</v>
      </c>
      <c r="S106" s="6" t="inlineStr">
        <is>
          <t>Aloragat River</t>
        </is>
      </c>
      <c r="T106" s="10" t="n">
        <v>346.08</v>
      </c>
      <c r="U106" s="10" t="n">
        <v>2</v>
      </c>
      <c r="V106" s="10" t="n">
        <v>41.02</v>
      </c>
      <c r="W106" s="10" t="n">
        <v>7</v>
      </c>
      <c r="X106" s="10" t="n"/>
      <c r="Y106" s="10" t="n"/>
      <c r="Z106" s="11" t="n"/>
      <c r="AA106" s="12" t="inlineStr">
        <is>
          <t>Transplanting (Pindot) — recommended; Direct Seeding possible in dry season</t>
        </is>
      </c>
      <c r="AB106" s="12" t="inlineStr">
        <is>
          <t>Conventional Tillage: 2 plowings + harrowing; puddle thoroughly for transplanting</t>
        </is>
      </c>
      <c r="AC106" s="12" t="inlineStr">
        <is>
          <t>Intermittent to continuous flooding; manage according to drainage section present</t>
        </is>
      </c>
    </row>
    <row r="107" ht="21.75" customHeight="1" s="101">
      <c r="A107" s="13" t="inlineStr">
        <is>
          <t>Palay</t>
        </is>
      </c>
      <c r="B107" s="13" t="inlineStr">
        <is>
          <t>Mangkasuy</t>
        </is>
      </c>
      <c r="C107" s="13" t="inlineStr">
        <is>
          <t>January</t>
        </is>
      </c>
      <c r="D107" s="13" t="inlineStr">
        <is>
          <t>2013</t>
        </is>
      </c>
      <c r="E107" s="13" t="inlineStr">
        <is>
          <t>DS 2013</t>
        </is>
      </c>
      <c r="F107" s="13" t="inlineStr">
        <is>
          <t>Planting</t>
        </is>
      </c>
      <c r="G107" s="7" t="n">
        <v>0.58</v>
      </c>
      <c r="H107" s="8" t="n">
        <v>24.32</v>
      </c>
      <c r="I107" s="8" t="n">
        <v>16.94</v>
      </c>
      <c r="J107" s="8" t="n">
        <v>31.93</v>
      </c>
      <c r="K107" s="8" t="n">
        <v>74.94</v>
      </c>
      <c r="L107" s="8" t="n">
        <v>98.59999999999999</v>
      </c>
      <c r="M107" s="8" t="n">
        <v>16.43</v>
      </c>
      <c r="N107" s="13" t="inlineStr">
        <is>
          <t>Type I – Tropical Monsoon (PAGASA)</t>
        </is>
      </c>
      <c r="O107" s="13" t="inlineStr">
        <is>
          <t>Dry (Cool)</t>
        </is>
      </c>
      <c r="P107" s="13" t="inlineStr">
        <is>
          <t>Sandy Loam</t>
        </is>
      </c>
      <c r="Q107" s="13" t="inlineStr">
        <is>
          <t>Flat / Lowland</t>
        </is>
      </c>
      <c r="R107" s="14" t="n">
        <v>30</v>
      </c>
      <c r="S107" s="13" t="inlineStr">
        <is>
          <t>Tagamusing River</t>
        </is>
      </c>
      <c r="T107" s="15" t="n">
        <v>802.2</v>
      </c>
      <c r="U107" s="15" t="n">
        <v>1</v>
      </c>
      <c r="V107" s="15" t="n">
        <v>110.1</v>
      </c>
      <c r="W107" s="15" t="n">
        <v>14</v>
      </c>
      <c r="X107" s="15" t="n"/>
      <c r="Y107" s="15" t="n"/>
      <c r="Z107" s="16" t="n"/>
      <c r="AA107" s="17" t="inlineStr">
        <is>
          <t>Transplanting (Pindot) or Direct Seeding (Pinaghandaan)</t>
        </is>
      </c>
      <c r="AB107" s="17" t="inlineStr">
        <is>
          <t>Conventional Tillage: 2 plowings + 2 harrowings; soil workable when moist</t>
        </is>
      </c>
      <c r="AC107" s="17" t="inlineStr">
        <is>
          <t>Intermittent irrigation (Alternate Wetting and Drying — AWD); moderate retention</t>
        </is>
      </c>
    </row>
    <row r="108" ht="21.75" customHeight="1" s="101">
      <c r="A108" s="6" t="inlineStr">
        <is>
          <t>Palay</t>
        </is>
      </c>
      <c r="B108" s="6" t="inlineStr">
        <is>
          <t>Santiago</t>
        </is>
      </c>
      <c r="C108" s="6" t="inlineStr">
        <is>
          <t>January</t>
        </is>
      </c>
      <c r="D108" s="6" t="inlineStr">
        <is>
          <t>2013</t>
        </is>
      </c>
      <c r="E108" s="6" t="inlineStr">
        <is>
          <t>DS 2013</t>
        </is>
      </c>
      <c r="F108" s="6" t="inlineStr">
        <is>
          <t>Planting</t>
        </is>
      </c>
      <c r="G108" s="7" t="n">
        <v>0.58</v>
      </c>
      <c r="H108" s="8" t="n">
        <v>24.32</v>
      </c>
      <c r="I108" s="8" t="n">
        <v>16.94</v>
      </c>
      <c r="J108" s="8" t="n">
        <v>31.93</v>
      </c>
      <c r="K108" s="8" t="n">
        <v>74.94</v>
      </c>
      <c r="L108" s="8" t="n">
        <v>98.59999999999999</v>
      </c>
      <c r="M108" s="8" t="n">
        <v>16.43</v>
      </c>
      <c r="N108" s="6" t="inlineStr">
        <is>
          <t>Type I – Tropical Monsoon (PAGASA)</t>
        </is>
      </c>
      <c r="O108" s="6" t="inlineStr">
        <is>
          <t>Dry (Cool)</t>
        </is>
      </c>
      <c r="P108" s="6" t="inlineStr">
        <is>
          <t>Silty Clay Loam</t>
        </is>
      </c>
      <c r="Q108" s="6" t="inlineStr">
        <is>
          <t>Flat / Lowland</t>
        </is>
      </c>
      <c r="R108" s="9" t="n">
        <v>30</v>
      </c>
      <c r="S108" s="6" t="inlineStr">
        <is>
          <t>—</t>
        </is>
      </c>
      <c r="T108" s="10" t="n">
        <v>283.08</v>
      </c>
      <c r="U108" s="10" t="n">
        <v>2</v>
      </c>
      <c r="V108" s="10" t="n">
        <v>81.66</v>
      </c>
      <c r="W108" s="10" t="n">
        <v>13</v>
      </c>
      <c r="X108" s="10" t="n"/>
      <c r="Y108" s="10" t="n"/>
      <c r="Z108" s="11" t="n"/>
      <c r="AA108" s="12" t="inlineStr">
        <is>
          <t>Transplanting (Pindot) — optimal for clay-loam paddy fields</t>
        </is>
      </c>
      <c r="AB108" s="12" t="inlineStr">
        <is>
          <t>Wet Tillage (Puddling): 2 plowings + thorough harrowing under flooded condition</t>
        </is>
      </c>
      <c r="AC108" s="12" t="inlineStr">
        <is>
          <t>Continuous flooding 2–5 cm depth during vegetative stage; drain 2 weeks before harvest</t>
        </is>
      </c>
    </row>
    <row r="109" ht="21.75" customHeight="1" s="101">
      <c r="A109" s="13" t="inlineStr">
        <is>
          <t>Palay</t>
        </is>
      </c>
      <c r="B109" s="13" t="inlineStr">
        <is>
          <t>Pasileng Norte</t>
        </is>
      </c>
      <c r="C109" s="13" t="inlineStr">
        <is>
          <t>January</t>
        </is>
      </c>
      <c r="D109" s="13" t="inlineStr">
        <is>
          <t>2018</t>
        </is>
      </c>
      <c r="E109" s="13" t="inlineStr">
        <is>
          <t>DS 2018</t>
        </is>
      </c>
      <c r="F109" s="13" t="inlineStr">
        <is>
          <t>Planting</t>
        </is>
      </c>
      <c r="G109" s="7" t="n">
        <v>1.05</v>
      </c>
      <c r="H109" s="8" t="n">
        <v>24.53</v>
      </c>
      <c r="I109" s="8" t="n">
        <v>17.85</v>
      </c>
      <c r="J109" s="8" t="n">
        <v>31.12</v>
      </c>
      <c r="K109" s="8" t="n">
        <v>80.86</v>
      </c>
      <c r="L109" s="8" t="n">
        <v>98.43000000000001</v>
      </c>
      <c r="M109" s="8" t="n">
        <v>15.71</v>
      </c>
      <c r="N109" s="13" t="inlineStr">
        <is>
          <t>Type I – Tropical Monsoon (PAGASA)</t>
        </is>
      </c>
      <c r="O109" s="13" t="inlineStr">
        <is>
          <t>Dry (Cool)</t>
        </is>
      </c>
      <c r="P109" s="13" t="inlineStr">
        <is>
          <t>Sandy Loam</t>
        </is>
      </c>
      <c r="Q109" s="13" t="inlineStr">
        <is>
          <t>Flat / Lowland</t>
        </is>
      </c>
      <c r="R109" s="14" t="n">
        <v>30</v>
      </c>
      <c r="S109" s="13" t="inlineStr">
        <is>
          <t>Tagamusing River</t>
        </is>
      </c>
      <c r="T109" s="15" t="n">
        <v>140.28</v>
      </c>
      <c r="U109" s="15" t="n">
        <v>2</v>
      </c>
      <c r="V109" s="15" t="n">
        <v>26.4</v>
      </c>
      <c r="W109" s="15" t="n">
        <v>65</v>
      </c>
      <c r="X109" s="15" t="n"/>
      <c r="Y109" s="15" t="n"/>
      <c r="Z109" s="16" t="n"/>
      <c r="AA109" s="17" t="inlineStr">
        <is>
          <t>Transplanting (Pindot) or Direct Seeding (Pinaghandaan)</t>
        </is>
      </c>
      <c r="AB109" s="17" t="inlineStr">
        <is>
          <t>Conventional Tillage: 2 plowings + 2 harrowings; soil workable when moist</t>
        </is>
      </c>
      <c r="AC109" s="17" t="inlineStr">
        <is>
          <t>Intermittent irrigation (Alternate Wetting and Drying — AWD); moderate retention</t>
        </is>
      </c>
    </row>
    <row r="110" ht="21.75" customHeight="1" s="101">
      <c r="A110" s="6" t="inlineStr">
        <is>
          <t>Palay</t>
        </is>
      </c>
      <c r="B110" s="6" t="inlineStr">
        <is>
          <t>Tabuyoc</t>
        </is>
      </c>
      <c r="C110" s="6" t="inlineStr">
        <is>
          <t>January</t>
        </is>
      </c>
      <c r="D110" s="6" t="inlineStr">
        <is>
          <t>2018</t>
        </is>
      </c>
      <c r="E110" s="6" t="inlineStr">
        <is>
          <t>DS 2018</t>
        </is>
      </c>
      <c r="F110" s="6" t="inlineStr">
        <is>
          <t>Planting</t>
        </is>
      </c>
      <c r="G110" s="7" t="n">
        <v>1.05</v>
      </c>
      <c r="H110" s="8" t="n">
        <v>24.53</v>
      </c>
      <c r="I110" s="8" t="n">
        <v>17.85</v>
      </c>
      <c r="J110" s="8" t="n">
        <v>31.12</v>
      </c>
      <c r="K110" s="8" t="n">
        <v>80.86</v>
      </c>
      <c r="L110" s="8" t="n">
        <v>98.43000000000001</v>
      </c>
      <c r="M110" s="8" t="n">
        <v>15.71</v>
      </c>
      <c r="N110" s="6" t="inlineStr">
        <is>
          <t>Type I – Tropical Monsoon (PAGASA)</t>
        </is>
      </c>
      <c r="O110" s="6" t="inlineStr">
        <is>
          <t>Dry (Cool)</t>
        </is>
      </c>
      <c r="P110" s="6" t="inlineStr">
        <is>
          <t>Silty Clay Loam</t>
        </is>
      </c>
      <c r="Q110" s="6" t="inlineStr">
        <is>
          <t>Flat / Lowland</t>
        </is>
      </c>
      <c r="R110" s="9" t="n">
        <v>30</v>
      </c>
      <c r="S110" s="6" t="inlineStr">
        <is>
          <t>—</t>
        </is>
      </c>
      <c r="T110" s="10" t="n">
        <v>277.2</v>
      </c>
      <c r="U110" s="10" t="n">
        <v>2</v>
      </c>
      <c r="V110" s="10" t="n">
        <v>61.34</v>
      </c>
      <c r="W110" s="10" t="n">
        <v>110</v>
      </c>
      <c r="X110" s="10" t="n"/>
      <c r="Y110" s="10" t="n"/>
      <c r="Z110" s="11" t="n"/>
      <c r="AA110" s="12" t="inlineStr">
        <is>
          <t>Transplanting (Pindot) — optimal for clay-loam paddy fields</t>
        </is>
      </c>
      <c r="AB110" s="12" t="inlineStr">
        <is>
          <t>Wet Tillage (Puddling): 2 plowings + thorough harrowing under flooded condition</t>
        </is>
      </c>
      <c r="AC110" s="12" t="inlineStr">
        <is>
          <t>Continuous flooding 2–5 cm depth during vegetative stage; drain 2 weeks before harvest</t>
        </is>
      </c>
    </row>
    <row r="111" ht="21.75" customHeight="1" s="101">
      <c r="A111" s="13" t="inlineStr">
        <is>
          <t>Palay</t>
        </is>
      </c>
      <c r="B111" s="13" t="inlineStr">
        <is>
          <t>Sumabnit</t>
        </is>
      </c>
      <c r="C111" s="13" t="inlineStr">
        <is>
          <t>January</t>
        </is>
      </c>
      <c r="D111" s="13" t="inlineStr">
        <is>
          <t>2018</t>
        </is>
      </c>
      <c r="E111" s="13" t="inlineStr">
        <is>
          <t>DS 2018</t>
        </is>
      </c>
      <c r="F111" s="13" t="inlineStr">
        <is>
          <t>Planting</t>
        </is>
      </c>
      <c r="G111" s="7" t="n">
        <v>1.05</v>
      </c>
      <c r="H111" s="8" t="n">
        <v>24.53</v>
      </c>
      <c r="I111" s="8" t="n">
        <v>17.85</v>
      </c>
      <c r="J111" s="8" t="n">
        <v>31.12</v>
      </c>
      <c r="K111" s="8" t="n">
        <v>80.86</v>
      </c>
      <c r="L111" s="8" t="n">
        <v>98.43000000000001</v>
      </c>
      <c r="M111" s="8" t="n">
        <v>15.71</v>
      </c>
      <c r="N111" s="13" t="inlineStr">
        <is>
          <t>Type I – Tropical Monsoon (PAGASA)</t>
        </is>
      </c>
      <c r="O111" s="13" t="inlineStr">
        <is>
          <t>Dry (Cool)</t>
        </is>
      </c>
      <c r="P111" s="13" t="inlineStr">
        <is>
          <t>Silty Clay Loam / Fine Sandy Loam</t>
        </is>
      </c>
      <c r="Q111" s="13" t="inlineStr">
        <is>
          <t>Flat / Lowland</t>
        </is>
      </c>
      <c r="R111" s="14" t="n">
        <v>30</v>
      </c>
      <c r="S111" s="13" t="inlineStr">
        <is>
          <t>Tagamusing River</t>
        </is>
      </c>
      <c r="T111" s="15" t="n">
        <v>406.56</v>
      </c>
      <c r="U111" s="15" t="n">
        <v>2</v>
      </c>
      <c r="V111" s="15" t="n">
        <v>81.66</v>
      </c>
      <c r="W111" s="15" t="n">
        <v>60</v>
      </c>
      <c r="X111" s="15" t="n"/>
      <c r="Y111" s="15" t="n"/>
      <c r="Z111" s="16" t="n"/>
      <c r="AA111" s="17" t="inlineStr">
        <is>
          <t>Transplanting (Pindot)</t>
        </is>
      </c>
      <c r="AB111" s="17" t="inlineStr">
        <is>
          <t>Minimum Tillage (avoid compaction; sandy structure fragile)</t>
        </is>
      </c>
      <c r="AC111" s="17" t="inlineStr">
        <is>
          <t>Continuous flooding or frequent irrigation; high percolation risk</t>
        </is>
      </c>
    </row>
    <row r="112" ht="21.75" customHeight="1" s="101">
      <c r="A112" s="6" t="inlineStr">
        <is>
          <t>Palay</t>
        </is>
      </c>
      <c r="B112" s="6" t="inlineStr">
        <is>
          <t>Capas</t>
        </is>
      </c>
      <c r="C112" s="6" t="inlineStr">
        <is>
          <t>January</t>
        </is>
      </c>
      <c r="D112" s="6" t="inlineStr">
        <is>
          <t>2018</t>
        </is>
      </c>
      <c r="E112" s="6" t="inlineStr">
        <is>
          <t>DS 2018</t>
        </is>
      </c>
      <c r="F112" s="6" t="inlineStr">
        <is>
          <t>Planting</t>
        </is>
      </c>
      <c r="G112" s="7" t="n">
        <v>1.05</v>
      </c>
      <c r="H112" s="8" t="n">
        <v>24.53</v>
      </c>
      <c r="I112" s="8" t="n">
        <v>17.85</v>
      </c>
      <c r="J112" s="8" t="n">
        <v>31.12</v>
      </c>
      <c r="K112" s="8" t="n">
        <v>80.86</v>
      </c>
      <c r="L112" s="8" t="n">
        <v>98.43000000000001</v>
      </c>
      <c r="M112" s="8" t="n">
        <v>15.71</v>
      </c>
      <c r="N112" s="6" t="inlineStr">
        <is>
          <t>Type I – Tropical Monsoon (PAGASA)</t>
        </is>
      </c>
      <c r="O112" s="6" t="inlineStr">
        <is>
          <t>Dry (Cool)</t>
        </is>
      </c>
      <c r="P112" s="6" t="inlineStr">
        <is>
          <t>Sandy Loam</t>
        </is>
      </c>
      <c r="Q112" s="6" t="inlineStr">
        <is>
          <t>Flat / Lowland</t>
        </is>
      </c>
      <c r="R112" s="9" t="n">
        <v>30</v>
      </c>
      <c r="S112" s="6" t="inlineStr">
        <is>
          <t>—</t>
        </is>
      </c>
      <c r="T112" s="10" t="n">
        <v>377.16</v>
      </c>
      <c r="U112" s="10" t="n">
        <v>6.17</v>
      </c>
      <c r="V112" s="10" t="n">
        <v>67.04000000000001</v>
      </c>
      <c r="W112" s="10" t="n">
        <v>105</v>
      </c>
      <c r="X112" s="10" t="n"/>
      <c r="Y112" s="10" t="n"/>
      <c r="Z112" s="11" t="n"/>
      <c r="AA112" s="12" t="inlineStr">
        <is>
          <t>Transplanting (Pindot) or Direct Seeding (Pinaghandaan)</t>
        </is>
      </c>
      <c r="AB112" s="12" t="inlineStr">
        <is>
          <t>Conventional Tillage: 2 plowings + 2 harrowings; soil workable when moist</t>
        </is>
      </c>
      <c r="AC112" s="12" t="inlineStr">
        <is>
          <t>Intermittent irrigation (Alternate Wetting and Drying — AWD); moderate retention</t>
        </is>
      </c>
    </row>
    <row r="113" ht="21.75" customHeight="1" s="101">
      <c r="A113" s="13" t="inlineStr">
        <is>
          <t>Palay</t>
        </is>
      </c>
      <c r="B113" s="13" t="inlineStr">
        <is>
          <t>Mangkasuy</t>
        </is>
      </c>
      <c r="C113" s="13" t="inlineStr">
        <is>
          <t>January</t>
        </is>
      </c>
      <c r="D113" s="13" t="inlineStr">
        <is>
          <t>2018</t>
        </is>
      </c>
      <c r="E113" s="13" t="inlineStr">
        <is>
          <t>DS 2018</t>
        </is>
      </c>
      <c r="F113" s="13" t="inlineStr">
        <is>
          <t>Planting</t>
        </is>
      </c>
      <c r="G113" s="7" t="n">
        <v>1.05</v>
      </c>
      <c r="H113" s="8" t="n">
        <v>24.53</v>
      </c>
      <c r="I113" s="8" t="n">
        <v>17.85</v>
      </c>
      <c r="J113" s="8" t="n">
        <v>31.12</v>
      </c>
      <c r="K113" s="8" t="n">
        <v>80.86</v>
      </c>
      <c r="L113" s="8" t="n">
        <v>98.43000000000001</v>
      </c>
      <c r="M113" s="8" t="n">
        <v>15.71</v>
      </c>
      <c r="N113" s="13" t="inlineStr">
        <is>
          <t>Type I – Tropical Monsoon (PAGASA)</t>
        </is>
      </c>
      <c r="O113" s="13" t="inlineStr">
        <is>
          <t>Dry (Cool)</t>
        </is>
      </c>
      <c r="P113" s="13" t="inlineStr">
        <is>
          <t>Sandy Loam</t>
        </is>
      </c>
      <c r="Q113" s="13" t="inlineStr">
        <is>
          <t>Flat / Lowland</t>
        </is>
      </c>
      <c r="R113" s="14" t="n">
        <v>30</v>
      </c>
      <c r="S113" s="13" t="inlineStr">
        <is>
          <t>Tagamusing River</t>
        </is>
      </c>
      <c r="T113" s="15" t="n">
        <v>802.2</v>
      </c>
      <c r="U113" s="15" t="n">
        <v>2</v>
      </c>
      <c r="V113" s="15" t="n">
        <v>134.2</v>
      </c>
      <c r="W113" s="15" t="n">
        <v>50</v>
      </c>
      <c r="X113" s="15" t="n"/>
      <c r="Y113" s="15" t="n"/>
      <c r="Z113" s="16" t="n"/>
      <c r="AA113" s="17" t="inlineStr">
        <is>
          <t>Transplanting (Pindot) or Direct Seeding (Pinaghandaan)</t>
        </is>
      </c>
      <c r="AB113" s="17" t="inlineStr">
        <is>
          <t>Conventional Tillage: 2 plowings + 2 harrowings; soil workable when moist</t>
        </is>
      </c>
      <c r="AC113" s="17" t="inlineStr">
        <is>
          <t>Intermittent irrigation (Alternate Wetting and Drying — AWD); moderate retention</t>
        </is>
      </c>
    </row>
    <row r="114" ht="21.75" customHeight="1" s="101">
      <c r="A114" s="6" t="inlineStr">
        <is>
          <t>Palay</t>
        </is>
      </c>
      <c r="B114" s="6" t="inlineStr">
        <is>
          <t>San Pablo</t>
        </is>
      </c>
      <c r="C114" s="6" t="inlineStr">
        <is>
          <t>January</t>
        </is>
      </c>
      <c r="D114" s="6" t="inlineStr">
        <is>
          <t>2018</t>
        </is>
      </c>
      <c r="E114" s="6" t="inlineStr">
        <is>
          <t>DS 2018</t>
        </is>
      </c>
      <c r="F114" s="6" t="inlineStr">
        <is>
          <t>Planting</t>
        </is>
      </c>
      <c r="G114" s="7" t="n">
        <v>1.05</v>
      </c>
      <c r="H114" s="8" t="n">
        <v>24.53</v>
      </c>
      <c r="I114" s="8" t="n">
        <v>17.85</v>
      </c>
      <c r="J114" s="8" t="n">
        <v>31.12</v>
      </c>
      <c r="K114" s="8" t="n">
        <v>80.86</v>
      </c>
      <c r="L114" s="8" t="n">
        <v>98.43000000000001</v>
      </c>
      <c r="M114" s="8" t="n">
        <v>15.71</v>
      </c>
      <c r="N114" s="6" t="inlineStr">
        <is>
          <t>Type I – Tropical Monsoon (PAGASA)</t>
        </is>
      </c>
      <c r="O114" s="6" t="inlineStr">
        <is>
          <t>Dry (Cool)</t>
        </is>
      </c>
      <c r="P114" s="6" t="inlineStr">
        <is>
          <t>Sandy Loam</t>
        </is>
      </c>
      <c r="Q114" s="6" t="inlineStr">
        <is>
          <t>Flat / Lowland</t>
        </is>
      </c>
      <c r="R114" s="9" t="n">
        <v>30</v>
      </c>
      <c r="S114" s="6" t="inlineStr">
        <is>
          <t>San Pablo Creek</t>
        </is>
      </c>
      <c r="T114" s="10" t="n">
        <v>215.04</v>
      </c>
      <c r="U114" s="10" t="n">
        <v>2</v>
      </c>
      <c r="V114" s="10" t="n">
        <v>26.4</v>
      </c>
      <c r="W114" s="10" t="n">
        <v>90</v>
      </c>
      <c r="X114" s="10" t="n"/>
      <c r="Y114" s="10" t="n"/>
      <c r="Z114" s="11" t="n"/>
      <c r="AA114" s="12" t="inlineStr">
        <is>
          <t>Transplanting (Pindot) or Direct Seeding (Pinaghandaan)</t>
        </is>
      </c>
      <c r="AB114" s="12" t="inlineStr">
        <is>
          <t>Conventional Tillage: 2 plowings + 2 harrowings; soil workable when moist</t>
        </is>
      </c>
      <c r="AC114" s="12" t="inlineStr">
        <is>
          <t>Intermittent irrigation (Alternate Wetting and Drying — AWD); moderate retention</t>
        </is>
      </c>
    </row>
    <row r="115" ht="21.75" customHeight="1" s="101">
      <c r="A115" s="13" t="inlineStr">
        <is>
          <t>Palay</t>
        </is>
      </c>
      <c r="B115" s="13" t="inlineStr">
        <is>
          <t>Balangobong</t>
        </is>
      </c>
      <c r="C115" s="13" t="inlineStr">
        <is>
          <t>January</t>
        </is>
      </c>
      <c r="D115" s="13" t="inlineStr">
        <is>
          <t>2018</t>
        </is>
      </c>
      <c r="E115" s="13" t="inlineStr">
        <is>
          <t>DS 2018</t>
        </is>
      </c>
      <c r="F115" s="13" t="inlineStr">
        <is>
          <t>Planting</t>
        </is>
      </c>
      <c r="G115" s="7" t="n">
        <v>1.05</v>
      </c>
      <c r="H115" s="8" t="n">
        <v>24.53</v>
      </c>
      <c r="I115" s="8" t="n">
        <v>17.85</v>
      </c>
      <c r="J115" s="8" t="n">
        <v>31.12</v>
      </c>
      <c r="K115" s="8" t="n">
        <v>80.86</v>
      </c>
      <c r="L115" s="8" t="n">
        <v>98.43000000000001</v>
      </c>
      <c r="M115" s="8" t="n">
        <v>15.71</v>
      </c>
      <c r="N115" s="13" t="inlineStr">
        <is>
          <t>Type I – Tropical Monsoon (PAGASA)</t>
        </is>
      </c>
      <c r="O115" s="13" t="inlineStr">
        <is>
          <t>Dry (Cool)</t>
        </is>
      </c>
      <c r="P115" s="13" t="inlineStr">
        <is>
          <t>Silty Clay Loam</t>
        </is>
      </c>
      <c r="Q115" s="13" t="inlineStr">
        <is>
          <t>Flat / Lowland</t>
        </is>
      </c>
      <c r="R115" s="14" t="n">
        <v>30</v>
      </c>
      <c r="S115" s="13" t="inlineStr">
        <is>
          <t>—</t>
        </is>
      </c>
      <c r="T115" s="15" t="n">
        <v>281.4</v>
      </c>
      <c r="U115" s="15" t="n">
        <v>7.44</v>
      </c>
      <c r="V115" s="15" t="n">
        <v>35.32</v>
      </c>
      <c r="W115" s="15" t="n">
        <v>110</v>
      </c>
      <c r="X115" s="15" t="n"/>
      <c r="Y115" s="15" t="n"/>
      <c r="Z115" s="16" t="n"/>
      <c r="AA115" s="17" t="inlineStr">
        <is>
          <t>Transplanting (Pindot) — optimal for clay-loam paddy fields</t>
        </is>
      </c>
      <c r="AB115" s="17" t="inlineStr">
        <is>
          <t>Wet Tillage (Puddling): 2 plowings + thorough harrowing under flooded condition</t>
        </is>
      </c>
      <c r="AC115" s="17" t="inlineStr">
        <is>
          <t>Continuous flooding 2–5 cm depth during vegetative stage; drain 2 weeks before harvest</t>
        </is>
      </c>
    </row>
    <row r="116" ht="21.75" customHeight="1" s="101">
      <c r="A116" s="6" t="inlineStr">
        <is>
          <t>Palay</t>
        </is>
      </c>
      <c r="B116" s="6" t="inlineStr">
        <is>
          <t>San Felipe Central</t>
        </is>
      </c>
      <c r="C116" s="6" t="inlineStr">
        <is>
          <t>January</t>
        </is>
      </c>
      <c r="D116" s="6" t="inlineStr">
        <is>
          <t>2018</t>
        </is>
      </c>
      <c r="E116" s="6" t="inlineStr">
        <is>
          <t>DS 2018</t>
        </is>
      </c>
      <c r="F116" s="6" t="inlineStr">
        <is>
          <t>Planting</t>
        </is>
      </c>
      <c r="G116" s="7" t="n">
        <v>1.05</v>
      </c>
      <c r="H116" s="8" t="n">
        <v>24.53</v>
      </c>
      <c r="I116" s="8" t="n">
        <v>17.85</v>
      </c>
      <c r="J116" s="8" t="n">
        <v>31.12</v>
      </c>
      <c r="K116" s="8" t="n">
        <v>80.86</v>
      </c>
      <c r="L116" s="8" t="n">
        <v>98.43000000000001</v>
      </c>
      <c r="M116" s="8" t="n">
        <v>15.71</v>
      </c>
      <c r="N116" s="6" t="inlineStr">
        <is>
          <t>Type I – Tropical Monsoon (PAGASA)</t>
        </is>
      </c>
      <c r="O116" s="6" t="inlineStr">
        <is>
          <t>Dry (Cool)</t>
        </is>
      </c>
      <c r="P116" s="6" t="inlineStr">
        <is>
          <t>Sandy Loam</t>
        </is>
      </c>
      <c r="Q116" s="6" t="inlineStr">
        <is>
          <t>Flat / Lowland</t>
        </is>
      </c>
      <c r="R116" s="9" t="n">
        <v>30</v>
      </c>
      <c r="S116" s="6" t="inlineStr">
        <is>
          <t>—</t>
        </is>
      </c>
      <c r="T116" s="10" t="n">
        <v>452.76</v>
      </c>
      <c r="U116" s="10" t="n">
        <v>2</v>
      </c>
      <c r="V116" s="10" t="n">
        <v>32.1</v>
      </c>
      <c r="W116" s="10" t="n">
        <v>98</v>
      </c>
      <c r="X116" s="10" t="n"/>
      <c r="Y116" s="10" t="n"/>
      <c r="Z116" s="11" t="n"/>
      <c r="AA116" s="12" t="inlineStr">
        <is>
          <t>Transplanting (Pindot) or Direct Seeding (Pinaghandaan)</t>
        </is>
      </c>
      <c r="AB116" s="12" t="inlineStr">
        <is>
          <t>Conventional Tillage: 2 plowings + 2 harrowings; soil workable when moist</t>
        </is>
      </c>
      <c r="AC116" s="12" t="inlineStr">
        <is>
          <t>Intermittent irrigation (Alternate Wetting and Drying — AWD); moderate retention</t>
        </is>
      </c>
    </row>
    <row r="117" ht="21.75" customHeight="1" s="101">
      <c r="A117" s="13" t="inlineStr">
        <is>
          <t>Palay</t>
        </is>
      </c>
      <c r="B117" s="13" t="inlineStr">
        <is>
          <t>San Felipe Sur</t>
        </is>
      </c>
      <c r="C117" s="13" t="inlineStr">
        <is>
          <t>January</t>
        </is>
      </c>
      <c r="D117" s="13" t="inlineStr">
        <is>
          <t>2018</t>
        </is>
      </c>
      <c r="E117" s="13" t="inlineStr">
        <is>
          <t>DS 2018</t>
        </is>
      </c>
      <c r="F117" s="13" t="inlineStr">
        <is>
          <t>Planting</t>
        </is>
      </c>
      <c r="G117" s="7" t="n">
        <v>1.05</v>
      </c>
      <c r="H117" s="8" t="n">
        <v>24.53</v>
      </c>
      <c r="I117" s="8" t="n">
        <v>17.85</v>
      </c>
      <c r="J117" s="8" t="n">
        <v>31.12</v>
      </c>
      <c r="K117" s="8" t="n">
        <v>80.86</v>
      </c>
      <c r="L117" s="8" t="n">
        <v>98.43000000000001</v>
      </c>
      <c r="M117" s="8" t="n">
        <v>15.71</v>
      </c>
      <c r="N117" s="13" t="inlineStr">
        <is>
          <t>Type I – Tropical Monsoon (PAGASA)</t>
        </is>
      </c>
      <c r="O117" s="13" t="inlineStr">
        <is>
          <t>Dry (Cool)</t>
        </is>
      </c>
      <c r="P117" s="13" t="inlineStr">
        <is>
          <t>Sandy Loam</t>
        </is>
      </c>
      <c r="Q117" s="13" t="inlineStr">
        <is>
          <t>Flat / Lowland</t>
        </is>
      </c>
      <c r="R117" s="14" t="n">
        <v>30</v>
      </c>
      <c r="S117" s="13" t="inlineStr">
        <is>
          <t>Tagamusing River</t>
        </is>
      </c>
      <c r="T117" s="15" t="n">
        <v>504</v>
      </c>
      <c r="U117" s="15" t="n">
        <v>2</v>
      </c>
      <c r="V117" s="15" t="n">
        <v>32.1</v>
      </c>
      <c r="W117" s="15" t="n">
        <v>115</v>
      </c>
      <c r="X117" s="15" t="n"/>
      <c r="Y117" s="15" t="n"/>
      <c r="Z117" s="16" t="n"/>
      <c r="AA117" s="17" t="inlineStr">
        <is>
          <t>Transplanting (Pindot) or Direct Seeding (Pinaghandaan)</t>
        </is>
      </c>
      <c r="AB117" s="17" t="inlineStr">
        <is>
          <t>Conventional Tillage: 2 plowings + 2 harrowings; soil workable when moist</t>
        </is>
      </c>
      <c r="AC117" s="17" t="inlineStr">
        <is>
          <t>Intermittent irrigation (Alternate Wetting and Drying — AWD); moderate retention</t>
        </is>
      </c>
    </row>
    <row r="118" ht="21.75" customHeight="1" s="101">
      <c r="A118" s="6" t="inlineStr">
        <is>
          <t>Palay</t>
        </is>
      </c>
      <c r="B118" s="6" t="inlineStr">
        <is>
          <t>Pasileng Sur</t>
        </is>
      </c>
      <c r="C118" s="6" t="inlineStr">
        <is>
          <t>January</t>
        </is>
      </c>
      <c r="D118" s="6" t="inlineStr">
        <is>
          <t>2018</t>
        </is>
      </c>
      <c r="E118" s="6" t="inlineStr">
        <is>
          <t>DS 2018</t>
        </is>
      </c>
      <c r="F118" s="6" t="inlineStr">
        <is>
          <t>Planting</t>
        </is>
      </c>
      <c r="G118" s="7" t="n">
        <v>1.05</v>
      </c>
      <c r="H118" s="8" t="n">
        <v>24.53</v>
      </c>
      <c r="I118" s="8" t="n">
        <v>17.85</v>
      </c>
      <c r="J118" s="8" t="n">
        <v>31.12</v>
      </c>
      <c r="K118" s="8" t="n">
        <v>80.86</v>
      </c>
      <c r="L118" s="8" t="n">
        <v>98.43000000000001</v>
      </c>
      <c r="M118" s="8" t="n">
        <v>15.71</v>
      </c>
      <c r="N118" s="6" t="inlineStr">
        <is>
          <t>Type I – Tropical Monsoon (PAGASA)</t>
        </is>
      </c>
      <c r="O118" s="6" t="inlineStr">
        <is>
          <t>Dry (Cool)</t>
        </is>
      </c>
      <c r="P118" s="6" t="inlineStr">
        <is>
          <t>Sandy Loam</t>
        </is>
      </c>
      <c r="Q118" s="6" t="inlineStr">
        <is>
          <t>Flat / Lowland</t>
        </is>
      </c>
      <c r="R118" s="9" t="n">
        <v>30</v>
      </c>
      <c r="S118" s="6" t="inlineStr">
        <is>
          <t>Tagamusing River</t>
        </is>
      </c>
      <c r="T118" s="10" t="n">
        <v>414.96</v>
      </c>
      <c r="U118" s="10" t="n">
        <v>2</v>
      </c>
      <c r="V118" s="10" t="n">
        <v>32.1</v>
      </c>
      <c r="W118" s="10" t="n">
        <v>119</v>
      </c>
      <c r="X118" s="10" t="n"/>
      <c r="Y118" s="10" t="n"/>
      <c r="Z118" s="11" t="n"/>
      <c r="AA118" s="12" t="inlineStr">
        <is>
          <t>Transplanting (Pindot) or Direct Seeding (Pinaghandaan)</t>
        </is>
      </c>
      <c r="AB118" s="12" t="inlineStr">
        <is>
          <t>Conventional Tillage: 2 plowings + 2 harrowings; soil workable when moist</t>
        </is>
      </c>
      <c r="AC118" s="12" t="inlineStr">
        <is>
          <t>Intermittent irrigation (Alternate Wetting and Drying — AWD); moderate retention</t>
        </is>
      </c>
    </row>
    <row r="119" ht="21.75" customHeight="1" s="101">
      <c r="A119" s="13" t="inlineStr">
        <is>
          <t>Palay</t>
        </is>
      </c>
      <c r="B119" s="13" t="inlineStr">
        <is>
          <t>Santiago</t>
        </is>
      </c>
      <c r="C119" s="13" t="inlineStr">
        <is>
          <t>January</t>
        </is>
      </c>
      <c r="D119" s="13" t="inlineStr">
        <is>
          <t>2018</t>
        </is>
      </c>
      <c r="E119" s="13" t="inlineStr">
        <is>
          <t>DS 2018</t>
        </is>
      </c>
      <c r="F119" s="13" t="inlineStr">
        <is>
          <t>Planting</t>
        </is>
      </c>
      <c r="G119" s="7" t="n">
        <v>1.05</v>
      </c>
      <c r="H119" s="8" t="n">
        <v>24.53</v>
      </c>
      <c r="I119" s="8" t="n">
        <v>17.85</v>
      </c>
      <c r="J119" s="8" t="n">
        <v>31.12</v>
      </c>
      <c r="K119" s="8" t="n">
        <v>80.86</v>
      </c>
      <c r="L119" s="8" t="n">
        <v>98.43000000000001</v>
      </c>
      <c r="M119" s="8" t="n">
        <v>15.71</v>
      </c>
      <c r="N119" s="13" t="inlineStr">
        <is>
          <t>Type I – Tropical Monsoon (PAGASA)</t>
        </is>
      </c>
      <c r="O119" s="13" t="inlineStr">
        <is>
          <t>Dry (Cool)</t>
        </is>
      </c>
      <c r="P119" s="13" t="inlineStr">
        <is>
          <t>Silty Clay Loam</t>
        </is>
      </c>
      <c r="Q119" s="13" t="inlineStr">
        <is>
          <t>Flat / Lowland</t>
        </is>
      </c>
      <c r="R119" s="14" t="n">
        <v>30</v>
      </c>
      <c r="S119" s="13" t="inlineStr">
        <is>
          <t>—</t>
        </is>
      </c>
      <c r="T119" s="15" t="n">
        <v>283.08</v>
      </c>
      <c r="U119" s="15" t="n">
        <v>2</v>
      </c>
      <c r="V119" s="15" t="n">
        <v>105.76</v>
      </c>
      <c r="W119" s="15" t="n">
        <v>18</v>
      </c>
      <c r="X119" s="15" t="n"/>
      <c r="Y119" s="15" t="n"/>
      <c r="Z119" s="16" t="n"/>
      <c r="AA119" s="17" t="inlineStr">
        <is>
          <t>Transplanting (Pindot) — optimal for clay-loam paddy fields</t>
        </is>
      </c>
      <c r="AB119" s="17" t="inlineStr">
        <is>
          <t>Wet Tillage (Puddling): 2 plowings + thorough harrowing under flooded condition</t>
        </is>
      </c>
      <c r="AC119" s="17" t="inlineStr">
        <is>
          <t>Continuous flooding 2–5 cm depth during vegetative stage; drain 2 weeks before harvest</t>
        </is>
      </c>
    </row>
    <row r="120" ht="21.75" customHeight="1" s="101">
      <c r="A120" s="6" t="inlineStr">
        <is>
          <t>Palay</t>
        </is>
      </c>
      <c r="B120" s="6" t="inlineStr">
        <is>
          <t>Moreno</t>
        </is>
      </c>
      <c r="C120" s="6" t="inlineStr">
        <is>
          <t>January</t>
        </is>
      </c>
      <c r="D120" s="6" t="inlineStr">
        <is>
          <t>2018</t>
        </is>
      </c>
      <c r="E120" s="6" t="inlineStr">
        <is>
          <t>DS 2018</t>
        </is>
      </c>
      <c r="F120" s="6" t="inlineStr">
        <is>
          <t>Planting</t>
        </is>
      </c>
      <c r="G120" s="7" t="n">
        <v>1.05</v>
      </c>
      <c r="H120" s="8" t="n">
        <v>24.53</v>
      </c>
      <c r="I120" s="8" t="n">
        <v>17.85</v>
      </c>
      <c r="J120" s="8" t="n">
        <v>31.12</v>
      </c>
      <c r="K120" s="8" t="n">
        <v>80.86</v>
      </c>
      <c r="L120" s="8" t="n">
        <v>98.43000000000001</v>
      </c>
      <c r="M120" s="8" t="n">
        <v>15.71</v>
      </c>
      <c r="N120" s="6" t="inlineStr">
        <is>
          <t>Type I – Tropical Monsoon (PAGASA)</t>
        </is>
      </c>
      <c r="O120" s="6" t="inlineStr">
        <is>
          <t>Dry (Cool)</t>
        </is>
      </c>
      <c r="P120" s="6" t="inlineStr">
        <is>
          <t>Sandy Loam</t>
        </is>
      </c>
      <c r="Q120" s="6" t="inlineStr">
        <is>
          <t>Moderately Sloping / Highland</t>
        </is>
      </c>
      <c r="R120" s="9" t="n">
        <v>90</v>
      </c>
      <c r="S120" s="6" t="inlineStr">
        <is>
          <t>Alibeng River</t>
        </is>
      </c>
      <c r="T120" s="10" t="n">
        <v>641.76</v>
      </c>
      <c r="U120" s="10" t="n">
        <v>26.19</v>
      </c>
      <c r="V120" s="10" t="n">
        <v>135.56</v>
      </c>
      <c r="W120" s="10" t="n">
        <v>16.56</v>
      </c>
      <c r="X120" s="10" t="n"/>
      <c r="Y120" s="10" t="n"/>
      <c r="Z120" s="11" t="n"/>
      <c r="AA120" s="12" t="inlineStr">
        <is>
          <t>Transplanting (Pindot) or Direct Seeding (Pinaghandaan)</t>
        </is>
      </c>
      <c r="AB120" s="12" t="inlineStr">
        <is>
          <t>Conventional Tillage: 2 plowings + 2 harrowings; soil workable when moist</t>
        </is>
      </c>
      <c r="AC120" s="12" t="inlineStr">
        <is>
          <t>Intermittent irrigation (Alternate Wetting and Drying — AWD); moderate retention; terrace or bund-assisted water retention essential on slopes</t>
        </is>
      </c>
    </row>
    <row r="121" ht="21.75" customHeight="1" s="101">
      <c r="A121" s="13" t="inlineStr">
        <is>
          <t>Palay</t>
        </is>
      </c>
      <c r="B121" s="13" t="inlineStr">
        <is>
          <t>Camanggaan</t>
        </is>
      </c>
      <c r="C121" s="13" t="inlineStr">
        <is>
          <t>January</t>
        </is>
      </c>
      <c r="D121" s="13" t="inlineStr">
        <is>
          <t>2018</t>
        </is>
      </c>
      <c r="E121" s="13" t="inlineStr">
        <is>
          <t>DS 2018</t>
        </is>
      </c>
      <c r="F121" s="13" t="inlineStr">
        <is>
          <t>Planting</t>
        </is>
      </c>
      <c r="G121" s="7" t="n">
        <v>1.05</v>
      </c>
      <c r="H121" s="8" t="n">
        <v>24.53</v>
      </c>
      <c r="I121" s="8" t="n">
        <v>17.85</v>
      </c>
      <c r="J121" s="8" t="n">
        <v>31.12</v>
      </c>
      <c r="K121" s="8" t="n">
        <v>80.86</v>
      </c>
      <c r="L121" s="8" t="n">
        <v>98.43000000000001</v>
      </c>
      <c r="M121" s="8" t="n">
        <v>15.71</v>
      </c>
      <c r="N121" s="13" t="inlineStr">
        <is>
          <t>Type I – Tropical Monsoon (PAGASA)</t>
        </is>
      </c>
      <c r="O121" s="13" t="inlineStr">
        <is>
          <t>Dry (Cool)</t>
        </is>
      </c>
      <c r="P121" s="13" t="inlineStr">
        <is>
          <t>Sandy Loam</t>
        </is>
      </c>
      <c r="Q121" s="13" t="inlineStr">
        <is>
          <t>Flat / Lowland</t>
        </is>
      </c>
      <c r="R121" s="14" t="n">
        <v>30</v>
      </c>
      <c r="S121" s="13" t="inlineStr">
        <is>
          <t>—</t>
        </is>
      </c>
      <c r="T121" s="15" t="n">
        <v>244.44</v>
      </c>
      <c r="U121" s="15" t="n">
        <v>2</v>
      </c>
      <c r="V121" s="15" t="n">
        <v>87.36</v>
      </c>
      <c r="W121" s="15" t="n">
        <v>22.63</v>
      </c>
      <c r="X121" s="15" t="n"/>
      <c r="Y121" s="15" t="n"/>
      <c r="Z121" s="16" t="n"/>
      <c r="AA121" s="17" t="inlineStr">
        <is>
          <t>Transplanting (Pindot) or Direct Seeding (Pinaghandaan)</t>
        </is>
      </c>
      <c r="AB121" s="17" t="inlineStr">
        <is>
          <t>Conventional Tillage: 2 plowings + 2 harrowings; soil workable when moist</t>
        </is>
      </c>
      <c r="AC121" s="17" t="inlineStr">
        <is>
          <t>Intermittent irrigation (Alternate Wetting and Drying — AWD); moderate retention</t>
        </is>
      </c>
    </row>
    <row r="122" ht="21.75" customHeight="1" s="101">
      <c r="A122" s="6" t="inlineStr">
        <is>
          <t>Palay</t>
        </is>
      </c>
      <c r="B122" s="6" t="inlineStr">
        <is>
          <t>Bugayong</t>
        </is>
      </c>
      <c r="C122" s="6" t="inlineStr">
        <is>
          <t>January</t>
        </is>
      </c>
      <c r="D122" s="6" t="inlineStr">
        <is>
          <t>2018</t>
        </is>
      </c>
      <c r="E122" s="6" t="inlineStr">
        <is>
          <t>DS 2018</t>
        </is>
      </c>
      <c r="F122" s="6" t="inlineStr">
        <is>
          <t>Planting</t>
        </is>
      </c>
      <c r="G122" s="7" t="n">
        <v>1.05</v>
      </c>
      <c r="H122" s="8" t="n">
        <v>24.53</v>
      </c>
      <c r="I122" s="8" t="n">
        <v>17.85</v>
      </c>
      <c r="J122" s="8" t="n">
        <v>31.12</v>
      </c>
      <c r="K122" s="8" t="n">
        <v>80.86</v>
      </c>
      <c r="L122" s="8" t="n">
        <v>98.43000000000001</v>
      </c>
      <c r="M122" s="8" t="n">
        <v>15.71</v>
      </c>
      <c r="N122" s="6" t="inlineStr">
        <is>
          <t>Type I – Tropical Monsoon (PAGASA)</t>
        </is>
      </c>
      <c r="O122" s="6" t="inlineStr">
        <is>
          <t>Dry (Cool)</t>
        </is>
      </c>
      <c r="P122" s="6" t="inlineStr">
        <is>
          <t>Sandy Loam / Silty Clay Loam</t>
        </is>
      </c>
      <c r="Q122" s="6" t="inlineStr">
        <is>
          <t>Flat / Lowland</t>
        </is>
      </c>
      <c r="R122" s="9" t="n">
        <v>30</v>
      </c>
      <c r="S122" s="6" t="inlineStr">
        <is>
          <t>Aloragat River</t>
        </is>
      </c>
      <c r="T122" s="10" t="n">
        <v>346.08</v>
      </c>
      <c r="U122" s="10" t="n">
        <v>2</v>
      </c>
      <c r="V122" s="10" t="n">
        <v>41.02</v>
      </c>
      <c r="W122" s="10" t="n">
        <v>12.25</v>
      </c>
      <c r="X122" s="10" t="n"/>
      <c r="Y122" s="10" t="n"/>
      <c r="Z122" s="11" t="n"/>
      <c r="AA122" s="12" t="inlineStr">
        <is>
          <t>Transplanting (Pindot) — recommended; Direct Seeding possible in dry season</t>
        </is>
      </c>
      <c r="AB122" s="12" t="inlineStr">
        <is>
          <t>Conventional Tillage: 2 plowings + harrowing; puddle thoroughly for transplanting</t>
        </is>
      </c>
      <c r="AC122" s="12" t="inlineStr">
        <is>
          <t>Intermittent to continuous flooding; manage according to drainage section present</t>
        </is>
      </c>
    </row>
    <row r="123" ht="21.75" customHeight="1" s="101">
      <c r="A123" s="13" t="inlineStr">
        <is>
          <t>Palay</t>
        </is>
      </c>
      <c r="B123" s="13" t="inlineStr">
        <is>
          <t>Sta. Maria Norte</t>
        </is>
      </c>
      <c r="C123" s="13" t="inlineStr">
        <is>
          <t>January</t>
        </is>
      </c>
      <c r="D123" s="13" t="inlineStr">
        <is>
          <t>2018</t>
        </is>
      </c>
      <c r="E123" s="13" t="inlineStr">
        <is>
          <t>DS 2018</t>
        </is>
      </c>
      <c r="F123" s="13" t="inlineStr">
        <is>
          <t>Planting</t>
        </is>
      </c>
      <c r="G123" s="7" t="n">
        <v>1.05</v>
      </c>
      <c r="H123" s="8" t="n">
        <v>24.53</v>
      </c>
      <c r="I123" s="8" t="n">
        <v>17.85</v>
      </c>
      <c r="J123" s="8" t="n">
        <v>31.12</v>
      </c>
      <c r="K123" s="8" t="n">
        <v>80.86</v>
      </c>
      <c r="L123" s="8" t="n">
        <v>98.43000000000001</v>
      </c>
      <c r="M123" s="8" t="n">
        <v>15.71</v>
      </c>
      <c r="N123" s="13" t="inlineStr">
        <is>
          <t>Type I – Tropical Monsoon (PAGASA)</t>
        </is>
      </c>
      <c r="O123" s="13" t="inlineStr">
        <is>
          <t>Dry (Cool)</t>
        </is>
      </c>
      <c r="P123" s="13" t="inlineStr">
        <is>
          <t>Sandy Loam</t>
        </is>
      </c>
      <c r="Q123" s="13" t="inlineStr">
        <is>
          <t>Flat / Lowland</t>
        </is>
      </c>
      <c r="R123" s="14" t="n">
        <v>30</v>
      </c>
      <c r="S123" s="13" t="inlineStr">
        <is>
          <t>Tagamusing River</t>
        </is>
      </c>
      <c r="T123" s="15" t="n">
        <v>157.08</v>
      </c>
      <c r="U123" s="15" t="n">
        <v>2</v>
      </c>
      <c r="V123" s="15" t="n">
        <v>32.1</v>
      </c>
      <c r="W123" s="15" t="n">
        <v>40.47</v>
      </c>
      <c r="X123" s="15" t="n"/>
      <c r="Y123" s="15" t="n"/>
      <c r="Z123" s="16" t="n"/>
      <c r="AA123" s="17" t="inlineStr">
        <is>
          <t>Transplanting (Pindot) or Direct Seeding (Pinaghandaan)</t>
        </is>
      </c>
      <c r="AB123" s="17" t="inlineStr">
        <is>
          <t>Conventional Tillage: 2 plowings + 2 harrowings; soil workable when moist</t>
        </is>
      </c>
      <c r="AC123" s="17" t="inlineStr">
        <is>
          <t>Intermittent irrigation (Alternate Wetting and Drying — AWD); moderate retention</t>
        </is>
      </c>
    </row>
    <row r="124" ht="21.75" customHeight="1" s="101">
      <c r="A124" s="6" t="inlineStr">
        <is>
          <t>Palay</t>
        </is>
      </c>
      <c r="B124" s="6" t="inlineStr">
        <is>
          <t>Pasileng Norte</t>
        </is>
      </c>
      <c r="C124" s="6" t="inlineStr">
        <is>
          <t>January</t>
        </is>
      </c>
      <c r="D124" s="6" t="inlineStr">
        <is>
          <t>2019</t>
        </is>
      </c>
      <c r="E124" s="6" t="inlineStr">
        <is>
          <t>DS 2019</t>
        </is>
      </c>
      <c r="F124" s="6" t="inlineStr">
        <is>
          <t>Planting</t>
        </is>
      </c>
      <c r="G124" s="7" t="n">
        <v>1.35</v>
      </c>
      <c r="H124" s="8" t="n">
        <v>24.09</v>
      </c>
      <c r="I124" s="8" t="n">
        <v>15.4</v>
      </c>
      <c r="J124" s="8" t="n">
        <v>31.54</v>
      </c>
      <c r="K124" s="8" t="n">
        <v>75.31</v>
      </c>
      <c r="L124" s="8" t="n">
        <v>98.76000000000001</v>
      </c>
      <c r="M124" s="8" t="n">
        <v>18.07</v>
      </c>
      <c r="N124" s="6" t="inlineStr">
        <is>
          <t>Type I – Tropical Monsoon (PAGASA)</t>
        </is>
      </c>
      <c r="O124" s="6" t="inlineStr">
        <is>
          <t>Dry (Cool)</t>
        </is>
      </c>
      <c r="P124" s="6" t="inlineStr">
        <is>
          <t>Sandy Loam</t>
        </is>
      </c>
      <c r="Q124" s="6" t="inlineStr">
        <is>
          <t>Flat / Lowland</t>
        </is>
      </c>
      <c r="R124" s="9" t="n">
        <v>30</v>
      </c>
      <c r="S124" s="6" t="inlineStr">
        <is>
          <t>Tagamusing River</t>
        </is>
      </c>
      <c r="T124" s="10" t="n">
        <v>140.28</v>
      </c>
      <c r="U124" s="10" t="n">
        <v>1.85</v>
      </c>
      <c r="V124" s="10" t="n">
        <v>20.7</v>
      </c>
      <c r="W124" s="10" t="n">
        <v>65</v>
      </c>
      <c r="X124" s="10" t="n"/>
      <c r="Y124" s="10" t="n"/>
      <c r="Z124" s="11" t="n"/>
      <c r="AA124" s="12" t="inlineStr">
        <is>
          <t>Transplanting (Pindot) or Direct Seeding (Pinaghandaan)</t>
        </is>
      </c>
      <c r="AB124" s="12" t="inlineStr">
        <is>
          <t>Conventional Tillage: 2 plowings + 2 harrowings; soil workable when moist</t>
        </is>
      </c>
      <c r="AC124" s="12" t="inlineStr">
        <is>
          <t>Intermittent irrigation (Alternate Wetting and Drying — AWD); moderate retention</t>
        </is>
      </c>
    </row>
    <row r="125" ht="21.75" customHeight="1" s="101">
      <c r="A125" s="13" t="inlineStr">
        <is>
          <t>Palay</t>
        </is>
      </c>
      <c r="B125" s="13" t="inlineStr">
        <is>
          <t>Tabuyoc</t>
        </is>
      </c>
      <c r="C125" s="13" t="inlineStr">
        <is>
          <t>January</t>
        </is>
      </c>
      <c r="D125" s="13" t="inlineStr">
        <is>
          <t>2019</t>
        </is>
      </c>
      <c r="E125" s="13" t="inlineStr">
        <is>
          <t>DS 2019</t>
        </is>
      </c>
      <c r="F125" s="13" t="inlineStr">
        <is>
          <t>Planting</t>
        </is>
      </c>
      <c r="G125" s="7" t="n">
        <v>1.35</v>
      </c>
      <c r="H125" s="8" t="n">
        <v>24.09</v>
      </c>
      <c r="I125" s="8" t="n">
        <v>15.4</v>
      </c>
      <c r="J125" s="8" t="n">
        <v>31.54</v>
      </c>
      <c r="K125" s="8" t="n">
        <v>75.31</v>
      </c>
      <c r="L125" s="8" t="n">
        <v>98.76000000000001</v>
      </c>
      <c r="M125" s="8" t="n">
        <v>18.07</v>
      </c>
      <c r="N125" s="13" t="inlineStr">
        <is>
          <t>Type I – Tropical Monsoon (PAGASA)</t>
        </is>
      </c>
      <c r="O125" s="13" t="inlineStr">
        <is>
          <t>Dry (Cool)</t>
        </is>
      </c>
      <c r="P125" s="13" t="inlineStr">
        <is>
          <t>Silty Clay Loam</t>
        </is>
      </c>
      <c r="Q125" s="13" t="inlineStr">
        <is>
          <t>Flat / Lowland</t>
        </is>
      </c>
      <c r="R125" s="14" t="n">
        <v>30</v>
      </c>
      <c r="S125" s="13" t="inlineStr">
        <is>
          <t>—</t>
        </is>
      </c>
      <c r="T125" s="15" t="n">
        <v>277.2</v>
      </c>
      <c r="U125" s="15" t="n">
        <v>1.55</v>
      </c>
      <c r="V125" s="15" t="n">
        <v>55.64</v>
      </c>
      <c r="W125" s="15" t="n">
        <v>110</v>
      </c>
      <c r="X125" s="15" t="n"/>
      <c r="Y125" s="15" t="n"/>
      <c r="Z125" s="16" t="n"/>
      <c r="AA125" s="17" t="inlineStr">
        <is>
          <t>Transplanting (Pindot) — optimal for clay-loam paddy fields</t>
        </is>
      </c>
      <c r="AB125" s="17" t="inlineStr">
        <is>
          <t>Wet Tillage (Puddling): 2 plowings + thorough harrowing under flooded condition</t>
        </is>
      </c>
      <c r="AC125" s="17" t="inlineStr">
        <is>
          <t>Continuous flooding 2–5 cm depth during vegetative stage; drain 2 weeks before harvest</t>
        </is>
      </c>
    </row>
    <row r="126" ht="21.75" customHeight="1" s="101">
      <c r="A126" s="6" t="inlineStr">
        <is>
          <t>Palay</t>
        </is>
      </c>
      <c r="B126" s="6" t="inlineStr">
        <is>
          <t>Sumabnit</t>
        </is>
      </c>
      <c r="C126" s="6" t="inlineStr">
        <is>
          <t>January</t>
        </is>
      </c>
      <c r="D126" s="6" t="inlineStr">
        <is>
          <t>2019</t>
        </is>
      </c>
      <c r="E126" s="6" t="inlineStr">
        <is>
          <t>DS 2019</t>
        </is>
      </c>
      <c r="F126" s="6" t="inlineStr">
        <is>
          <t>Planting</t>
        </is>
      </c>
      <c r="G126" s="7" t="n">
        <v>1.35</v>
      </c>
      <c r="H126" s="8" t="n">
        <v>24.09</v>
      </c>
      <c r="I126" s="8" t="n">
        <v>15.4</v>
      </c>
      <c r="J126" s="8" t="n">
        <v>31.54</v>
      </c>
      <c r="K126" s="8" t="n">
        <v>75.31</v>
      </c>
      <c r="L126" s="8" t="n">
        <v>98.76000000000001</v>
      </c>
      <c r="M126" s="8" t="n">
        <v>18.07</v>
      </c>
      <c r="N126" s="6" t="inlineStr">
        <is>
          <t>Type I – Tropical Monsoon (PAGASA)</t>
        </is>
      </c>
      <c r="O126" s="6" t="inlineStr">
        <is>
          <t>Dry (Cool)</t>
        </is>
      </c>
      <c r="P126" s="6" t="inlineStr">
        <is>
          <t>Silty Clay Loam / Fine Sandy Loam</t>
        </is>
      </c>
      <c r="Q126" s="6" t="inlineStr">
        <is>
          <t>Flat / Lowland</t>
        </is>
      </c>
      <c r="R126" s="9" t="n">
        <v>30</v>
      </c>
      <c r="S126" s="6" t="inlineStr">
        <is>
          <t>Tagamusing River</t>
        </is>
      </c>
      <c r="T126" s="10" t="n">
        <v>406.56</v>
      </c>
      <c r="U126" s="10" t="n">
        <v>1.45</v>
      </c>
      <c r="V126" s="10" t="n">
        <v>81.66</v>
      </c>
      <c r="W126" s="10" t="n">
        <v>60</v>
      </c>
      <c r="X126" s="10" t="n"/>
      <c r="Y126" s="10" t="n"/>
      <c r="Z126" s="11" t="n"/>
      <c r="AA126" s="12" t="inlineStr">
        <is>
          <t>Transplanting (Pindot)</t>
        </is>
      </c>
      <c r="AB126" s="12" t="inlineStr">
        <is>
          <t>Minimum Tillage (avoid compaction; sandy structure fragile)</t>
        </is>
      </c>
      <c r="AC126" s="12" t="inlineStr">
        <is>
          <t>Continuous flooding or frequent irrigation; high percolation risk</t>
        </is>
      </c>
    </row>
    <row r="127" ht="21.75" customHeight="1" s="101">
      <c r="A127" s="13" t="inlineStr">
        <is>
          <t>Palay</t>
        </is>
      </c>
      <c r="B127" s="13" t="inlineStr">
        <is>
          <t>Capas</t>
        </is>
      </c>
      <c r="C127" s="13" t="inlineStr">
        <is>
          <t>January</t>
        </is>
      </c>
      <c r="D127" s="13" t="inlineStr">
        <is>
          <t>2019</t>
        </is>
      </c>
      <c r="E127" s="13" t="inlineStr">
        <is>
          <t>DS 2019</t>
        </is>
      </c>
      <c r="F127" s="13" t="inlineStr">
        <is>
          <t>Planting</t>
        </is>
      </c>
      <c r="G127" s="7" t="n">
        <v>1.35</v>
      </c>
      <c r="H127" s="8" t="n">
        <v>24.09</v>
      </c>
      <c r="I127" s="8" t="n">
        <v>15.4</v>
      </c>
      <c r="J127" s="8" t="n">
        <v>31.54</v>
      </c>
      <c r="K127" s="8" t="n">
        <v>75.31</v>
      </c>
      <c r="L127" s="8" t="n">
        <v>98.76000000000001</v>
      </c>
      <c r="M127" s="8" t="n">
        <v>18.07</v>
      </c>
      <c r="N127" s="13" t="inlineStr">
        <is>
          <t>Type I – Tropical Monsoon (PAGASA)</t>
        </is>
      </c>
      <c r="O127" s="13" t="inlineStr">
        <is>
          <t>Dry (Cool)</t>
        </is>
      </c>
      <c r="P127" s="13" t="inlineStr">
        <is>
          <t>Sandy Loam</t>
        </is>
      </c>
      <c r="Q127" s="13" t="inlineStr">
        <is>
          <t>Flat / Lowland</t>
        </is>
      </c>
      <c r="R127" s="14" t="n">
        <v>30</v>
      </c>
      <c r="S127" s="13" t="inlineStr">
        <is>
          <t>—</t>
        </is>
      </c>
      <c r="T127" s="15" t="n">
        <v>377.16</v>
      </c>
      <c r="U127" s="15" t="n">
        <v>6.28</v>
      </c>
      <c r="V127" s="15" t="n">
        <v>96.84</v>
      </c>
      <c r="W127" s="15" t="n">
        <v>105</v>
      </c>
      <c r="X127" s="15" t="n"/>
      <c r="Y127" s="15" t="n"/>
      <c r="Z127" s="16" t="n"/>
      <c r="AA127" s="17" t="inlineStr">
        <is>
          <t>Transplanting (Pindot) or Direct Seeding (Pinaghandaan)</t>
        </is>
      </c>
      <c r="AB127" s="17" t="inlineStr">
        <is>
          <t>Conventional Tillage: 2 plowings + 2 harrowings; soil workable when moist</t>
        </is>
      </c>
      <c r="AC127" s="17" t="inlineStr">
        <is>
          <t>Intermittent irrigation (Alternate Wetting and Drying — AWD); moderate retention</t>
        </is>
      </c>
    </row>
    <row r="128" ht="21.75" customHeight="1" s="101">
      <c r="A128" s="6" t="inlineStr">
        <is>
          <t>Palay</t>
        </is>
      </c>
      <c r="B128" s="6" t="inlineStr">
        <is>
          <t>Mangkasuy</t>
        </is>
      </c>
      <c r="C128" s="6" t="inlineStr">
        <is>
          <t>January</t>
        </is>
      </c>
      <c r="D128" s="6" t="inlineStr">
        <is>
          <t>2019</t>
        </is>
      </c>
      <c r="E128" s="6" t="inlineStr">
        <is>
          <t>DS 2019</t>
        </is>
      </c>
      <c r="F128" s="6" t="inlineStr">
        <is>
          <t>Planting</t>
        </is>
      </c>
      <c r="G128" s="7" t="n">
        <v>1.35</v>
      </c>
      <c r="H128" s="8" t="n">
        <v>24.09</v>
      </c>
      <c r="I128" s="8" t="n">
        <v>15.4</v>
      </c>
      <c r="J128" s="8" t="n">
        <v>31.54</v>
      </c>
      <c r="K128" s="8" t="n">
        <v>75.31</v>
      </c>
      <c r="L128" s="8" t="n">
        <v>98.76000000000001</v>
      </c>
      <c r="M128" s="8" t="n">
        <v>18.07</v>
      </c>
      <c r="N128" s="6" t="inlineStr">
        <is>
          <t>Type I – Tropical Monsoon (PAGASA)</t>
        </is>
      </c>
      <c r="O128" s="6" t="inlineStr">
        <is>
          <t>Dry (Cool)</t>
        </is>
      </c>
      <c r="P128" s="6" t="inlineStr">
        <is>
          <t>Sandy Loam</t>
        </is>
      </c>
      <c r="Q128" s="6" t="inlineStr">
        <is>
          <t>Flat / Lowland</t>
        </is>
      </c>
      <c r="R128" s="9" t="n">
        <v>30</v>
      </c>
      <c r="S128" s="6" t="inlineStr">
        <is>
          <t>Tagamusing River</t>
        </is>
      </c>
      <c r="T128" s="10" t="n">
        <v>802.2</v>
      </c>
      <c r="U128" s="10" t="n">
        <v>1.4</v>
      </c>
      <c r="V128" s="10" t="n">
        <v>164</v>
      </c>
      <c r="W128" s="10" t="n">
        <v>50</v>
      </c>
      <c r="X128" s="10" t="n"/>
      <c r="Y128" s="10" t="n"/>
      <c r="Z128" s="11" t="n"/>
      <c r="AA128" s="12" t="inlineStr">
        <is>
          <t>Transplanting (Pindot) or Direct Seeding (Pinaghandaan)</t>
        </is>
      </c>
      <c r="AB128" s="12" t="inlineStr">
        <is>
          <t>Conventional Tillage: 2 plowings + 2 harrowings; soil workable when moist</t>
        </is>
      </c>
      <c r="AC128" s="12" t="inlineStr">
        <is>
          <t>Intermittent irrigation (Alternate Wetting and Drying — AWD); moderate retention</t>
        </is>
      </c>
    </row>
    <row r="129" ht="21.75" customHeight="1" s="101">
      <c r="A129" s="13" t="inlineStr">
        <is>
          <t>Palay</t>
        </is>
      </c>
      <c r="B129" s="13" t="inlineStr">
        <is>
          <t>San Pablo</t>
        </is>
      </c>
      <c r="C129" s="13" t="inlineStr">
        <is>
          <t>January</t>
        </is>
      </c>
      <c r="D129" s="13" t="inlineStr">
        <is>
          <t>2019</t>
        </is>
      </c>
      <c r="E129" s="13" t="inlineStr">
        <is>
          <t>DS 2019</t>
        </is>
      </c>
      <c r="F129" s="13" t="inlineStr">
        <is>
          <t>Planting</t>
        </is>
      </c>
      <c r="G129" s="7" t="n">
        <v>1.35</v>
      </c>
      <c r="H129" s="8" t="n">
        <v>24.09</v>
      </c>
      <c r="I129" s="8" t="n">
        <v>15.4</v>
      </c>
      <c r="J129" s="8" t="n">
        <v>31.54</v>
      </c>
      <c r="K129" s="8" t="n">
        <v>75.31</v>
      </c>
      <c r="L129" s="8" t="n">
        <v>98.76000000000001</v>
      </c>
      <c r="M129" s="8" t="n">
        <v>18.07</v>
      </c>
      <c r="N129" s="13" t="inlineStr">
        <is>
          <t>Type I – Tropical Monsoon (PAGASA)</t>
        </is>
      </c>
      <c r="O129" s="13" t="inlineStr">
        <is>
          <t>Dry (Cool)</t>
        </is>
      </c>
      <c r="P129" s="13" t="inlineStr">
        <is>
          <t>Sandy Loam</t>
        </is>
      </c>
      <c r="Q129" s="13" t="inlineStr">
        <is>
          <t>Flat / Lowland</t>
        </is>
      </c>
      <c r="R129" s="14" t="n">
        <v>30</v>
      </c>
      <c r="S129" s="13" t="inlineStr">
        <is>
          <t>San Pablo Creek</t>
        </is>
      </c>
      <c r="T129" s="15" t="n">
        <v>215.04</v>
      </c>
      <c r="U129" s="15" t="n">
        <v>2</v>
      </c>
      <c r="V129" s="15" t="n">
        <v>32.1</v>
      </c>
      <c r="W129" s="15" t="n">
        <v>90</v>
      </c>
      <c r="X129" s="15" t="n"/>
      <c r="Y129" s="15" t="n"/>
      <c r="Z129" s="16" t="n"/>
      <c r="AA129" s="17" t="inlineStr">
        <is>
          <t>Transplanting (Pindot) or Direct Seeding (Pinaghandaan)</t>
        </is>
      </c>
      <c r="AB129" s="17" t="inlineStr">
        <is>
          <t>Conventional Tillage: 2 plowings + 2 harrowings; soil workable when moist</t>
        </is>
      </c>
      <c r="AC129" s="17" t="inlineStr">
        <is>
          <t>Intermittent irrigation (Alternate Wetting and Drying — AWD); moderate retention</t>
        </is>
      </c>
    </row>
    <row r="130" ht="21.75" customHeight="1" s="101">
      <c r="A130" s="6" t="inlineStr">
        <is>
          <t>Palay</t>
        </is>
      </c>
      <c r="B130" s="6" t="inlineStr">
        <is>
          <t>Balangobong</t>
        </is>
      </c>
      <c r="C130" s="6" t="inlineStr">
        <is>
          <t>January</t>
        </is>
      </c>
      <c r="D130" s="6" t="inlineStr">
        <is>
          <t>2019</t>
        </is>
      </c>
      <c r="E130" s="6" t="inlineStr">
        <is>
          <t>DS 2019</t>
        </is>
      </c>
      <c r="F130" s="6" t="inlineStr">
        <is>
          <t>Planting</t>
        </is>
      </c>
      <c r="G130" s="7" t="n">
        <v>1.35</v>
      </c>
      <c r="H130" s="8" t="n">
        <v>24.09</v>
      </c>
      <c r="I130" s="8" t="n">
        <v>15.4</v>
      </c>
      <c r="J130" s="8" t="n">
        <v>31.54</v>
      </c>
      <c r="K130" s="8" t="n">
        <v>75.31</v>
      </c>
      <c r="L130" s="8" t="n">
        <v>98.76000000000001</v>
      </c>
      <c r="M130" s="8" t="n">
        <v>18.07</v>
      </c>
      <c r="N130" s="6" t="inlineStr">
        <is>
          <t>Type I – Tropical Monsoon (PAGASA)</t>
        </is>
      </c>
      <c r="O130" s="6" t="inlineStr">
        <is>
          <t>Dry (Cool)</t>
        </is>
      </c>
      <c r="P130" s="6" t="inlineStr">
        <is>
          <t>Silty Clay Loam</t>
        </is>
      </c>
      <c r="Q130" s="6" t="inlineStr">
        <is>
          <t>Flat / Lowland</t>
        </is>
      </c>
      <c r="R130" s="9" t="n">
        <v>30</v>
      </c>
      <c r="S130" s="6" t="inlineStr">
        <is>
          <t>—</t>
        </is>
      </c>
      <c r="T130" s="10" t="n">
        <v>281.4</v>
      </c>
      <c r="U130" s="10" t="n">
        <v>1</v>
      </c>
      <c r="V130" s="10" t="n">
        <v>15</v>
      </c>
      <c r="W130" s="10" t="n">
        <v>110</v>
      </c>
      <c r="X130" s="10" t="n"/>
      <c r="Y130" s="10" t="n"/>
      <c r="Z130" s="11" t="n"/>
      <c r="AA130" s="12" t="inlineStr">
        <is>
          <t>Transplanting (Pindot) — optimal for clay-loam paddy fields</t>
        </is>
      </c>
      <c r="AB130" s="12" t="inlineStr">
        <is>
          <t>Wet Tillage (Puddling): 2 plowings + thorough harrowing under flooded condition</t>
        </is>
      </c>
      <c r="AC130" s="12" t="inlineStr">
        <is>
          <t>Continuous flooding 2–5 cm depth during vegetative stage; drain 2 weeks before harvest</t>
        </is>
      </c>
    </row>
    <row r="131" ht="21.75" customHeight="1" s="101">
      <c r="A131" s="13" t="inlineStr">
        <is>
          <t>Palay</t>
        </is>
      </c>
      <c r="B131" s="13" t="inlineStr">
        <is>
          <t>San Felipe Central</t>
        </is>
      </c>
      <c r="C131" s="13" t="inlineStr">
        <is>
          <t>January</t>
        </is>
      </c>
      <c r="D131" s="13" t="inlineStr">
        <is>
          <t>2019</t>
        </is>
      </c>
      <c r="E131" s="13" t="inlineStr">
        <is>
          <t>DS 2019</t>
        </is>
      </c>
      <c r="F131" s="13" t="inlineStr">
        <is>
          <t>Planting</t>
        </is>
      </c>
      <c r="G131" s="7" t="n">
        <v>1.35</v>
      </c>
      <c r="H131" s="8" t="n">
        <v>24.09</v>
      </c>
      <c r="I131" s="8" t="n">
        <v>15.4</v>
      </c>
      <c r="J131" s="8" t="n">
        <v>31.54</v>
      </c>
      <c r="K131" s="8" t="n">
        <v>75.31</v>
      </c>
      <c r="L131" s="8" t="n">
        <v>98.76000000000001</v>
      </c>
      <c r="M131" s="8" t="n">
        <v>18.07</v>
      </c>
      <c r="N131" s="13" t="inlineStr">
        <is>
          <t>Type I – Tropical Monsoon (PAGASA)</t>
        </is>
      </c>
      <c r="O131" s="13" t="inlineStr">
        <is>
          <t>Dry (Cool)</t>
        </is>
      </c>
      <c r="P131" s="13" t="inlineStr">
        <is>
          <t>Sandy Loam</t>
        </is>
      </c>
      <c r="Q131" s="13" t="inlineStr">
        <is>
          <t>Flat / Lowland</t>
        </is>
      </c>
      <c r="R131" s="14" t="n">
        <v>30</v>
      </c>
      <c r="S131" s="13" t="inlineStr">
        <is>
          <t>—</t>
        </is>
      </c>
      <c r="T131" s="15" t="n">
        <v>452.76</v>
      </c>
      <c r="U131" s="15" t="n">
        <v>2</v>
      </c>
      <c r="V131" s="15" t="n">
        <v>32.1</v>
      </c>
      <c r="W131" s="15" t="n">
        <v>98</v>
      </c>
      <c r="X131" s="15" t="n"/>
      <c r="Y131" s="15" t="n"/>
      <c r="Z131" s="16" t="n"/>
      <c r="AA131" s="17" t="inlineStr">
        <is>
          <t>Transplanting (Pindot) or Direct Seeding (Pinaghandaan)</t>
        </is>
      </c>
      <c r="AB131" s="17" t="inlineStr">
        <is>
          <t>Conventional Tillage: 2 plowings + 2 harrowings; soil workable when moist</t>
        </is>
      </c>
      <c r="AC131" s="17" t="inlineStr">
        <is>
          <t>Intermittent irrigation (Alternate Wetting and Drying — AWD); moderate retention</t>
        </is>
      </c>
    </row>
    <row r="132" ht="21.75" customHeight="1" s="101">
      <c r="A132" s="6" t="inlineStr">
        <is>
          <t>Palay</t>
        </is>
      </c>
      <c r="B132" s="6" t="inlineStr">
        <is>
          <t>San Felipe Sur</t>
        </is>
      </c>
      <c r="C132" s="6" t="inlineStr">
        <is>
          <t>January</t>
        </is>
      </c>
      <c r="D132" s="6" t="inlineStr">
        <is>
          <t>2019</t>
        </is>
      </c>
      <c r="E132" s="6" t="inlineStr">
        <is>
          <t>DS 2019</t>
        </is>
      </c>
      <c r="F132" s="6" t="inlineStr">
        <is>
          <t>Planting</t>
        </is>
      </c>
      <c r="G132" s="7" t="n">
        <v>1.35</v>
      </c>
      <c r="H132" s="8" t="n">
        <v>24.09</v>
      </c>
      <c r="I132" s="8" t="n">
        <v>15.4</v>
      </c>
      <c r="J132" s="8" t="n">
        <v>31.54</v>
      </c>
      <c r="K132" s="8" t="n">
        <v>75.31</v>
      </c>
      <c r="L132" s="8" t="n">
        <v>98.76000000000001</v>
      </c>
      <c r="M132" s="8" t="n">
        <v>18.07</v>
      </c>
      <c r="N132" s="6" t="inlineStr">
        <is>
          <t>Type I – Tropical Monsoon (PAGASA)</t>
        </is>
      </c>
      <c r="O132" s="6" t="inlineStr">
        <is>
          <t>Dry (Cool)</t>
        </is>
      </c>
      <c r="P132" s="6" t="inlineStr">
        <is>
          <t>Sandy Loam</t>
        </is>
      </c>
      <c r="Q132" s="6" t="inlineStr">
        <is>
          <t>Flat / Lowland</t>
        </is>
      </c>
      <c r="R132" s="9" t="n">
        <v>30</v>
      </c>
      <c r="S132" s="6" t="inlineStr">
        <is>
          <t>Tagamusing River</t>
        </is>
      </c>
      <c r="T132" s="10" t="n">
        <v>504</v>
      </c>
      <c r="U132" s="10" t="n">
        <v>3.4</v>
      </c>
      <c r="V132" s="10" t="n">
        <v>32.1</v>
      </c>
      <c r="W132" s="10" t="n">
        <v>115</v>
      </c>
      <c r="X132" s="10" t="n"/>
      <c r="Y132" s="10" t="n"/>
      <c r="Z132" s="11" t="n"/>
      <c r="AA132" s="12" t="inlineStr">
        <is>
          <t>Transplanting (Pindot) or Direct Seeding (Pinaghandaan)</t>
        </is>
      </c>
      <c r="AB132" s="12" t="inlineStr">
        <is>
          <t>Conventional Tillage: 2 plowings + 2 harrowings; soil workable when moist</t>
        </is>
      </c>
      <c r="AC132" s="12" t="inlineStr">
        <is>
          <t>Intermittent irrigation (Alternate Wetting and Drying — AWD); moderate retention</t>
        </is>
      </c>
    </row>
    <row r="133" ht="21.75" customHeight="1" s="101">
      <c r="A133" s="13" t="inlineStr">
        <is>
          <t>Palay</t>
        </is>
      </c>
      <c r="B133" s="13" t="inlineStr">
        <is>
          <t>Pasileng Sur</t>
        </is>
      </c>
      <c r="C133" s="13" t="inlineStr">
        <is>
          <t>January</t>
        </is>
      </c>
      <c r="D133" s="13" t="inlineStr">
        <is>
          <t>2019</t>
        </is>
      </c>
      <c r="E133" s="13" t="inlineStr">
        <is>
          <t>DS 2019</t>
        </is>
      </c>
      <c r="F133" s="13" t="inlineStr">
        <is>
          <t>Planting</t>
        </is>
      </c>
      <c r="G133" s="7" t="n">
        <v>1.35</v>
      </c>
      <c r="H133" s="8" t="n">
        <v>24.09</v>
      </c>
      <c r="I133" s="8" t="n">
        <v>15.4</v>
      </c>
      <c r="J133" s="8" t="n">
        <v>31.54</v>
      </c>
      <c r="K133" s="8" t="n">
        <v>75.31</v>
      </c>
      <c r="L133" s="8" t="n">
        <v>98.76000000000001</v>
      </c>
      <c r="M133" s="8" t="n">
        <v>18.07</v>
      </c>
      <c r="N133" s="13" t="inlineStr">
        <is>
          <t>Type I – Tropical Monsoon (PAGASA)</t>
        </is>
      </c>
      <c r="O133" s="13" t="inlineStr">
        <is>
          <t>Dry (Cool)</t>
        </is>
      </c>
      <c r="P133" s="13" t="inlineStr">
        <is>
          <t>Sandy Loam</t>
        </is>
      </c>
      <c r="Q133" s="13" t="inlineStr">
        <is>
          <t>Flat / Lowland</t>
        </is>
      </c>
      <c r="R133" s="14" t="n">
        <v>30</v>
      </c>
      <c r="S133" s="13" t="inlineStr">
        <is>
          <t>Tagamusing River</t>
        </is>
      </c>
      <c r="T133" s="15" t="n">
        <v>414.96</v>
      </c>
      <c r="U133" s="15" t="n">
        <v>3</v>
      </c>
      <c r="V133" s="15" t="n">
        <v>32.1</v>
      </c>
      <c r="W133" s="15" t="n">
        <v>119</v>
      </c>
      <c r="X133" s="15" t="n"/>
      <c r="Y133" s="15" t="n"/>
      <c r="Z133" s="16" t="n"/>
      <c r="AA133" s="17" t="inlineStr">
        <is>
          <t>Transplanting (Pindot) or Direct Seeding (Pinaghandaan)</t>
        </is>
      </c>
      <c r="AB133" s="17" t="inlineStr">
        <is>
          <t>Conventional Tillage: 2 plowings + 2 harrowings; soil workable when moist</t>
        </is>
      </c>
      <c r="AC133" s="17" t="inlineStr">
        <is>
          <t>Intermittent irrigation (Alternate Wetting and Drying — AWD); moderate retention</t>
        </is>
      </c>
    </row>
    <row r="134" ht="21.75" customHeight="1" s="101">
      <c r="A134" s="6" t="inlineStr">
        <is>
          <t>Palay</t>
        </is>
      </c>
      <c r="B134" s="6" t="inlineStr">
        <is>
          <t>Santiago</t>
        </is>
      </c>
      <c r="C134" s="6" t="inlineStr">
        <is>
          <t>January</t>
        </is>
      </c>
      <c r="D134" s="6" t="inlineStr">
        <is>
          <t>2019</t>
        </is>
      </c>
      <c r="E134" s="6" t="inlineStr">
        <is>
          <t>DS 2019</t>
        </is>
      </c>
      <c r="F134" s="6" t="inlineStr">
        <is>
          <t>Planting</t>
        </is>
      </c>
      <c r="G134" s="7" t="n">
        <v>1.35</v>
      </c>
      <c r="H134" s="8" t="n">
        <v>24.09</v>
      </c>
      <c r="I134" s="8" t="n">
        <v>15.4</v>
      </c>
      <c r="J134" s="8" t="n">
        <v>31.54</v>
      </c>
      <c r="K134" s="8" t="n">
        <v>75.31</v>
      </c>
      <c r="L134" s="8" t="n">
        <v>98.76000000000001</v>
      </c>
      <c r="M134" s="8" t="n">
        <v>18.07</v>
      </c>
      <c r="N134" s="6" t="inlineStr">
        <is>
          <t>Type I – Tropical Monsoon (PAGASA)</t>
        </is>
      </c>
      <c r="O134" s="6" t="inlineStr">
        <is>
          <t>Dry (Cool)</t>
        </is>
      </c>
      <c r="P134" s="6" t="inlineStr">
        <is>
          <t>Silty Clay Loam</t>
        </is>
      </c>
      <c r="Q134" s="6" t="inlineStr">
        <is>
          <t>Flat / Lowland</t>
        </is>
      </c>
      <c r="R134" s="9" t="n">
        <v>30</v>
      </c>
      <c r="S134" s="6" t="inlineStr">
        <is>
          <t>—</t>
        </is>
      </c>
      <c r="T134" s="10" t="n">
        <v>283.08</v>
      </c>
      <c r="U134" s="10" t="n">
        <v>2</v>
      </c>
      <c r="V134" s="10" t="n">
        <v>85.44</v>
      </c>
      <c r="W134" s="10" t="n">
        <v>18</v>
      </c>
      <c r="X134" s="10" t="n"/>
      <c r="Y134" s="10" t="n"/>
      <c r="Z134" s="11" t="n"/>
      <c r="AA134" s="12" t="inlineStr">
        <is>
          <t>Transplanting (Pindot) — optimal for clay-loam paddy fields</t>
        </is>
      </c>
      <c r="AB134" s="12" t="inlineStr">
        <is>
          <t>Wet Tillage (Puddling): 2 plowings + thorough harrowing under flooded condition</t>
        </is>
      </c>
      <c r="AC134" s="12" t="inlineStr">
        <is>
          <t>Continuous flooding 2–5 cm depth during vegetative stage; drain 2 weeks before harvest</t>
        </is>
      </c>
    </row>
    <row r="135" ht="21.75" customHeight="1" s="101">
      <c r="A135" s="13" t="inlineStr">
        <is>
          <t>Palay</t>
        </is>
      </c>
      <c r="B135" s="13" t="inlineStr">
        <is>
          <t>Camanggaan</t>
        </is>
      </c>
      <c r="C135" s="13" t="inlineStr">
        <is>
          <t>January</t>
        </is>
      </c>
      <c r="D135" s="13" t="inlineStr">
        <is>
          <t>2019</t>
        </is>
      </c>
      <c r="E135" s="13" t="inlineStr">
        <is>
          <t>DS 2019</t>
        </is>
      </c>
      <c r="F135" s="13" t="inlineStr">
        <is>
          <t>Planting</t>
        </is>
      </c>
      <c r="G135" s="7" t="n">
        <v>1.35</v>
      </c>
      <c r="H135" s="8" t="n">
        <v>24.09</v>
      </c>
      <c r="I135" s="8" t="n">
        <v>15.4</v>
      </c>
      <c r="J135" s="8" t="n">
        <v>31.54</v>
      </c>
      <c r="K135" s="8" t="n">
        <v>75.31</v>
      </c>
      <c r="L135" s="8" t="n">
        <v>98.76000000000001</v>
      </c>
      <c r="M135" s="8" t="n">
        <v>18.07</v>
      </c>
      <c r="N135" s="13" t="inlineStr">
        <is>
          <t>Type I – Tropical Monsoon (PAGASA)</t>
        </is>
      </c>
      <c r="O135" s="13" t="inlineStr">
        <is>
          <t>Dry (Cool)</t>
        </is>
      </c>
      <c r="P135" s="13" t="inlineStr">
        <is>
          <t>Sandy Loam</t>
        </is>
      </c>
      <c r="Q135" s="13" t="inlineStr">
        <is>
          <t>Flat / Lowland</t>
        </is>
      </c>
      <c r="R135" s="14" t="n">
        <v>30</v>
      </c>
      <c r="S135" s="13" t="inlineStr">
        <is>
          <t>—</t>
        </is>
      </c>
      <c r="T135" s="15" t="n">
        <v>244.44</v>
      </c>
      <c r="U135" s="15" t="n">
        <v>4.78</v>
      </c>
      <c r="V135" s="15" t="n">
        <v>87.36</v>
      </c>
      <c r="W135" s="15" t="n">
        <v>7.25</v>
      </c>
      <c r="X135" s="15" t="n"/>
      <c r="Y135" s="15" t="n"/>
      <c r="Z135" s="16" t="n"/>
      <c r="AA135" s="17" t="inlineStr">
        <is>
          <t>Transplanting (Pindot) or Direct Seeding (Pinaghandaan)</t>
        </is>
      </c>
      <c r="AB135" s="17" t="inlineStr">
        <is>
          <t>Conventional Tillage: 2 plowings + 2 harrowings; soil workable when moist</t>
        </is>
      </c>
      <c r="AC135" s="17" t="inlineStr">
        <is>
          <t>Intermittent irrigation (Alternate Wetting and Drying — AWD); moderate retention</t>
        </is>
      </c>
    </row>
    <row r="136" ht="21.75" customHeight="1" s="101">
      <c r="A136" s="6" t="inlineStr">
        <is>
          <t>Palay</t>
        </is>
      </c>
      <c r="B136" s="6" t="inlineStr">
        <is>
          <t>Cili</t>
        </is>
      </c>
      <c r="C136" s="6" t="inlineStr">
        <is>
          <t>January</t>
        </is>
      </c>
      <c r="D136" s="6" t="inlineStr">
        <is>
          <t>2019</t>
        </is>
      </c>
      <c r="E136" s="6" t="inlineStr">
        <is>
          <t>DS 2019</t>
        </is>
      </c>
      <c r="F136" s="6" t="inlineStr">
        <is>
          <t>Planting</t>
        </is>
      </c>
      <c r="G136" s="7" t="n">
        <v>1.35</v>
      </c>
      <c r="H136" s="8" t="n">
        <v>24.09</v>
      </c>
      <c r="I136" s="8" t="n">
        <v>15.4</v>
      </c>
      <c r="J136" s="8" t="n">
        <v>31.54</v>
      </c>
      <c r="K136" s="8" t="n">
        <v>75.31</v>
      </c>
      <c r="L136" s="8" t="n">
        <v>98.76000000000001</v>
      </c>
      <c r="M136" s="8" t="n">
        <v>18.07</v>
      </c>
      <c r="N136" s="6" t="inlineStr">
        <is>
          <t>Type I – Tropical Monsoon (PAGASA)</t>
        </is>
      </c>
      <c r="O136" s="6" t="inlineStr">
        <is>
          <t>Dry (Cool)</t>
        </is>
      </c>
      <c r="P136" s="6" t="inlineStr">
        <is>
          <t>Silty Clay Loam</t>
        </is>
      </c>
      <c r="Q136" s="6" t="inlineStr">
        <is>
          <t>Flat / Lowland</t>
        </is>
      </c>
      <c r="R136" s="9" t="n">
        <v>30</v>
      </c>
      <c r="S136" s="6" t="inlineStr">
        <is>
          <t>Alibeng River</t>
        </is>
      </c>
      <c r="T136" s="10" t="n">
        <v>264.6</v>
      </c>
      <c r="U136" s="10" t="n">
        <v>12.07</v>
      </c>
      <c r="V136" s="10" t="n">
        <v>35.32</v>
      </c>
      <c r="W136" s="10" t="n">
        <v>4.75</v>
      </c>
      <c r="X136" s="10" t="n"/>
      <c r="Y136" s="10" t="n"/>
      <c r="Z136" s="11" t="n"/>
      <c r="AA136" s="12" t="inlineStr">
        <is>
          <t>Transplanting (Pindot) — optimal for clay-loam paddy fields</t>
        </is>
      </c>
      <c r="AB136" s="12" t="inlineStr">
        <is>
          <t>Wet Tillage (Puddling): 2 plowings + thorough harrowing under flooded condition</t>
        </is>
      </c>
      <c r="AC136" s="12" t="inlineStr">
        <is>
          <t>Continuous flooding 2–5 cm depth during vegetative stage; drain 2 weeks before harvest</t>
        </is>
      </c>
    </row>
    <row r="137" ht="21.75" customHeight="1" s="101">
      <c r="A137" s="13" t="inlineStr">
        <is>
          <t>Palay</t>
        </is>
      </c>
      <c r="B137" s="13" t="inlineStr">
        <is>
          <t>Moreno</t>
        </is>
      </c>
      <c r="C137" s="13" t="inlineStr">
        <is>
          <t>January</t>
        </is>
      </c>
      <c r="D137" s="13" t="inlineStr">
        <is>
          <t>2019</t>
        </is>
      </c>
      <c r="E137" s="13" t="inlineStr">
        <is>
          <t>DS 2019</t>
        </is>
      </c>
      <c r="F137" s="13" t="inlineStr">
        <is>
          <t>Planting</t>
        </is>
      </c>
      <c r="G137" s="7" t="n">
        <v>1.35</v>
      </c>
      <c r="H137" s="8" t="n">
        <v>24.09</v>
      </c>
      <c r="I137" s="8" t="n">
        <v>15.4</v>
      </c>
      <c r="J137" s="8" t="n">
        <v>31.54</v>
      </c>
      <c r="K137" s="8" t="n">
        <v>75.31</v>
      </c>
      <c r="L137" s="8" t="n">
        <v>98.76000000000001</v>
      </c>
      <c r="M137" s="8" t="n">
        <v>18.07</v>
      </c>
      <c r="N137" s="13" t="inlineStr">
        <is>
          <t>Type I – Tropical Monsoon (PAGASA)</t>
        </is>
      </c>
      <c r="O137" s="13" t="inlineStr">
        <is>
          <t>Dry (Cool)</t>
        </is>
      </c>
      <c r="P137" s="13" t="inlineStr">
        <is>
          <t>Sandy Loam</t>
        </is>
      </c>
      <c r="Q137" s="13" t="inlineStr">
        <is>
          <t>Moderately Sloping / Highland</t>
        </is>
      </c>
      <c r="R137" s="14" t="n">
        <v>90</v>
      </c>
      <c r="S137" s="13" t="inlineStr">
        <is>
          <t>Alibeng River</t>
        </is>
      </c>
      <c r="T137" s="15" t="n">
        <v>641.76</v>
      </c>
      <c r="U137" s="15" t="n">
        <v>25.35</v>
      </c>
      <c r="V137" s="15" t="n">
        <v>135.56</v>
      </c>
      <c r="W137" s="15" t="n">
        <v>4.78</v>
      </c>
      <c r="X137" s="15" t="n"/>
      <c r="Y137" s="15" t="n"/>
      <c r="Z137" s="16" t="n"/>
      <c r="AA137" s="17" t="inlineStr">
        <is>
          <t>Transplanting (Pindot) or Direct Seeding (Pinaghandaan)</t>
        </is>
      </c>
      <c r="AB137" s="17" t="inlineStr">
        <is>
          <t>Conventional Tillage: 2 plowings + 2 harrowings; soil workable when moist</t>
        </is>
      </c>
      <c r="AC137" s="17" t="inlineStr">
        <is>
          <t>Intermittent irrigation (Alternate Wetting and Drying — AWD); moderate retention; terrace or bund-assisted water retention essential on slopes</t>
        </is>
      </c>
    </row>
    <row r="138" ht="21.75" customHeight="1" s="101">
      <c r="A138" s="6" t="inlineStr">
        <is>
          <t>Palay</t>
        </is>
      </c>
      <c r="B138" s="6" t="inlineStr">
        <is>
          <t>Bugayong</t>
        </is>
      </c>
      <c r="C138" s="6" t="inlineStr">
        <is>
          <t>January</t>
        </is>
      </c>
      <c r="D138" s="6" t="inlineStr">
        <is>
          <t>2019</t>
        </is>
      </c>
      <c r="E138" s="6" t="inlineStr">
        <is>
          <t>DS 2019</t>
        </is>
      </c>
      <c r="F138" s="6" t="inlineStr">
        <is>
          <t>Planting</t>
        </is>
      </c>
      <c r="G138" s="7" t="n">
        <v>1.35</v>
      </c>
      <c r="H138" s="8" t="n">
        <v>24.09</v>
      </c>
      <c r="I138" s="8" t="n">
        <v>15.4</v>
      </c>
      <c r="J138" s="8" t="n">
        <v>31.54</v>
      </c>
      <c r="K138" s="8" t="n">
        <v>75.31</v>
      </c>
      <c r="L138" s="8" t="n">
        <v>98.76000000000001</v>
      </c>
      <c r="M138" s="8" t="n">
        <v>18.07</v>
      </c>
      <c r="N138" s="6" t="inlineStr">
        <is>
          <t>Type I – Tropical Monsoon (PAGASA)</t>
        </is>
      </c>
      <c r="O138" s="6" t="inlineStr">
        <is>
          <t>Dry (Cool)</t>
        </is>
      </c>
      <c r="P138" s="6" t="inlineStr">
        <is>
          <t>Sandy Loam / Silty Clay Loam</t>
        </is>
      </c>
      <c r="Q138" s="6" t="inlineStr">
        <is>
          <t>Flat / Lowland</t>
        </is>
      </c>
      <c r="R138" s="9" t="n">
        <v>30</v>
      </c>
      <c r="S138" s="6" t="inlineStr">
        <is>
          <t>Aloragat River</t>
        </is>
      </c>
      <c r="T138" s="10" t="n">
        <v>346.08</v>
      </c>
      <c r="U138" s="10" t="n">
        <v>10.81</v>
      </c>
      <c r="V138" s="10" t="n">
        <v>41.02</v>
      </c>
      <c r="W138" s="10" t="n">
        <v>1.36</v>
      </c>
      <c r="X138" s="10" t="n"/>
      <c r="Y138" s="10" t="n"/>
      <c r="Z138" s="11" t="n"/>
      <c r="AA138" s="12" t="inlineStr">
        <is>
          <t>Transplanting (Pindot) — recommended; Direct Seeding possible in dry season</t>
        </is>
      </c>
      <c r="AB138" s="12" t="inlineStr">
        <is>
          <t>Conventional Tillage: 2 plowings + harrowing; puddle thoroughly for transplanting</t>
        </is>
      </c>
      <c r="AC138" s="12" t="inlineStr">
        <is>
          <t>Intermittent to continuous flooding; manage according to drainage section present</t>
        </is>
      </c>
    </row>
    <row r="139" ht="21.75" customHeight="1" s="101">
      <c r="A139" s="13" t="inlineStr">
        <is>
          <t>Palay</t>
        </is>
      </c>
      <c r="B139" s="13" t="inlineStr">
        <is>
          <t>Sta. Maria Norte</t>
        </is>
      </c>
      <c r="C139" s="13" t="inlineStr">
        <is>
          <t>January</t>
        </is>
      </c>
      <c r="D139" s="13" t="inlineStr">
        <is>
          <t>2019</t>
        </is>
      </c>
      <c r="E139" s="13" t="inlineStr">
        <is>
          <t>DS 2019</t>
        </is>
      </c>
      <c r="F139" s="13" t="inlineStr">
        <is>
          <t>Planting</t>
        </is>
      </c>
      <c r="G139" s="7" t="n">
        <v>1.35</v>
      </c>
      <c r="H139" s="8" t="n">
        <v>24.09</v>
      </c>
      <c r="I139" s="8" t="n">
        <v>15.4</v>
      </c>
      <c r="J139" s="8" t="n">
        <v>31.54</v>
      </c>
      <c r="K139" s="8" t="n">
        <v>75.31</v>
      </c>
      <c r="L139" s="8" t="n">
        <v>98.76000000000001</v>
      </c>
      <c r="M139" s="8" t="n">
        <v>18.07</v>
      </c>
      <c r="N139" s="13" t="inlineStr">
        <is>
          <t>Type I – Tropical Monsoon (PAGASA)</t>
        </is>
      </c>
      <c r="O139" s="13" t="inlineStr">
        <is>
          <t>Dry (Cool)</t>
        </is>
      </c>
      <c r="P139" s="13" t="inlineStr">
        <is>
          <t>Sandy Loam</t>
        </is>
      </c>
      <c r="Q139" s="13" t="inlineStr">
        <is>
          <t>Flat / Lowland</t>
        </is>
      </c>
      <c r="R139" s="14" t="n">
        <v>30</v>
      </c>
      <c r="S139" s="13" t="inlineStr">
        <is>
          <t>Tagamusing River</t>
        </is>
      </c>
      <c r="T139" s="15" t="n">
        <v>157.08</v>
      </c>
      <c r="U139" s="15" t="n">
        <v>2</v>
      </c>
      <c r="V139" s="15" t="n">
        <v>32.1</v>
      </c>
      <c r="W139" s="15" t="n">
        <v>2.57</v>
      </c>
      <c r="X139" s="15" t="n"/>
      <c r="Y139" s="15" t="n"/>
      <c r="Z139" s="16" t="n"/>
      <c r="AA139" s="17" t="inlineStr">
        <is>
          <t>Transplanting (Pindot) or Direct Seeding (Pinaghandaan)</t>
        </is>
      </c>
      <c r="AB139" s="17" t="inlineStr">
        <is>
          <t>Conventional Tillage: 2 plowings + 2 harrowings; soil workable when moist</t>
        </is>
      </c>
      <c r="AC139" s="17" t="inlineStr">
        <is>
          <t>Intermittent irrigation (Alternate Wetting and Drying — AWD); moderate retention</t>
        </is>
      </c>
    </row>
    <row r="140" ht="21.75" customHeight="1" s="101">
      <c r="A140" s="6" t="inlineStr">
        <is>
          <t>Palay</t>
        </is>
      </c>
      <c r="B140" s="6" t="inlineStr">
        <is>
          <t>Balangobong</t>
        </is>
      </c>
      <c r="C140" s="6" t="inlineStr">
        <is>
          <t>January</t>
        </is>
      </c>
      <c r="D140" s="6" t="inlineStr">
        <is>
          <t>2022</t>
        </is>
      </c>
      <c r="E140" s="6" t="inlineStr">
        <is>
          <t>DS 2022</t>
        </is>
      </c>
      <c r="F140" s="6" t="inlineStr">
        <is>
          <t>Planting</t>
        </is>
      </c>
      <c r="G140" s="7" t="n">
        <v>3.07</v>
      </c>
      <c r="H140" s="8" t="n">
        <v>23.99</v>
      </c>
      <c r="I140" s="8" t="n">
        <v>16.71</v>
      </c>
      <c r="J140" s="8" t="n">
        <v>31.67</v>
      </c>
      <c r="K140" s="8" t="n">
        <v>78.95</v>
      </c>
      <c r="L140" s="8" t="n">
        <v>98.56999999999999</v>
      </c>
      <c r="M140" s="8" t="n">
        <v>16.75</v>
      </c>
      <c r="N140" s="6" t="inlineStr">
        <is>
          <t>Type I – Tropical Monsoon (PAGASA)</t>
        </is>
      </c>
      <c r="O140" s="6" t="inlineStr">
        <is>
          <t>Dry (Cool)</t>
        </is>
      </c>
      <c r="P140" s="6" t="inlineStr">
        <is>
          <t>Silty Clay Loam</t>
        </is>
      </c>
      <c r="Q140" s="6" t="inlineStr">
        <is>
          <t>Flat / Lowland</t>
        </is>
      </c>
      <c r="R140" s="9" t="n">
        <v>30</v>
      </c>
      <c r="S140" s="6" t="inlineStr">
        <is>
          <t>—</t>
        </is>
      </c>
      <c r="T140" s="10" t="n">
        <v>281.4</v>
      </c>
      <c r="U140" s="10" t="n">
        <v>75.5</v>
      </c>
      <c r="V140" s="10" t="n">
        <v>32.1</v>
      </c>
      <c r="W140" s="10" t="n">
        <v>110</v>
      </c>
      <c r="X140" s="10" t="n"/>
      <c r="Y140" s="10" t="n"/>
      <c r="Z140" s="11" t="n"/>
      <c r="AA140" s="12" t="inlineStr">
        <is>
          <t>Transplanting (Pindot) — optimal for clay-loam paddy fields</t>
        </is>
      </c>
      <c r="AB140" s="12" t="inlineStr">
        <is>
          <t>Wet Tillage (Puddling): 2 plowings + thorough harrowing under flooded condition</t>
        </is>
      </c>
      <c r="AC140" s="12" t="inlineStr">
        <is>
          <t>Continuous flooding 2–5 cm depth during vegetative stage; drain 2 weeks before harvest</t>
        </is>
      </c>
    </row>
    <row r="141" ht="21.75" customHeight="1" s="101">
      <c r="A141" s="13" t="inlineStr">
        <is>
          <t>Palay</t>
        </is>
      </c>
      <c r="B141" s="13" t="inlineStr">
        <is>
          <t>Bugayong</t>
        </is>
      </c>
      <c r="C141" s="13" t="inlineStr">
        <is>
          <t>January</t>
        </is>
      </c>
      <c r="D141" s="13" t="inlineStr">
        <is>
          <t>2022</t>
        </is>
      </c>
      <c r="E141" s="13" t="inlineStr">
        <is>
          <t>DS 2022</t>
        </is>
      </c>
      <c r="F141" s="13" t="inlineStr">
        <is>
          <t>Planting</t>
        </is>
      </c>
      <c r="G141" s="7" t="n">
        <v>3.07</v>
      </c>
      <c r="H141" s="8" t="n">
        <v>23.99</v>
      </c>
      <c r="I141" s="8" t="n">
        <v>16.71</v>
      </c>
      <c r="J141" s="8" t="n">
        <v>31.67</v>
      </c>
      <c r="K141" s="8" t="n">
        <v>78.95</v>
      </c>
      <c r="L141" s="8" t="n">
        <v>98.56999999999999</v>
      </c>
      <c r="M141" s="8" t="n">
        <v>16.75</v>
      </c>
      <c r="N141" s="13" t="inlineStr">
        <is>
          <t>Type I – Tropical Monsoon (PAGASA)</t>
        </is>
      </c>
      <c r="O141" s="13" t="inlineStr">
        <is>
          <t>Dry (Cool)</t>
        </is>
      </c>
      <c r="P141" s="13" t="inlineStr">
        <is>
          <t>Sandy Loam / Silty Clay Loam</t>
        </is>
      </c>
      <c r="Q141" s="13" t="inlineStr">
        <is>
          <t>Flat / Lowland</t>
        </is>
      </c>
      <c r="R141" s="14" t="n">
        <v>30</v>
      </c>
      <c r="S141" s="13" t="inlineStr">
        <is>
          <t>Aloragat River</t>
        </is>
      </c>
      <c r="T141" s="15" t="n">
        <v>346.08</v>
      </c>
      <c r="U141" s="15" t="n">
        <v>21.9</v>
      </c>
      <c r="V141" s="15" t="n">
        <v>43.5</v>
      </c>
      <c r="W141" s="15" t="n">
        <v>2</v>
      </c>
      <c r="X141" s="15" t="n"/>
      <c r="Y141" s="15" t="n"/>
      <c r="Z141" s="16" t="n"/>
      <c r="AA141" s="17" t="inlineStr">
        <is>
          <t>Transplanting (Pindot) — recommended; Direct Seeding possible in dry season</t>
        </is>
      </c>
      <c r="AB141" s="17" t="inlineStr">
        <is>
          <t>Conventional Tillage: 2 plowings + harrowing; puddle thoroughly for transplanting</t>
        </is>
      </c>
      <c r="AC141" s="17" t="inlineStr">
        <is>
          <t>Intermittent to continuous flooding; manage according to drainage section present</t>
        </is>
      </c>
    </row>
    <row r="142" ht="21.75" customHeight="1" s="101">
      <c r="A142" s="6" t="inlineStr">
        <is>
          <t>Palay</t>
        </is>
      </c>
      <c r="B142" s="6" t="inlineStr">
        <is>
          <t>Camanggaan</t>
        </is>
      </c>
      <c r="C142" s="6" t="inlineStr">
        <is>
          <t>January</t>
        </is>
      </c>
      <c r="D142" s="6" t="inlineStr">
        <is>
          <t>2022</t>
        </is>
      </c>
      <c r="E142" s="6" t="inlineStr">
        <is>
          <t>DS 2022</t>
        </is>
      </c>
      <c r="F142" s="6" t="inlineStr">
        <is>
          <t>Planting</t>
        </is>
      </c>
      <c r="G142" s="7" t="n">
        <v>3.07</v>
      </c>
      <c r="H142" s="8" t="n">
        <v>23.99</v>
      </c>
      <c r="I142" s="8" t="n">
        <v>16.71</v>
      </c>
      <c r="J142" s="8" t="n">
        <v>31.67</v>
      </c>
      <c r="K142" s="8" t="n">
        <v>78.95</v>
      </c>
      <c r="L142" s="8" t="n">
        <v>98.56999999999999</v>
      </c>
      <c r="M142" s="8" t="n">
        <v>16.75</v>
      </c>
      <c r="N142" s="6" t="inlineStr">
        <is>
          <t>Type I – Tropical Monsoon (PAGASA)</t>
        </is>
      </c>
      <c r="O142" s="6" t="inlineStr">
        <is>
          <t>Dry (Cool)</t>
        </is>
      </c>
      <c r="P142" s="6" t="inlineStr">
        <is>
          <t>Sandy Loam</t>
        </is>
      </c>
      <c r="Q142" s="6" t="inlineStr">
        <is>
          <t>Flat / Lowland</t>
        </is>
      </c>
      <c r="R142" s="9" t="n">
        <v>30</v>
      </c>
      <c r="S142" s="6" t="inlineStr">
        <is>
          <t>—</t>
        </is>
      </c>
      <c r="T142" s="10" t="n">
        <v>244.44</v>
      </c>
      <c r="U142" s="10" t="n">
        <v>4.72</v>
      </c>
      <c r="V142" s="10" t="n">
        <v>116.6</v>
      </c>
      <c r="W142" s="10" t="n">
        <v>7</v>
      </c>
      <c r="X142" s="10" t="n"/>
      <c r="Y142" s="10" t="n"/>
      <c r="Z142" s="11" t="n"/>
      <c r="AA142" s="12" t="inlineStr">
        <is>
          <t>Transplanting (Pindot) or Direct Seeding (Pinaghandaan)</t>
        </is>
      </c>
      <c r="AB142" s="12" t="inlineStr">
        <is>
          <t>Conventional Tillage: 2 plowings + 2 harrowings; soil workable when moist</t>
        </is>
      </c>
      <c r="AC142" s="12" t="inlineStr">
        <is>
          <t>Intermittent irrigation (Alternate Wetting and Drying — AWD); moderate retention</t>
        </is>
      </c>
    </row>
    <row r="143" ht="21.75" customHeight="1" s="101">
      <c r="A143" s="13" t="inlineStr">
        <is>
          <t>Palay</t>
        </is>
      </c>
      <c r="B143" s="13" t="inlineStr">
        <is>
          <t>Capas</t>
        </is>
      </c>
      <c r="C143" s="13" t="inlineStr">
        <is>
          <t>January</t>
        </is>
      </c>
      <c r="D143" s="13" t="inlineStr">
        <is>
          <t>2022</t>
        </is>
      </c>
      <c r="E143" s="13" t="inlineStr">
        <is>
          <t>DS 2022</t>
        </is>
      </c>
      <c r="F143" s="13" t="inlineStr">
        <is>
          <t>Planting</t>
        </is>
      </c>
      <c r="G143" s="7" t="n">
        <v>3.07</v>
      </c>
      <c r="H143" s="8" t="n">
        <v>23.99</v>
      </c>
      <c r="I143" s="8" t="n">
        <v>16.71</v>
      </c>
      <c r="J143" s="8" t="n">
        <v>31.67</v>
      </c>
      <c r="K143" s="8" t="n">
        <v>78.95</v>
      </c>
      <c r="L143" s="8" t="n">
        <v>98.56999999999999</v>
      </c>
      <c r="M143" s="8" t="n">
        <v>16.75</v>
      </c>
      <c r="N143" s="13" t="inlineStr">
        <is>
          <t>Type I – Tropical Monsoon (PAGASA)</t>
        </is>
      </c>
      <c r="O143" s="13" t="inlineStr">
        <is>
          <t>Dry (Cool)</t>
        </is>
      </c>
      <c r="P143" s="13" t="inlineStr">
        <is>
          <t>Sandy Loam</t>
        </is>
      </c>
      <c r="Q143" s="13" t="inlineStr">
        <is>
          <t>Flat / Lowland</t>
        </is>
      </c>
      <c r="R143" s="14" t="n">
        <v>30</v>
      </c>
      <c r="S143" s="13" t="inlineStr">
        <is>
          <t>—</t>
        </is>
      </c>
      <c r="T143" s="15" t="n">
        <v>377.16</v>
      </c>
      <c r="U143" s="15" t="n">
        <v>19.4</v>
      </c>
      <c r="V143" s="15" t="n">
        <v>164</v>
      </c>
      <c r="W143" s="15" t="n">
        <v>105</v>
      </c>
      <c r="X143" s="15" t="n"/>
      <c r="Y143" s="15" t="n"/>
      <c r="Z143" s="16" t="n"/>
      <c r="AA143" s="17" t="inlineStr">
        <is>
          <t>Transplanting (Pindot) or Direct Seeding (Pinaghandaan)</t>
        </is>
      </c>
      <c r="AB143" s="17" t="inlineStr">
        <is>
          <t>Conventional Tillage: 2 plowings + 2 harrowings; soil workable when moist</t>
        </is>
      </c>
      <c r="AC143" s="17" t="inlineStr">
        <is>
          <t>Intermittent irrigation (Alternate Wetting and Drying — AWD); moderate retention</t>
        </is>
      </c>
    </row>
    <row r="144" ht="21.75" customHeight="1" s="101">
      <c r="A144" s="6" t="inlineStr">
        <is>
          <t>Palay</t>
        </is>
      </c>
      <c r="B144" s="6" t="inlineStr">
        <is>
          <t>Mangkasuy</t>
        </is>
      </c>
      <c r="C144" s="6" t="inlineStr">
        <is>
          <t>January</t>
        </is>
      </c>
      <c r="D144" s="6" t="inlineStr">
        <is>
          <t>2022</t>
        </is>
      </c>
      <c r="E144" s="6" t="inlineStr">
        <is>
          <t>DS 2022</t>
        </is>
      </c>
      <c r="F144" s="6" t="inlineStr">
        <is>
          <t>Planting</t>
        </is>
      </c>
      <c r="G144" s="7" t="n">
        <v>3.07</v>
      </c>
      <c r="H144" s="8" t="n">
        <v>23.99</v>
      </c>
      <c r="I144" s="8" t="n">
        <v>16.71</v>
      </c>
      <c r="J144" s="8" t="n">
        <v>31.67</v>
      </c>
      <c r="K144" s="8" t="n">
        <v>78.95</v>
      </c>
      <c r="L144" s="8" t="n">
        <v>98.56999999999999</v>
      </c>
      <c r="M144" s="8" t="n">
        <v>16.75</v>
      </c>
      <c r="N144" s="6" t="inlineStr">
        <is>
          <t>Type I – Tropical Monsoon (PAGASA)</t>
        </is>
      </c>
      <c r="O144" s="6" t="inlineStr">
        <is>
          <t>Dry (Cool)</t>
        </is>
      </c>
      <c r="P144" s="6" t="inlineStr">
        <is>
          <t>Sandy Loam</t>
        </is>
      </c>
      <c r="Q144" s="6" t="inlineStr">
        <is>
          <t>Flat / Lowland</t>
        </is>
      </c>
      <c r="R144" s="9" t="n">
        <v>30</v>
      </c>
      <c r="S144" s="6" t="inlineStr">
        <is>
          <t>Tagamusing River</t>
        </is>
      </c>
      <c r="T144" s="10" t="n">
        <v>802.2</v>
      </c>
      <c r="U144" s="10" t="n">
        <v>3</v>
      </c>
      <c r="V144" s="10" t="n">
        <v>164</v>
      </c>
      <c r="W144" s="10" t="n">
        <v>50</v>
      </c>
      <c r="X144" s="10" t="n"/>
      <c r="Y144" s="10" t="n"/>
      <c r="Z144" s="11" t="n"/>
      <c r="AA144" s="12" t="inlineStr">
        <is>
          <t>Transplanting (Pindot) or Direct Seeding (Pinaghandaan)</t>
        </is>
      </c>
      <c r="AB144" s="12" t="inlineStr">
        <is>
          <t>Conventional Tillage: 2 plowings + 2 harrowings; soil workable when moist</t>
        </is>
      </c>
      <c r="AC144" s="12" t="inlineStr">
        <is>
          <t>Intermittent irrigation (Alternate Wetting and Drying — AWD); moderate retention</t>
        </is>
      </c>
    </row>
    <row r="145" ht="21.75" customHeight="1" s="101">
      <c r="A145" s="13" t="inlineStr">
        <is>
          <t>Palay</t>
        </is>
      </c>
      <c r="B145" s="13" t="inlineStr">
        <is>
          <t>Pasileng Norte</t>
        </is>
      </c>
      <c r="C145" s="13" t="inlineStr">
        <is>
          <t>January</t>
        </is>
      </c>
      <c r="D145" s="13" t="inlineStr">
        <is>
          <t>2022</t>
        </is>
      </c>
      <c r="E145" s="13" t="inlineStr">
        <is>
          <t>DS 2022</t>
        </is>
      </c>
      <c r="F145" s="13" t="inlineStr">
        <is>
          <t>Planting</t>
        </is>
      </c>
      <c r="G145" s="7" t="n">
        <v>3.07</v>
      </c>
      <c r="H145" s="8" t="n">
        <v>23.99</v>
      </c>
      <c r="I145" s="8" t="n">
        <v>16.71</v>
      </c>
      <c r="J145" s="8" t="n">
        <v>31.67</v>
      </c>
      <c r="K145" s="8" t="n">
        <v>78.95</v>
      </c>
      <c r="L145" s="8" t="n">
        <v>98.56999999999999</v>
      </c>
      <c r="M145" s="8" t="n">
        <v>16.75</v>
      </c>
      <c r="N145" s="13" t="inlineStr">
        <is>
          <t>Type I – Tropical Monsoon (PAGASA)</t>
        </is>
      </c>
      <c r="O145" s="13" t="inlineStr">
        <is>
          <t>Dry (Cool)</t>
        </is>
      </c>
      <c r="P145" s="13" t="inlineStr">
        <is>
          <t>Sandy Loam</t>
        </is>
      </c>
      <c r="Q145" s="13" t="inlineStr">
        <is>
          <t>Flat / Lowland</t>
        </is>
      </c>
      <c r="R145" s="14" t="n">
        <v>30</v>
      </c>
      <c r="S145" s="13" t="inlineStr">
        <is>
          <t>Tagamusing River</t>
        </is>
      </c>
      <c r="T145" s="15" t="n">
        <v>140.28</v>
      </c>
      <c r="U145" s="15" t="n">
        <v>19.55</v>
      </c>
      <c r="V145" s="15" t="n">
        <v>20.7</v>
      </c>
      <c r="W145" s="15" t="n">
        <v>75</v>
      </c>
      <c r="X145" s="15" t="n"/>
      <c r="Y145" s="15" t="n"/>
      <c r="Z145" s="16" t="n"/>
      <c r="AA145" s="17" t="inlineStr">
        <is>
          <t>Transplanting (Pindot) or Direct Seeding (Pinaghandaan)</t>
        </is>
      </c>
      <c r="AB145" s="17" t="inlineStr">
        <is>
          <t>Conventional Tillage: 2 plowings + 2 harrowings; soil workable when moist</t>
        </is>
      </c>
      <c r="AC145" s="17" t="inlineStr">
        <is>
          <t>Intermittent irrigation (Alternate Wetting and Drying — AWD); moderate retention</t>
        </is>
      </c>
    </row>
    <row r="146" ht="21.75" customHeight="1" s="101">
      <c r="A146" s="6" t="inlineStr">
        <is>
          <t>Palay</t>
        </is>
      </c>
      <c r="B146" s="6" t="inlineStr">
        <is>
          <t>Pasileng Sur</t>
        </is>
      </c>
      <c r="C146" s="6" t="inlineStr">
        <is>
          <t>January</t>
        </is>
      </c>
      <c r="D146" s="6" t="inlineStr">
        <is>
          <t>2022</t>
        </is>
      </c>
      <c r="E146" s="6" t="inlineStr">
        <is>
          <t>DS 2022</t>
        </is>
      </c>
      <c r="F146" s="6" t="inlineStr">
        <is>
          <t>Planting</t>
        </is>
      </c>
      <c r="G146" s="7" t="n">
        <v>3.07</v>
      </c>
      <c r="H146" s="8" t="n">
        <v>23.99</v>
      </c>
      <c r="I146" s="8" t="n">
        <v>16.71</v>
      </c>
      <c r="J146" s="8" t="n">
        <v>31.67</v>
      </c>
      <c r="K146" s="8" t="n">
        <v>78.95</v>
      </c>
      <c r="L146" s="8" t="n">
        <v>98.56999999999999</v>
      </c>
      <c r="M146" s="8" t="n">
        <v>16.75</v>
      </c>
      <c r="N146" s="6" t="inlineStr">
        <is>
          <t>Type I – Tropical Monsoon (PAGASA)</t>
        </is>
      </c>
      <c r="O146" s="6" t="inlineStr">
        <is>
          <t>Dry (Cool)</t>
        </is>
      </c>
      <c r="P146" s="6" t="inlineStr">
        <is>
          <t>Sandy Loam</t>
        </is>
      </c>
      <c r="Q146" s="6" t="inlineStr">
        <is>
          <t>Flat / Lowland</t>
        </is>
      </c>
      <c r="R146" s="9" t="n">
        <v>30</v>
      </c>
      <c r="S146" s="6" t="inlineStr">
        <is>
          <t>Tagamusing River</t>
        </is>
      </c>
      <c r="T146" s="10" t="n">
        <v>414.96</v>
      </c>
      <c r="U146" s="10" t="n">
        <v>31.77</v>
      </c>
      <c r="V146" s="10" t="n">
        <v>26.4</v>
      </c>
      <c r="W146" s="10" t="n">
        <v>120</v>
      </c>
      <c r="X146" s="10" t="n"/>
      <c r="Y146" s="10" t="n"/>
      <c r="Z146" s="11" t="n"/>
      <c r="AA146" s="12" t="inlineStr">
        <is>
          <t>Transplanting (Pindot) or Direct Seeding (Pinaghandaan)</t>
        </is>
      </c>
      <c r="AB146" s="12" t="inlineStr">
        <is>
          <t>Conventional Tillage: 2 plowings + 2 harrowings; soil workable when moist</t>
        </is>
      </c>
      <c r="AC146" s="12" t="inlineStr">
        <is>
          <t>Intermittent irrigation (Alternate Wetting and Drying — AWD); moderate retention</t>
        </is>
      </c>
    </row>
    <row r="147" ht="21.75" customHeight="1" s="101">
      <c r="A147" s="13" t="inlineStr">
        <is>
          <t>Palay</t>
        </is>
      </c>
      <c r="B147" s="13" t="inlineStr">
        <is>
          <t>San Felipe Central</t>
        </is>
      </c>
      <c r="C147" s="13" t="inlineStr">
        <is>
          <t>January</t>
        </is>
      </c>
      <c r="D147" s="13" t="inlineStr">
        <is>
          <t>2022</t>
        </is>
      </c>
      <c r="E147" s="13" t="inlineStr">
        <is>
          <t>DS 2022</t>
        </is>
      </c>
      <c r="F147" s="13" t="inlineStr">
        <is>
          <t>Planting</t>
        </is>
      </c>
      <c r="G147" s="7" t="n">
        <v>3.07</v>
      </c>
      <c r="H147" s="8" t="n">
        <v>23.99</v>
      </c>
      <c r="I147" s="8" t="n">
        <v>16.71</v>
      </c>
      <c r="J147" s="8" t="n">
        <v>31.67</v>
      </c>
      <c r="K147" s="8" t="n">
        <v>78.95</v>
      </c>
      <c r="L147" s="8" t="n">
        <v>98.56999999999999</v>
      </c>
      <c r="M147" s="8" t="n">
        <v>16.75</v>
      </c>
      <c r="N147" s="13" t="inlineStr">
        <is>
          <t>Type I – Tropical Monsoon (PAGASA)</t>
        </is>
      </c>
      <c r="O147" s="13" t="inlineStr">
        <is>
          <t>Dry (Cool)</t>
        </is>
      </c>
      <c r="P147" s="13" t="inlineStr">
        <is>
          <t>Sandy Loam</t>
        </is>
      </c>
      <c r="Q147" s="13" t="inlineStr">
        <is>
          <t>Flat / Lowland</t>
        </is>
      </c>
      <c r="R147" s="14" t="n">
        <v>30</v>
      </c>
      <c r="S147" s="13" t="inlineStr">
        <is>
          <t>—</t>
        </is>
      </c>
      <c r="T147" s="15" t="n">
        <v>452.76</v>
      </c>
      <c r="U147" s="15" t="n">
        <v>10</v>
      </c>
      <c r="V147" s="15" t="n">
        <v>32.1</v>
      </c>
      <c r="W147" s="15" t="n">
        <v>100</v>
      </c>
      <c r="X147" s="15" t="n"/>
      <c r="Y147" s="15" t="n"/>
      <c r="Z147" s="16" t="n"/>
      <c r="AA147" s="17" t="inlineStr">
        <is>
          <t>Transplanting (Pindot) or Direct Seeding (Pinaghandaan)</t>
        </is>
      </c>
      <c r="AB147" s="17" t="inlineStr">
        <is>
          <t>Conventional Tillage: 2 plowings + 2 harrowings; soil workable when moist</t>
        </is>
      </c>
      <c r="AC147" s="17" t="inlineStr">
        <is>
          <t>Intermittent irrigation (Alternate Wetting and Drying — AWD); moderate retention</t>
        </is>
      </c>
    </row>
    <row r="148" ht="21.75" customHeight="1" s="101">
      <c r="A148" s="6" t="inlineStr">
        <is>
          <t>Palay</t>
        </is>
      </c>
      <c r="B148" s="6" t="inlineStr">
        <is>
          <t>San Felipe Sur</t>
        </is>
      </c>
      <c r="C148" s="6" t="inlineStr">
        <is>
          <t>January</t>
        </is>
      </c>
      <c r="D148" s="6" t="inlineStr">
        <is>
          <t>2022</t>
        </is>
      </c>
      <c r="E148" s="6" t="inlineStr">
        <is>
          <t>DS 2022</t>
        </is>
      </c>
      <c r="F148" s="6" t="inlineStr">
        <is>
          <t>Planting</t>
        </is>
      </c>
      <c r="G148" s="7" t="n">
        <v>3.07</v>
      </c>
      <c r="H148" s="8" t="n">
        <v>23.99</v>
      </c>
      <c r="I148" s="8" t="n">
        <v>16.71</v>
      </c>
      <c r="J148" s="8" t="n">
        <v>31.67</v>
      </c>
      <c r="K148" s="8" t="n">
        <v>78.95</v>
      </c>
      <c r="L148" s="8" t="n">
        <v>98.56999999999999</v>
      </c>
      <c r="M148" s="8" t="n">
        <v>16.75</v>
      </c>
      <c r="N148" s="6" t="inlineStr">
        <is>
          <t>Type I – Tropical Monsoon (PAGASA)</t>
        </is>
      </c>
      <c r="O148" s="6" t="inlineStr">
        <is>
          <t>Dry (Cool)</t>
        </is>
      </c>
      <c r="P148" s="6" t="inlineStr">
        <is>
          <t>Sandy Loam</t>
        </is>
      </c>
      <c r="Q148" s="6" t="inlineStr">
        <is>
          <t>Flat / Lowland</t>
        </is>
      </c>
      <c r="R148" s="9" t="n">
        <v>30</v>
      </c>
      <c r="S148" s="6" t="inlineStr">
        <is>
          <t>Tagamusing River</t>
        </is>
      </c>
      <c r="T148" s="10" t="n">
        <v>504</v>
      </c>
      <c r="U148" s="10" t="n">
        <v>6.8</v>
      </c>
      <c r="V148" s="10" t="n">
        <v>37.8</v>
      </c>
      <c r="W148" s="10" t="n">
        <v>115</v>
      </c>
      <c r="X148" s="10" t="n"/>
      <c r="Y148" s="10" t="n"/>
      <c r="Z148" s="11" t="n"/>
      <c r="AA148" s="12" t="inlineStr">
        <is>
          <t>Transplanting (Pindot) or Direct Seeding (Pinaghandaan)</t>
        </is>
      </c>
      <c r="AB148" s="12" t="inlineStr">
        <is>
          <t>Conventional Tillage: 2 plowings + 2 harrowings; soil workable when moist</t>
        </is>
      </c>
      <c r="AC148" s="12" t="inlineStr">
        <is>
          <t>Intermittent irrigation (Alternate Wetting and Drying — AWD); moderate retention</t>
        </is>
      </c>
    </row>
    <row r="149" ht="21.75" customHeight="1" s="101">
      <c r="A149" s="13" t="inlineStr">
        <is>
          <t>Palay</t>
        </is>
      </c>
      <c r="B149" s="13" t="inlineStr">
        <is>
          <t>San Pablo</t>
        </is>
      </c>
      <c r="C149" s="13" t="inlineStr">
        <is>
          <t>January</t>
        </is>
      </c>
      <c r="D149" s="13" t="inlineStr">
        <is>
          <t>2022</t>
        </is>
      </c>
      <c r="E149" s="13" t="inlineStr">
        <is>
          <t>DS 2022</t>
        </is>
      </c>
      <c r="F149" s="13" t="inlineStr">
        <is>
          <t>Planting</t>
        </is>
      </c>
      <c r="G149" s="7" t="n">
        <v>3.07</v>
      </c>
      <c r="H149" s="8" t="n">
        <v>23.99</v>
      </c>
      <c r="I149" s="8" t="n">
        <v>16.71</v>
      </c>
      <c r="J149" s="8" t="n">
        <v>31.67</v>
      </c>
      <c r="K149" s="8" t="n">
        <v>78.95</v>
      </c>
      <c r="L149" s="8" t="n">
        <v>98.56999999999999</v>
      </c>
      <c r="M149" s="8" t="n">
        <v>16.75</v>
      </c>
      <c r="N149" s="13" t="inlineStr">
        <is>
          <t>Type I – Tropical Monsoon (PAGASA)</t>
        </is>
      </c>
      <c r="O149" s="13" t="inlineStr">
        <is>
          <t>Dry (Cool)</t>
        </is>
      </c>
      <c r="P149" s="13" t="inlineStr">
        <is>
          <t>Sandy Loam</t>
        </is>
      </c>
      <c r="Q149" s="13" t="inlineStr">
        <is>
          <t>Flat / Lowland</t>
        </is>
      </c>
      <c r="R149" s="14" t="n">
        <v>30</v>
      </c>
      <c r="S149" s="13" t="inlineStr">
        <is>
          <t>San Pablo Creek</t>
        </is>
      </c>
      <c r="T149" s="15" t="n">
        <v>215.04</v>
      </c>
      <c r="U149" s="15" t="n">
        <v>8.800000000000001</v>
      </c>
      <c r="V149" s="15" t="n">
        <v>43.5</v>
      </c>
      <c r="W149" s="15" t="n">
        <v>103</v>
      </c>
      <c r="X149" s="15" t="n"/>
      <c r="Y149" s="15" t="n"/>
      <c r="Z149" s="16" t="n"/>
      <c r="AA149" s="17" t="inlineStr">
        <is>
          <t>Transplanting (Pindot) or Direct Seeding (Pinaghandaan)</t>
        </is>
      </c>
      <c r="AB149" s="17" t="inlineStr">
        <is>
          <t>Conventional Tillage: 2 plowings + 2 harrowings; soil workable when moist</t>
        </is>
      </c>
      <c r="AC149" s="17" t="inlineStr">
        <is>
          <t>Intermittent irrigation (Alternate Wetting and Drying — AWD); moderate retention</t>
        </is>
      </c>
    </row>
    <row r="150" ht="21.75" customHeight="1" s="101">
      <c r="A150" s="6" t="inlineStr">
        <is>
          <t>Palay</t>
        </is>
      </c>
      <c r="B150" s="6" t="inlineStr">
        <is>
          <t>Santiago</t>
        </is>
      </c>
      <c r="C150" s="6" t="inlineStr">
        <is>
          <t>January</t>
        </is>
      </c>
      <c r="D150" s="6" t="inlineStr">
        <is>
          <t>2022</t>
        </is>
      </c>
      <c r="E150" s="6" t="inlineStr">
        <is>
          <t>DS 2022</t>
        </is>
      </c>
      <c r="F150" s="6" t="inlineStr">
        <is>
          <t>Planting</t>
        </is>
      </c>
      <c r="G150" s="7" t="n">
        <v>3.07</v>
      </c>
      <c r="H150" s="8" t="n">
        <v>23.99</v>
      </c>
      <c r="I150" s="8" t="n">
        <v>16.71</v>
      </c>
      <c r="J150" s="8" t="n">
        <v>31.67</v>
      </c>
      <c r="K150" s="8" t="n">
        <v>78.95</v>
      </c>
      <c r="L150" s="8" t="n">
        <v>98.56999999999999</v>
      </c>
      <c r="M150" s="8" t="n">
        <v>16.75</v>
      </c>
      <c r="N150" s="6" t="inlineStr">
        <is>
          <t>Type I – Tropical Monsoon (PAGASA)</t>
        </is>
      </c>
      <c r="O150" s="6" t="inlineStr">
        <is>
          <t>Dry (Cool)</t>
        </is>
      </c>
      <c r="P150" s="6" t="inlineStr">
        <is>
          <t>Silty Clay Loam</t>
        </is>
      </c>
      <c r="Q150" s="6" t="inlineStr">
        <is>
          <t>Flat / Lowland</t>
        </is>
      </c>
      <c r="R150" s="9" t="n">
        <v>30</v>
      </c>
      <c r="S150" s="6" t="inlineStr">
        <is>
          <t>—</t>
        </is>
      </c>
      <c r="T150" s="10" t="n">
        <v>283.08</v>
      </c>
      <c r="U150" s="10" t="n">
        <v>7.8</v>
      </c>
      <c r="V150" s="10" t="n">
        <v>134.2</v>
      </c>
      <c r="W150" s="10" t="n">
        <v>18</v>
      </c>
      <c r="X150" s="10" t="n"/>
      <c r="Y150" s="10" t="n"/>
      <c r="Z150" s="11" t="n"/>
      <c r="AA150" s="12" t="inlineStr">
        <is>
          <t>Transplanting (Pindot) — optimal for clay-loam paddy fields</t>
        </is>
      </c>
      <c r="AB150" s="12" t="inlineStr">
        <is>
          <t>Wet Tillage (Puddling): 2 plowings + thorough harrowing under flooded condition</t>
        </is>
      </c>
      <c r="AC150" s="12" t="inlineStr">
        <is>
          <t>Continuous flooding 2–5 cm depth during vegetative stage; drain 2 weeks before harvest</t>
        </is>
      </c>
    </row>
    <row r="151" ht="21.75" customHeight="1" s="101">
      <c r="A151" s="13" t="inlineStr">
        <is>
          <t>Palay</t>
        </is>
      </c>
      <c r="B151" s="13" t="inlineStr">
        <is>
          <t>Sta. Catalina</t>
        </is>
      </c>
      <c r="C151" s="13" t="inlineStr">
        <is>
          <t>January</t>
        </is>
      </c>
      <c r="D151" s="13" t="inlineStr">
        <is>
          <t>2022</t>
        </is>
      </c>
      <c r="E151" s="13" t="inlineStr">
        <is>
          <t>DS 2022</t>
        </is>
      </c>
      <c r="F151" s="13" t="inlineStr">
        <is>
          <t>Planting</t>
        </is>
      </c>
      <c r="G151" s="7" t="n">
        <v>3.07</v>
      </c>
      <c r="H151" s="8" t="n">
        <v>23.99</v>
      </c>
      <c r="I151" s="8" t="n">
        <v>16.71</v>
      </c>
      <c r="J151" s="8" t="n">
        <v>31.67</v>
      </c>
      <c r="K151" s="8" t="n">
        <v>78.95</v>
      </c>
      <c r="L151" s="8" t="n">
        <v>98.56999999999999</v>
      </c>
      <c r="M151" s="8" t="n">
        <v>16.75</v>
      </c>
      <c r="N151" s="13" t="inlineStr">
        <is>
          <t>Type I – Tropical Monsoon (PAGASA)</t>
        </is>
      </c>
      <c r="O151" s="13" t="inlineStr">
        <is>
          <t>Dry (Cool)</t>
        </is>
      </c>
      <c r="P151" s="13" t="inlineStr">
        <is>
          <t>Fine Sand / Sandy Loam</t>
        </is>
      </c>
      <c r="Q151" s="13" t="inlineStr">
        <is>
          <t>Moderately Sloping / Highland</t>
        </is>
      </c>
      <c r="R151" s="14" t="n">
        <v>90</v>
      </c>
      <c r="S151" s="13" t="inlineStr">
        <is>
          <t>—</t>
        </is>
      </c>
      <c r="T151" s="15" t="n">
        <v>709.8</v>
      </c>
      <c r="U151" s="15" t="n">
        <v>10.24</v>
      </c>
      <c r="V151" s="15" t="n">
        <v>164</v>
      </c>
      <c r="W151" s="15" t="n">
        <v>9</v>
      </c>
      <c r="X151" s="15" t="n"/>
      <c r="Y151" s="15" t="n"/>
      <c r="Z151" s="16" t="n"/>
      <c r="AA151" s="17" t="inlineStr">
        <is>
          <t>Transplanting (Pindot)</t>
        </is>
      </c>
      <c r="AB151" s="17" t="inlineStr">
        <is>
          <t>Minimum Tillage (avoid compaction; sandy structure fragile)</t>
        </is>
      </c>
      <c r="AC151" s="17" t="inlineStr">
        <is>
          <t>Continuous flooding or frequent irrigation; high percolation risk; terrace or bund-assisted water retention essential on slopes</t>
        </is>
      </c>
    </row>
    <row r="152" ht="21.75" customHeight="1" s="101">
      <c r="A152" s="6" t="inlineStr">
        <is>
          <t>Palay</t>
        </is>
      </c>
      <c r="B152" s="6" t="inlineStr">
        <is>
          <t>Sumabnit</t>
        </is>
      </c>
      <c r="C152" s="6" t="inlineStr">
        <is>
          <t>January</t>
        </is>
      </c>
      <c r="D152" s="6" t="inlineStr">
        <is>
          <t>2022</t>
        </is>
      </c>
      <c r="E152" s="6" t="inlineStr">
        <is>
          <t>DS 2022</t>
        </is>
      </c>
      <c r="F152" s="6" t="inlineStr">
        <is>
          <t>Planting</t>
        </is>
      </c>
      <c r="G152" s="7" t="n">
        <v>3.07</v>
      </c>
      <c r="H152" s="8" t="n">
        <v>23.99</v>
      </c>
      <c r="I152" s="8" t="n">
        <v>16.71</v>
      </c>
      <c r="J152" s="8" t="n">
        <v>31.67</v>
      </c>
      <c r="K152" s="8" t="n">
        <v>78.95</v>
      </c>
      <c r="L152" s="8" t="n">
        <v>98.56999999999999</v>
      </c>
      <c r="M152" s="8" t="n">
        <v>16.75</v>
      </c>
      <c r="N152" s="6" t="inlineStr">
        <is>
          <t>Type I – Tropical Monsoon (PAGASA)</t>
        </is>
      </c>
      <c r="O152" s="6" t="inlineStr">
        <is>
          <t>Dry (Cool)</t>
        </is>
      </c>
      <c r="P152" s="6" t="inlineStr">
        <is>
          <t>Silty Clay Loam / Fine Sandy Loam</t>
        </is>
      </c>
      <c r="Q152" s="6" t="inlineStr">
        <is>
          <t>Flat / Lowland</t>
        </is>
      </c>
      <c r="R152" s="9" t="n">
        <v>30</v>
      </c>
      <c r="S152" s="6" t="inlineStr">
        <is>
          <t>Tagamusing River</t>
        </is>
      </c>
      <c r="T152" s="10" t="n">
        <v>406.56</v>
      </c>
      <c r="U152" s="10" t="n">
        <v>10.55</v>
      </c>
      <c r="V152" s="10" t="n">
        <v>116.6</v>
      </c>
      <c r="W152" s="10" t="n">
        <v>72</v>
      </c>
      <c r="X152" s="10" t="n"/>
      <c r="Y152" s="10" t="n"/>
      <c r="Z152" s="11" t="n"/>
      <c r="AA152" s="12" t="inlineStr">
        <is>
          <t>Transplanting (Pindot)</t>
        </is>
      </c>
      <c r="AB152" s="12" t="inlineStr">
        <is>
          <t>Minimum Tillage (avoid compaction; sandy structure fragile)</t>
        </is>
      </c>
      <c r="AC152" s="12" t="inlineStr">
        <is>
          <t>Continuous flooding or frequent irrigation; high percolation risk</t>
        </is>
      </c>
    </row>
    <row r="153" ht="21.75" customHeight="1" s="101">
      <c r="A153" s="13" t="inlineStr">
        <is>
          <t>Palay</t>
        </is>
      </c>
      <c r="B153" s="13" t="inlineStr">
        <is>
          <t>Tabuyoc</t>
        </is>
      </c>
      <c r="C153" s="13" t="inlineStr">
        <is>
          <t>January</t>
        </is>
      </c>
      <c r="D153" s="13" t="inlineStr">
        <is>
          <t>2022</t>
        </is>
      </c>
      <c r="E153" s="13" t="inlineStr">
        <is>
          <t>DS 2022</t>
        </is>
      </c>
      <c r="F153" s="13" t="inlineStr">
        <is>
          <t>Planting</t>
        </is>
      </c>
      <c r="G153" s="7" t="n">
        <v>3.07</v>
      </c>
      <c r="H153" s="8" t="n">
        <v>23.99</v>
      </c>
      <c r="I153" s="8" t="n">
        <v>16.71</v>
      </c>
      <c r="J153" s="8" t="n">
        <v>31.67</v>
      </c>
      <c r="K153" s="8" t="n">
        <v>78.95</v>
      </c>
      <c r="L153" s="8" t="n">
        <v>98.56999999999999</v>
      </c>
      <c r="M153" s="8" t="n">
        <v>16.75</v>
      </c>
      <c r="N153" s="13" t="inlineStr">
        <is>
          <t>Type I – Tropical Monsoon (PAGASA)</t>
        </is>
      </c>
      <c r="O153" s="13" t="inlineStr">
        <is>
          <t>Dry (Cool)</t>
        </is>
      </c>
      <c r="P153" s="13" t="inlineStr">
        <is>
          <t>Silty Clay Loam</t>
        </is>
      </c>
      <c r="Q153" s="13" t="inlineStr">
        <is>
          <t>Flat / Lowland</t>
        </is>
      </c>
      <c r="R153" s="14" t="n">
        <v>30</v>
      </c>
      <c r="S153" s="13" t="inlineStr">
        <is>
          <t>—</t>
        </is>
      </c>
      <c r="T153" s="15" t="n">
        <v>277.2</v>
      </c>
      <c r="U153" s="15" t="n">
        <v>1.36</v>
      </c>
      <c r="V153" s="15" t="n">
        <v>44.8</v>
      </c>
      <c r="W153" s="15" t="n">
        <v>130</v>
      </c>
      <c r="X153" s="15" t="n"/>
      <c r="Y153" s="15" t="n"/>
      <c r="Z153" s="16" t="n"/>
      <c r="AA153" s="17" t="inlineStr">
        <is>
          <t>Transplanting (Pindot) — optimal for clay-loam paddy fields</t>
        </is>
      </c>
      <c r="AB153" s="17" t="inlineStr">
        <is>
          <t>Wet Tillage (Puddling): 2 plowings + thorough harrowing under flooded condition</t>
        </is>
      </c>
      <c r="AC153" s="17" t="inlineStr">
        <is>
          <t>Continuous flooding 2–5 cm depth during vegetative stage; drain 2 weeks before harvest</t>
        </is>
      </c>
    </row>
    <row r="154" ht="21.75" customHeight="1" s="101">
      <c r="A154" s="6" t="inlineStr">
        <is>
          <t>Palay</t>
        </is>
      </c>
      <c r="B154" s="6" t="inlineStr">
        <is>
          <t>Pasileng Norte</t>
        </is>
      </c>
      <c r="C154" s="6" t="inlineStr">
        <is>
          <t>May</t>
        </is>
      </c>
      <c r="D154" s="6" t="inlineStr">
        <is>
          <t>2007</t>
        </is>
      </c>
      <c r="E154" s="6" t="inlineStr">
        <is>
          <t>DS 2007</t>
        </is>
      </c>
      <c r="F154" s="6" t="inlineStr">
        <is>
          <t>Harvest</t>
        </is>
      </c>
      <c r="G154" s="7" t="n">
        <v>14.07</v>
      </c>
      <c r="H154" s="8" t="n">
        <v>26.24</v>
      </c>
      <c r="I154" s="8" t="n">
        <v>22.11</v>
      </c>
      <c r="J154" s="8" t="n">
        <v>33.01</v>
      </c>
      <c r="K154" s="8" t="n">
        <v>84.31</v>
      </c>
      <c r="L154" s="8" t="n">
        <v>98.03</v>
      </c>
      <c r="M154" s="8" t="n">
        <v>19.34</v>
      </c>
      <c r="N154" s="6" t="inlineStr">
        <is>
          <t>Type I – Tropical Monsoon (PAGASA)</t>
        </is>
      </c>
      <c r="O154" s="6" t="inlineStr">
        <is>
          <t>Wet</t>
        </is>
      </c>
      <c r="P154" s="6" t="inlineStr">
        <is>
          <t>Sandy Loam</t>
        </is>
      </c>
      <c r="Q154" s="6" t="inlineStr">
        <is>
          <t>Flat / Lowland</t>
        </is>
      </c>
      <c r="R154" s="9" t="n">
        <v>30</v>
      </c>
      <c r="S154" s="6" t="inlineStr">
        <is>
          <t>Tagamusing River</t>
        </is>
      </c>
      <c r="T154" s="10" t="n">
        <v>140.28</v>
      </c>
      <c r="U154" s="10" t="n"/>
      <c r="V154" s="10" t="n"/>
      <c r="W154" s="10" t="n"/>
      <c r="X154" s="10" t="n">
        <v>1</v>
      </c>
      <c r="Y154" s="10" t="n">
        <v>6</v>
      </c>
      <c r="Z154" s="11" t="n">
        <v>6</v>
      </c>
      <c r="AA154" s="12" t="inlineStr">
        <is>
          <t>Transplanting (Pindot) or Direct Seeding (Pinaghandaan)</t>
        </is>
      </c>
      <c r="AB154" s="12" t="inlineStr">
        <is>
          <t>Conventional Tillage: 2 plowings + 2 harrowings; soil workable when moist</t>
        </is>
      </c>
      <c r="AC154" s="12" t="inlineStr">
        <is>
          <t>Intermittent irrigation (Alternate Wetting and Drying — AWD); moderate retention</t>
        </is>
      </c>
    </row>
    <row r="155" ht="21.75" customHeight="1" s="101">
      <c r="A155" s="13" t="inlineStr">
        <is>
          <t>Palay</t>
        </is>
      </c>
      <c r="B155" s="13" t="inlineStr">
        <is>
          <t>Tabuyoc</t>
        </is>
      </c>
      <c r="C155" s="13" t="inlineStr">
        <is>
          <t>May</t>
        </is>
      </c>
      <c r="D155" s="13" t="inlineStr">
        <is>
          <t>2007</t>
        </is>
      </c>
      <c r="E155" s="13" t="inlineStr">
        <is>
          <t>DS 2007</t>
        </is>
      </c>
      <c r="F155" s="13" t="inlineStr">
        <is>
          <t>Harvest</t>
        </is>
      </c>
      <c r="G155" s="7" t="n">
        <v>14.07</v>
      </c>
      <c r="H155" s="8" t="n">
        <v>26.24</v>
      </c>
      <c r="I155" s="8" t="n">
        <v>22.11</v>
      </c>
      <c r="J155" s="8" t="n">
        <v>33.01</v>
      </c>
      <c r="K155" s="8" t="n">
        <v>84.31</v>
      </c>
      <c r="L155" s="8" t="n">
        <v>98.03</v>
      </c>
      <c r="M155" s="8" t="n">
        <v>19.34</v>
      </c>
      <c r="N155" s="13" t="inlineStr">
        <is>
          <t>Type I – Tropical Monsoon (PAGASA)</t>
        </is>
      </c>
      <c r="O155" s="13" t="inlineStr">
        <is>
          <t>Wet</t>
        </is>
      </c>
      <c r="P155" s="13" t="inlineStr">
        <is>
          <t>Silty Clay Loam</t>
        </is>
      </c>
      <c r="Q155" s="13" t="inlineStr">
        <is>
          <t>Flat / Lowland</t>
        </is>
      </c>
      <c r="R155" s="14" t="n">
        <v>30</v>
      </c>
      <c r="S155" s="13" t="inlineStr">
        <is>
          <t>—</t>
        </is>
      </c>
      <c r="T155" s="15" t="n">
        <v>277.2</v>
      </c>
      <c r="U155" s="15" t="n"/>
      <c r="V155" s="15" t="n"/>
      <c r="W155" s="15" t="n"/>
      <c r="X155" s="15" t="n">
        <v>1</v>
      </c>
      <c r="Y155" s="15" t="n">
        <v>6.1</v>
      </c>
      <c r="Z155" s="16" t="n">
        <v>6.1</v>
      </c>
      <c r="AA155" s="17" t="inlineStr">
        <is>
          <t>Transplanting (Pindot) — optimal for clay-loam paddy fields</t>
        </is>
      </c>
      <c r="AB155" s="17" t="inlineStr">
        <is>
          <t>Wet Tillage (Puddling): 2 plowings + thorough harrowing under flooded condition</t>
        </is>
      </c>
      <c r="AC155" s="17" t="inlineStr">
        <is>
          <t>Continuous flooding 2–5 cm depth during vegetative stage; drain 2 weeks before harvest</t>
        </is>
      </c>
    </row>
    <row r="156" ht="21.75" customHeight="1" s="101">
      <c r="A156" s="6" t="inlineStr">
        <is>
          <t>Palay</t>
        </is>
      </c>
      <c r="B156" s="6" t="inlineStr">
        <is>
          <t>Bued</t>
        </is>
      </c>
      <c r="C156" s="6" t="inlineStr">
        <is>
          <t>May</t>
        </is>
      </c>
      <c r="D156" s="6" t="inlineStr">
        <is>
          <t>2007</t>
        </is>
      </c>
      <c r="E156" s="6" t="inlineStr">
        <is>
          <t>DS 2007</t>
        </is>
      </c>
      <c r="F156" s="6" t="inlineStr">
        <is>
          <t>Harvest</t>
        </is>
      </c>
      <c r="G156" s="7" t="n">
        <v>14.07</v>
      </c>
      <c r="H156" s="8" t="n">
        <v>26.24</v>
      </c>
      <c r="I156" s="8" t="n">
        <v>22.11</v>
      </c>
      <c r="J156" s="8" t="n">
        <v>33.01</v>
      </c>
      <c r="K156" s="8" t="n">
        <v>84.31</v>
      </c>
      <c r="L156" s="8" t="n">
        <v>98.03</v>
      </c>
      <c r="M156" s="8" t="n">
        <v>19.34</v>
      </c>
      <c r="N156" s="6" t="inlineStr">
        <is>
          <t>Type I – Tropical Monsoon (PAGASA)</t>
        </is>
      </c>
      <c r="O156" s="6" t="inlineStr">
        <is>
          <t>Wet</t>
        </is>
      </c>
      <c r="P156" s="6" t="inlineStr">
        <is>
          <t>Silty Clay Loam</t>
        </is>
      </c>
      <c r="Q156" s="6" t="inlineStr">
        <is>
          <t>Flat / Lowland</t>
        </is>
      </c>
      <c r="R156" s="9" t="n">
        <v>30</v>
      </c>
      <c r="S156" s="6" t="inlineStr">
        <is>
          <t>Tagamusing River</t>
        </is>
      </c>
      <c r="T156" s="10" t="n">
        <v>210.84</v>
      </c>
      <c r="U156" s="10" t="n"/>
      <c r="V156" s="10" t="n"/>
      <c r="W156" s="10" t="n"/>
      <c r="X156" s="10" t="n">
        <v>1.05</v>
      </c>
      <c r="Y156" s="10" t="n">
        <v>8.4</v>
      </c>
      <c r="Z156" s="11" t="n">
        <v>8</v>
      </c>
      <c r="AA156" s="12" t="inlineStr">
        <is>
          <t>Transplanting (Pindot) — optimal for clay-loam paddy fields</t>
        </is>
      </c>
      <c r="AB156" s="12" t="inlineStr">
        <is>
          <t>Wet Tillage (Puddling): 2 plowings + thorough harrowing under flooded condition</t>
        </is>
      </c>
      <c r="AC156" s="12" t="inlineStr">
        <is>
          <t>Continuous flooding 2–5 cm depth during vegetative stage; drain 2 weeks before harvest</t>
        </is>
      </c>
    </row>
    <row r="157" ht="21.75" customHeight="1" s="101">
      <c r="A157" s="13" t="inlineStr">
        <is>
          <t>Palay</t>
        </is>
      </c>
      <c r="B157" s="13" t="inlineStr">
        <is>
          <t>Dumayat</t>
        </is>
      </c>
      <c r="C157" s="13" t="inlineStr">
        <is>
          <t>May</t>
        </is>
      </c>
      <c r="D157" s="13" t="inlineStr">
        <is>
          <t>2007</t>
        </is>
      </c>
      <c r="E157" s="13" t="inlineStr">
        <is>
          <t>DS 2007</t>
        </is>
      </c>
      <c r="F157" s="13" t="inlineStr">
        <is>
          <t>Harvest</t>
        </is>
      </c>
      <c r="G157" s="7" t="n">
        <v>14.07</v>
      </c>
      <c r="H157" s="8" t="n">
        <v>26.24</v>
      </c>
      <c r="I157" s="8" t="n">
        <v>22.11</v>
      </c>
      <c r="J157" s="8" t="n">
        <v>33.01</v>
      </c>
      <c r="K157" s="8" t="n">
        <v>84.31</v>
      </c>
      <c r="L157" s="8" t="n">
        <v>98.03</v>
      </c>
      <c r="M157" s="8" t="n">
        <v>19.34</v>
      </c>
      <c r="N157" s="13" t="inlineStr">
        <is>
          <t>Type I – Tropical Monsoon (PAGASA)</t>
        </is>
      </c>
      <c r="O157" s="13" t="inlineStr">
        <is>
          <t>Wet</t>
        </is>
      </c>
      <c r="P157" s="13" t="inlineStr">
        <is>
          <t>Silty Clay Loam</t>
        </is>
      </c>
      <c r="Q157" s="13" t="inlineStr">
        <is>
          <t>Flat / Lowland</t>
        </is>
      </c>
      <c r="R157" s="14" t="n">
        <v>30</v>
      </c>
      <c r="S157" s="13" t="inlineStr">
        <is>
          <t>—</t>
        </is>
      </c>
      <c r="T157" s="15" t="n">
        <v>266.28</v>
      </c>
      <c r="U157" s="15" t="n"/>
      <c r="V157" s="15" t="n"/>
      <c r="W157" s="15" t="n"/>
      <c r="X157" s="15" t="n">
        <v>1.05</v>
      </c>
      <c r="Y157" s="15" t="n">
        <v>8.4</v>
      </c>
      <c r="Z157" s="16" t="n">
        <v>8</v>
      </c>
      <c r="AA157" s="17" t="inlineStr">
        <is>
          <t>Transplanting (Pindot) — optimal for clay-loam paddy fields</t>
        </is>
      </c>
      <c r="AB157" s="17" t="inlineStr">
        <is>
          <t>Wet Tillage (Puddling): 2 plowings + thorough harrowing under flooded condition</t>
        </is>
      </c>
      <c r="AC157" s="17" t="inlineStr">
        <is>
          <t>Continuous flooding 2–5 cm depth during vegetative stage; drain 2 weeks before harvest</t>
        </is>
      </c>
    </row>
    <row r="158" ht="21.75" customHeight="1" s="101">
      <c r="A158" s="6" t="inlineStr">
        <is>
          <t>Palay</t>
        </is>
      </c>
      <c r="B158" s="6" t="inlineStr">
        <is>
          <t>Camanggaan</t>
        </is>
      </c>
      <c r="C158" s="6" t="inlineStr">
        <is>
          <t>May</t>
        </is>
      </c>
      <c r="D158" s="6" t="inlineStr">
        <is>
          <t>2007</t>
        </is>
      </c>
      <c r="E158" s="6" t="inlineStr">
        <is>
          <t>DS 2007</t>
        </is>
      </c>
      <c r="F158" s="6" t="inlineStr">
        <is>
          <t>Harvest</t>
        </is>
      </c>
      <c r="G158" s="7" t="n">
        <v>14.07</v>
      </c>
      <c r="H158" s="8" t="n">
        <v>26.24</v>
      </c>
      <c r="I158" s="8" t="n">
        <v>22.11</v>
      </c>
      <c r="J158" s="8" t="n">
        <v>33.01</v>
      </c>
      <c r="K158" s="8" t="n">
        <v>84.31</v>
      </c>
      <c r="L158" s="8" t="n">
        <v>98.03</v>
      </c>
      <c r="M158" s="8" t="n">
        <v>19.34</v>
      </c>
      <c r="N158" s="6" t="inlineStr">
        <is>
          <t>Type I – Tropical Monsoon (PAGASA)</t>
        </is>
      </c>
      <c r="O158" s="6" t="inlineStr">
        <is>
          <t>Wet</t>
        </is>
      </c>
      <c r="P158" s="6" t="inlineStr">
        <is>
          <t>Sandy Loam</t>
        </is>
      </c>
      <c r="Q158" s="6" t="inlineStr">
        <is>
          <t>Flat / Lowland</t>
        </is>
      </c>
      <c r="R158" s="9" t="n">
        <v>30</v>
      </c>
      <c r="S158" s="6" t="inlineStr">
        <is>
          <t>—</t>
        </is>
      </c>
      <c r="T158" s="10" t="n">
        <v>244.44</v>
      </c>
      <c r="U158" s="10" t="n"/>
      <c r="V158" s="10" t="n"/>
      <c r="W158" s="10" t="n"/>
      <c r="X158" s="10" t="n">
        <v>1.05</v>
      </c>
      <c r="Y158" s="10" t="n">
        <v>8.4</v>
      </c>
      <c r="Z158" s="11" t="n">
        <v>8</v>
      </c>
      <c r="AA158" s="12" t="inlineStr">
        <is>
          <t>Transplanting (Pindot) or Direct Seeding (Pinaghandaan)</t>
        </is>
      </c>
      <c r="AB158" s="12" t="inlineStr">
        <is>
          <t>Conventional Tillage: 2 plowings + 2 harrowings; soil workable when moist</t>
        </is>
      </c>
      <c r="AC158" s="12" t="inlineStr">
        <is>
          <t>Intermittent irrigation (Alternate Wetting and Drying — AWD); moderate retention</t>
        </is>
      </c>
    </row>
    <row r="159" ht="21.75" customHeight="1" s="101">
      <c r="A159" s="13" t="inlineStr">
        <is>
          <t>Palay</t>
        </is>
      </c>
      <c r="B159" s="13" t="inlineStr">
        <is>
          <t>Bugayong</t>
        </is>
      </c>
      <c r="C159" s="13" t="inlineStr">
        <is>
          <t>May</t>
        </is>
      </c>
      <c r="D159" s="13" t="inlineStr">
        <is>
          <t>2007</t>
        </is>
      </c>
      <c r="E159" s="13" t="inlineStr">
        <is>
          <t>DS 2007</t>
        </is>
      </c>
      <c r="F159" s="13" t="inlineStr">
        <is>
          <t>Harvest</t>
        </is>
      </c>
      <c r="G159" s="7" t="n">
        <v>14.07</v>
      </c>
      <c r="H159" s="8" t="n">
        <v>26.24</v>
      </c>
      <c r="I159" s="8" t="n">
        <v>22.11</v>
      </c>
      <c r="J159" s="8" t="n">
        <v>33.01</v>
      </c>
      <c r="K159" s="8" t="n">
        <v>84.31</v>
      </c>
      <c r="L159" s="8" t="n">
        <v>98.03</v>
      </c>
      <c r="M159" s="8" t="n">
        <v>19.34</v>
      </c>
      <c r="N159" s="13" t="inlineStr">
        <is>
          <t>Type I – Tropical Monsoon (PAGASA)</t>
        </is>
      </c>
      <c r="O159" s="13" t="inlineStr">
        <is>
          <t>Wet</t>
        </is>
      </c>
      <c r="P159" s="13" t="inlineStr">
        <is>
          <t>Sandy Loam / Silty Clay Loam</t>
        </is>
      </c>
      <c r="Q159" s="13" t="inlineStr">
        <is>
          <t>Flat / Lowland</t>
        </is>
      </c>
      <c r="R159" s="14" t="n">
        <v>30</v>
      </c>
      <c r="S159" s="13" t="inlineStr">
        <is>
          <t>Aloragat River</t>
        </is>
      </c>
      <c r="T159" s="15" t="n">
        <v>346.08</v>
      </c>
      <c r="U159" s="15" t="n"/>
      <c r="V159" s="15" t="n"/>
      <c r="W159" s="15" t="n"/>
      <c r="X159" s="15" t="n">
        <v>2</v>
      </c>
      <c r="Y159" s="15" t="n">
        <v>11.5</v>
      </c>
      <c r="Z159" s="16" t="n">
        <v>5.75</v>
      </c>
      <c r="AA159" s="17" t="inlineStr">
        <is>
          <t>Transplanting (Pindot) — recommended; Direct Seeding possible in dry season</t>
        </is>
      </c>
      <c r="AB159" s="17" t="inlineStr">
        <is>
          <t>Conventional Tillage: 2 plowings + harrowing; puddle thoroughly for transplanting</t>
        </is>
      </c>
      <c r="AC159" s="17" t="inlineStr">
        <is>
          <t>Intermittent to continuous flooding; manage according to drainage section present</t>
        </is>
      </c>
    </row>
    <row r="160" ht="21.75" customHeight="1" s="101">
      <c r="A160" s="6" t="inlineStr">
        <is>
          <t>Palay</t>
        </is>
      </c>
      <c r="B160" s="6" t="inlineStr">
        <is>
          <t>Vacante</t>
        </is>
      </c>
      <c r="C160" s="6" t="inlineStr">
        <is>
          <t>May</t>
        </is>
      </c>
      <c r="D160" s="6" t="inlineStr">
        <is>
          <t>2007</t>
        </is>
      </c>
      <c r="E160" s="6" t="inlineStr">
        <is>
          <t>DS 2007</t>
        </is>
      </c>
      <c r="F160" s="6" t="inlineStr">
        <is>
          <t>Harvest</t>
        </is>
      </c>
      <c r="G160" s="7" t="n">
        <v>14.07</v>
      </c>
      <c r="H160" s="8" t="n">
        <v>26.24</v>
      </c>
      <c r="I160" s="8" t="n">
        <v>22.11</v>
      </c>
      <c r="J160" s="8" t="n">
        <v>33.01</v>
      </c>
      <c r="K160" s="8" t="n">
        <v>84.31</v>
      </c>
      <c r="L160" s="8" t="n">
        <v>98.03</v>
      </c>
      <c r="M160" s="8" t="n">
        <v>19.34</v>
      </c>
      <c r="N160" s="6" t="inlineStr">
        <is>
          <t>Type I – Tropical Monsoon (PAGASA)</t>
        </is>
      </c>
      <c r="O160" s="6" t="inlineStr">
        <is>
          <t>Wet</t>
        </is>
      </c>
      <c r="P160" s="6" t="inlineStr">
        <is>
          <t>Silty Clay Loam</t>
        </is>
      </c>
      <c r="Q160" s="6" t="inlineStr">
        <is>
          <t>Flat / Lowland</t>
        </is>
      </c>
      <c r="R160" s="9" t="n">
        <v>30</v>
      </c>
      <c r="S160" s="6" t="inlineStr">
        <is>
          <t>Aloragat River</t>
        </is>
      </c>
      <c r="T160" s="10" t="n">
        <v>484.68</v>
      </c>
      <c r="U160" s="10" t="n"/>
      <c r="V160" s="10" t="n"/>
      <c r="W160" s="10" t="n"/>
      <c r="X160" s="10" t="n">
        <v>2.01</v>
      </c>
      <c r="Y160" s="10" t="n">
        <v>16.08</v>
      </c>
      <c r="Z160" s="11" t="n">
        <v>8</v>
      </c>
      <c r="AA160" s="12" t="inlineStr">
        <is>
          <t>Transplanting (Pindot) — optimal for clay-loam paddy fields</t>
        </is>
      </c>
      <c r="AB160" s="12" t="inlineStr">
        <is>
          <t>Wet Tillage (Puddling): 2 plowings + thorough harrowing under flooded condition</t>
        </is>
      </c>
      <c r="AC160" s="12" t="inlineStr">
        <is>
          <t>Continuous flooding 2–5 cm depth during vegetative stage; drain 2 weeks before harvest</t>
        </is>
      </c>
    </row>
    <row r="161" ht="21.75" customHeight="1" s="101">
      <c r="A161" s="13" t="inlineStr">
        <is>
          <t>Palay</t>
        </is>
      </c>
      <c r="B161" s="13" t="inlineStr">
        <is>
          <t>Sta. Catalina</t>
        </is>
      </c>
      <c r="C161" s="13" t="inlineStr">
        <is>
          <t>May</t>
        </is>
      </c>
      <c r="D161" s="13" t="inlineStr">
        <is>
          <t>2007</t>
        </is>
      </c>
      <c r="E161" s="13" t="inlineStr">
        <is>
          <t>DS 2007</t>
        </is>
      </c>
      <c r="F161" s="13" t="inlineStr">
        <is>
          <t>Harvest</t>
        </is>
      </c>
      <c r="G161" s="7" t="n">
        <v>14.07</v>
      </c>
      <c r="H161" s="8" t="n">
        <v>26.24</v>
      </c>
      <c r="I161" s="8" t="n">
        <v>22.11</v>
      </c>
      <c r="J161" s="8" t="n">
        <v>33.01</v>
      </c>
      <c r="K161" s="8" t="n">
        <v>84.31</v>
      </c>
      <c r="L161" s="8" t="n">
        <v>98.03</v>
      </c>
      <c r="M161" s="8" t="n">
        <v>19.34</v>
      </c>
      <c r="N161" s="13" t="inlineStr">
        <is>
          <t>Type I – Tropical Monsoon (PAGASA)</t>
        </is>
      </c>
      <c r="O161" s="13" t="inlineStr">
        <is>
          <t>Wet</t>
        </is>
      </c>
      <c r="P161" s="13" t="inlineStr">
        <is>
          <t>Fine Sand / Sandy Loam</t>
        </is>
      </c>
      <c r="Q161" s="13" t="inlineStr">
        <is>
          <t>Moderately Sloping / Highland</t>
        </is>
      </c>
      <c r="R161" s="14" t="n">
        <v>90</v>
      </c>
      <c r="S161" s="13" t="inlineStr">
        <is>
          <t>—</t>
        </is>
      </c>
      <c r="T161" s="15" t="n">
        <v>709.8</v>
      </c>
      <c r="U161" s="15" t="n"/>
      <c r="V161" s="15" t="n"/>
      <c r="W161" s="15" t="n"/>
      <c r="X161" s="15" t="n">
        <v>3.39</v>
      </c>
      <c r="Y161" s="15" t="n">
        <v>27.12</v>
      </c>
      <c r="Z161" s="16" t="n">
        <v>8</v>
      </c>
      <c r="AA161" s="17" t="inlineStr">
        <is>
          <t>Transplanting (Pindot)</t>
        </is>
      </c>
      <c r="AB161" s="17" t="inlineStr">
        <is>
          <t>Minimum Tillage (avoid compaction; sandy structure fragile)</t>
        </is>
      </c>
      <c r="AC161" s="17" t="inlineStr">
        <is>
          <t>Continuous flooding or frequent irrigation; high percolation risk; terrace or bund-assisted water retention essential on slopes</t>
        </is>
      </c>
    </row>
    <row r="162" ht="21.75" customHeight="1" s="101">
      <c r="A162" s="6" t="inlineStr">
        <is>
          <t>Palay</t>
        </is>
      </c>
      <c r="B162" s="6" t="inlineStr">
        <is>
          <t>Moreno</t>
        </is>
      </c>
      <c r="C162" s="6" t="inlineStr">
        <is>
          <t>May</t>
        </is>
      </c>
      <c r="D162" s="6" t="inlineStr">
        <is>
          <t>2007</t>
        </is>
      </c>
      <c r="E162" s="6" t="inlineStr">
        <is>
          <t>DS 2007</t>
        </is>
      </c>
      <c r="F162" s="6" t="inlineStr">
        <is>
          <t>Harvest</t>
        </is>
      </c>
      <c r="G162" s="7" t="n">
        <v>14.07</v>
      </c>
      <c r="H162" s="8" t="n">
        <v>26.24</v>
      </c>
      <c r="I162" s="8" t="n">
        <v>22.11</v>
      </c>
      <c r="J162" s="8" t="n">
        <v>33.01</v>
      </c>
      <c r="K162" s="8" t="n">
        <v>84.31</v>
      </c>
      <c r="L162" s="8" t="n">
        <v>98.03</v>
      </c>
      <c r="M162" s="8" t="n">
        <v>19.34</v>
      </c>
      <c r="N162" s="6" t="inlineStr">
        <is>
          <t>Type I – Tropical Monsoon (PAGASA)</t>
        </is>
      </c>
      <c r="O162" s="6" t="inlineStr">
        <is>
          <t>Wet</t>
        </is>
      </c>
      <c r="P162" s="6" t="inlineStr">
        <is>
          <t>Sandy Loam</t>
        </is>
      </c>
      <c r="Q162" s="6" t="inlineStr">
        <is>
          <t>Moderately Sloping / Highland</t>
        </is>
      </c>
      <c r="R162" s="9" t="n">
        <v>90</v>
      </c>
      <c r="S162" s="6" t="inlineStr">
        <is>
          <t>Alibeng River</t>
        </is>
      </c>
      <c r="T162" s="10" t="n">
        <v>641.76</v>
      </c>
      <c r="U162" s="10" t="n"/>
      <c r="V162" s="10" t="n"/>
      <c r="W162" s="10" t="n"/>
      <c r="X162" s="10" t="n">
        <v>3.37</v>
      </c>
      <c r="Y162" s="10" t="n">
        <v>26.96</v>
      </c>
      <c r="Z162" s="11" t="n">
        <v>8</v>
      </c>
      <c r="AA162" s="12" t="inlineStr">
        <is>
          <t>Transplanting (Pindot) or Direct Seeding (Pinaghandaan)</t>
        </is>
      </c>
      <c r="AB162" s="12" t="inlineStr">
        <is>
          <t>Conventional Tillage: 2 plowings + 2 harrowings; soil workable when moist</t>
        </is>
      </c>
      <c r="AC162" s="12" t="inlineStr">
        <is>
          <t>Intermittent irrigation (Alternate Wetting and Drying — AWD); moderate retention; terrace or bund-assisted water retention essential on slopes</t>
        </is>
      </c>
    </row>
    <row r="163" ht="21.75" customHeight="1" s="101">
      <c r="A163" s="13" t="inlineStr">
        <is>
          <t>Palay</t>
        </is>
      </c>
      <c r="B163" s="13" t="inlineStr">
        <is>
          <t>Cili</t>
        </is>
      </c>
      <c r="C163" s="13" t="inlineStr">
        <is>
          <t>May</t>
        </is>
      </c>
      <c r="D163" s="13" t="inlineStr">
        <is>
          <t>2007</t>
        </is>
      </c>
      <c r="E163" s="13" t="inlineStr">
        <is>
          <t>DS 2007</t>
        </is>
      </c>
      <c r="F163" s="13" t="inlineStr">
        <is>
          <t>Harvest</t>
        </is>
      </c>
      <c r="G163" s="7" t="n">
        <v>14.07</v>
      </c>
      <c r="H163" s="8" t="n">
        <v>26.24</v>
      </c>
      <c r="I163" s="8" t="n">
        <v>22.11</v>
      </c>
      <c r="J163" s="8" t="n">
        <v>33.01</v>
      </c>
      <c r="K163" s="8" t="n">
        <v>84.31</v>
      </c>
      <c r="L163" s="8" t="n">
        <v>98.03</v>
      </c>
      <c r="M163" s="8" t="n">
        <v>19.34</v>
      </c>
      <c r="N163" s="13" t="inlineStr">
        <is>
          <t>Type I – Tropical Monsoon (PAGASA)</t>
        </is>
      </c>
      <c r="O163" s="13" t="inlineStr">
        <is>
          <t>Wet</t>
        </is>
      </c>
      <c r="P163" s="13" t="inlineStr">
        <is>
          <t>Silty Clay Loam</t>
        </is>
      </c>
      <c r="Q163" s="13" t="inlineStr">
        <is>
          <t>Flat / Lowland</t>
        </is>
      </c>
      <c r="R163" s="14" t="n">
        <v>30</v>
      </c>
      <c r="S163" s="13" t="inlineStr">
        <is>
          <t>Alibeng River</t>
        </is>
      </c>
      <c r="T163" s="15" t="n">
        <v>264.6</v>
      </c>
      <c r="U163" s="15" t="n"/>
      <c r="V163" s="15" t="n"/>
      <c r="W163" s="15" t="n"/>
      <c r="X163" s="15" t="n">
        <v>1.05</v>
      </c>
      <c r="Y163" s="15" t="n">
        <v>8.4</v>
      </c>
      <c r="Z163" s="16" t="n">
        <v>8</v>
      </c>
      <c r="AA163" s="17" t="inlineStr">
        <is>
          <t>Transplanting (Pindot) — optimal for clay-loam paddy fields</t>
        </is>
      </c>
      <c r="AB163" s="17" t="inlineStr">
        <is>
          <t>Wet Tillage (Puddling): 2 plowings + thorough harrowing under flooded condition</t>
        </is>
      </c>
      <c r="AC163" s="17" t="inlineStr">
        <is>
          <t>Continuous flooding 2–5 cm depth during vegetative stage; drain 2 weeks before harvest</t>
        </is>
      </c>
    </row>
    <row r="164" ht="21.75" customHeight="1" s="101">
      <c r="A164" s="6" t="inlineStr">
        <is>
          <t>Palay</t>
        </is>
      </c>
      <c r="B164" s="6" t="inlineStr">
        <is>
          <t>San Pablo</t>
        </is>
      </c>
      <c r="C164" s="6" t="inlineStr">
        <is>
          <t>May</t>
        </is>
      </c>
      <c r="D164" s="6" t="inlineStr">
        <is>
          <t>2007</t>
        </is>
      </c>
      <c r="E164" s="6" t="inlineStr">
        <is>
          <t>DS 2007</t>
        </is>
      </c>
      <c r="F164" s="6" t="inlineStr">
        <is>
          <t>Harvest</t>
        </is>
      </c>
      <c r="G164" s="7" t="n">
        <v>14.07</v>
      </c>
      <c r="H164" s="8" t="n">
        <v>26.24</v>
      </c>
      <c r="I164" s="8" t="n">
        <v>22.11</v>
      </c>
      <c r="J164" s="8" t="n">
        <v>33.01</v>
      </c>
      <c r="K164" s="8" t="n">
        <v>84.31</v>
      </c>
      <c r="L164" s="8" t="n">
        <v>98.03</v>
      </c>
      <c r="M164" s="8" t="n">
        <v>19.34</v>
      </c>
      <c r="N164" s="6" t="inlineStr">
        <is>
          <t>Type I – Tropical Monsoon (PAGASA)</t>
        </is>
      </c>
      <c r="O164" s="6" t="inlineStr">
        <is>
          <t>Wet</t>
        </is>
      </c>
      <c r="P164" s="6" t="inlineStr">
        <is>
          <t>Sandy Loam</t>
        </is>
      </c>
      <c r="Q164" s="6" t="inlineStr">
        <is>
          <t>Flat / Lowland</t>
        </is>
      </c>
      <c r="R164" s="9" t="n">
        <v>30</v>
      </c>
      <c r="S164" s="6" t="inlineStr">
        <is>
          <t>San Pablo Creek</t>
        </is>
      </c>
      <c r="T164" s="10" t="n">
        <v>215.04</v>
      </c>
      <c r="U164" s="10" t="n"/>
      <c r="V164" s="10" t="n"/>
      <c r="W164" s="10" t="n"/>
      <c r="X164" s="10" t="n">
        <v>3</v>
      </c>
      <c r="Y164" s="10" t="n">
        <v>19.5</v>
      </c>
      <c r="Z164" s="11" t="n">
        <v>6.5</v>
      </c>
      <c r="AA164" s="12" t="inlineStr">
        <is>
          <t>Transplanting (Pindot) or Direct Seeding (Pinaghandaan)</t>
        </is>
      </c>
      <c r="AB164" s="12" t="inlineStr">
        <is>
          <t>Conventional Tillage: 2 plowings + 2 harrowings; soil workable when moist</t>
        </is>
      </c>
      <c r="AC164" s="12" t="inlineStr">
        <is>
          <t>Intermittent irrigation (Alternate Wetting and Drying — AWD); moderate retention</t>
        </is>
      </c>
    </row>
    <row r="165" ht="21.75" customHeight="1" s="101">
      <c r="A165" s="13" t="inlineStr">
        <is>
          <t>Palay</t>
        </is>
      </c>
      <c r="B165" s="13" t="inlineStr">
        <is>
          <t>Balangobong</t>
        </is>
      </c>
      <c r="C165" s="13" t="inlineStr">
        <is>
          <t>May</t>
        </is>
      </c>
      <c r="D165" s="13" t="inlineStr">
        <is>
          <t>2007</t>
        </is>
      </c>
      <c r="E165" s="13" t="inlineStr">
        <is>
          <t>DS 2007</t>
        </is>
      </c>
      <c r="F165" s="13" t="inlineStr">
        <is>
          <t>Harvest</t>
        </is>
      </c>
      <c r="G165" s="7" t="n">
        <v>14.07</v>
      </c>
      <c r="H165" s="8" t="n">
        <v>26.24</v>
      </c>
      <c r="I165" s="8" t="n">
        <v>22.11</v>
      </c>
      <c r="J165" s="8" t="n">
        <v>33.01</v>
      </c>
      <c r="K165" s="8" t="n">
        <v>84.31</v>
      </c>
      <c r="L165" s="8" t="n">
        <v>98.03</v>
      </c>
      <c r="M165" s="8" t="n">
        <v>19.34</v>
      </c>
      <c r="N165" s="13" t="inlineStr">
        <is>
          <t>Type I – Tropical Monsoon (PAGASA)</t>
        </is>
      </c>
      <c r="O165" s="13" t="inlineStr">
        <is>
          <t>Wet</t>
        </is>
      </c>
      <c r="P165" s="13" t="inlineStr">
        <is>
          <t>Silty Clay Loam</t>
        </is>
      </c>
      <c r="Q165" s="13" t="inlineStr">
        <is>
          <t>Flat / Lowland</t>
        </is>
      </c>
      <c r="R165" s="14" t="n">
        <v>30</v>
      </c>
      <c r="S165" s="13" t="inlineStr">
        <is>
          <t>—</t>
        </is>
      </c>
      <c r="T165" s="15" t="n">
        <v>281.4</v>
      </c>
      <c r="U165" s="15" t="n"/>
      <c r="V165" s="15" t="n"/>
      <c r="W165" s="15" t="n"/>
      <c r="X165" s="15" t="n">
        <v>2</v>
      </c>
      <c r="Y165" s="15" t="n">
        <v>13</v>
      </c>
      <c r="Z165" s="16" t="n">
        <v>6.5</v>
      </c>
      <c r="AA165" s="17" t="inlineStr">
        <is>
          <t>Transplanting (Pindot) — optimal for clay-loam paddy fields</t>
        </is>
      </c>
      <c r="AB165" s="17" t="inlineStr">
        <is>
          <t>Wet Tillage (Puddling): 2 plowings + thorough harrowing under flooded condition</t>
        </is>
      </c>
      <c r="AC165" s="17" t="inlineStr">
        <is>
          <t>Continuous flooding 2–5 cm depth during vegetative stage; drain 2 weeks before harvest</t>
        </is>
      </c>
    </row>
    <row r="166" ht="21.75" customHeight="1" s="101">
      <c r="A166" s="6" t="inlineStr">
        <is>
          <t>Palay</t>
        </is>
      </c>
      <c r="B166" s="6" t="inlineStr">
        <is>
          <t>San Felipe Central</t>
        </is>
      </c>
      <c r="C166" s="6" t="inlineStr">
        <is>
          <t>May</t>
        </is>
      </c>
      <c r="D166" s="6" t="inlineStr">
        <is>
          <t>2007</t>
        </is>
      </c>
      <c r="E166" s="6" t="inlineStr">
        <is>
          <t>DS 2007</t>
        </is>
      </c>
      <c r="F166" s="6" t="inlineStr">
        <is>
          <t>Harvest</t>
        </is>
      </c>
      <c r="G166" s="7" t="n">
        <v>14.07</v>
      </c>
      <c r="H166" s="8" t="n">
        <v>26.24</v>
      </c>
      <c r="I166" s="8" t="n">
        <v>22.11</v>
      </c>
      <c r="J166" s="8" t="n">
        <v>33.01</v>
      </c>
      <c r="K166" s="8" t="n">
        <v>84.31</v>
      </c>
      <c r="L166" s="8" t="n">
        <v>98.03</v>
      </c>
      <c r="M166" s="8" t="n">
        <v>19.34</v>
      </c>
      <c r="N166" s="6" t="inlineStr">
        <is>
          <t>Type I – Tropical Monsoon (PAGASA)</t>
        </is>
      </c>
      <c r="O166" s="6" t="inlineStr">
        <is>
          <t>Wet</t>
        </is>
      </c>
      <c r="P166" s="6" t="inlineStr">
        <is>
          <t>Sandy Loam</t>
        </is>
      </c>
      <c r="Q166" s="6" t="inlineStr">
        <is>
          <t>Flat / Lowland</t>
        </is>
      </c>
      <c r="R166" s="9" t="n">
        <v>30</v>
      </c>
      <c r="S166" s="6" t="inlineStr">
        <is>
          <t>—</t>
        </is>
      </c>
      <c r="T166" s="10" t="n">
        <v>452.76</v>
      </c>
      <c r="U166" s="10" t="n"/>
      <c r="V166" s="10" t="n"/>
      <c r="W166" s="10" t="n"/>
      <c r="X166" s="10" t="n">
        <v>5</v>
      </c>
      <c r="Y166" s="10" t="n">
        <v>30</v>
      </c>
      <c r="Z166" s="11" t="n">
        <v>6</v>
      </c>
      <c r="AA166" s="12" t="inlineStr">
        <is>
          <t>Transplanting (Pindot) or Direct Seeding (Pinaghandaan)</t>
        </is>
      </c>
      <c r="AB166" s="12" t="inlineStr">
        <is>
          <t>Conventional Tillage: 2 plowings + 2 harrowings; soil workable when moist</t>
        </is>
      </c>
      <c r="AC166" s="12" t="inlineStr">
        <is>
          <t>Intermittent irrigation (Alternate Wetting and Drying — AWD); moderate retention</t>
        </is>
      </c>
    </row>
    <row r="167" ht="21.75" customHeight="1" s="101">
      <c r="A167" s="13" t="inlineStr">
        <is>
          <t>Palay</t>
        </is>
      </c>
      <c r="B167" s="13" t="inlineStr">
        <is>
          <t>Sumabnit</t>
        </is>
      </c>
      <c r="C167" s="13" t="inlineStr">
        <is>
          <t>May</t>
        </is>
      </c>
      <c r="D167" s="13" t="inlineStr">
        <is>
          <t>2007</t>
        </is>
      </c>
      <c r="E167" s="13" t="inlineStr">
        <is>
          <t>DS 2007</t>
        </is>
      </c>
      <c r="F167" s="13" t="inlineStr">
        <is>
          <t>Harvest</t>
        </is>
      </c>
      <c r="G167" s="7" t="n">
        <v>14.07</v>
      </c>
      <c r="H167" s="8" t="n">
        <v>26.24</v>
      </c>
      <c r="I167" s="8" t="n">
        <v>22.11</v>
      </c>
      <c r="J167" s="8" t="n">
        <v>33.01</v>
      </c>
      <c r="K167" s="8" t="n">
        <v>84.31</v>
      </c>
      <c r="L167" s="8" t="n">
        <v>98.03</v>
      </c>
      <c r="M167" s="8" t="n">
        <v>19.34</v>
      </c>
      <c r="N167" s="13" t="inlineStr">
        <is>
          <t>Type I – Tropical Monsoon (PAGASA)</t>
        </is>
      </c>
      <c r="O167" s="13" t="inlineStr">
        <is>
          <t>Wet</t>
        </is>
      </c>
      <c r="P167" s="13" t="inlineStr">
        <is>
          <t>Silty Clay Loam / Fine Sandy Loam</t>
        </is>
      </c>
      <c r="Q167" s="13" t="inlineStr">
        <is>
          <t>Flat / Lowland</t>
        </is>
      </c>
      <c r="R167" s="14" t="n">
        <v>30</v>
      </c>
      <c r="S167" s="13" t="inlineStr">
        <is>
          <t>Tagamusing River</t>
        </is>
      </c>
      <c r="T167" s="15" t="n">
        <v>406.56</v>
      </c>
      <c r="U167" s="15" t="n"/>
      <c r="V167" s="15" t="n"/>
      <c r="W167" s="15" t="n"/>
      <c r="X167" s="15" t="n">
        <v>1.89</v>
      </c>
      <c r="Y167" s="15" t="n">
        <v>15.12</v>
      </c>
      <c r="Z167" s="16" t="n">
        <v>8</v>
      </c>
      <c r="AA167" s="17" t="inlineStr">
        <is>
          <t>Transplanting (Pindot)</t>
        </is>
      </c>
      <c r="AB167" s="17" t="inlineStr">
        <is>
          <t>Minimum Tillage (avoid compaction; sandy structure fragile)</t>
        </is>
      </c>
      <c r="AC167" s="17" t="inlineStr">
        <is>
          <t>Continuous flooding or frequent irrigation; high percolation risk</t>
        </is>
      </c>
    </row>
    <row r="168" ht="21.75" customHeight="1" s="101">
      <c r="A168" s="6" t="inlineStr">
        <is>
          <t>Palay</t>
        </is>
      </c>
      <c r="B168" s="6" t="inlineStr">
        <is>
          <t>San Felipe Sur</t>
        </is>
      </c>
      <c r="C168" s="6" t="inlineStr">
        <is>
          <t>May</t>
        </is>
      </c>
      <c r="D168" s="6" t="inlineStr">
        <is>
          <t>2007</t>
        </is>
      </c>
      <c r="E168" s="6" t="inlineStr">
        <is>
          <t>DS 2007</t>
        </is>
      </c>
      <c r="F168" s="6" t="inlineStr">
        <is>
          <t>Harvest</t>
        </is>
      </c>
      <c r="G168" s="7" t="n">
        <v>14.07</v>
      </c>
      <c r="H168" s="8" t="n">
        <v>26.24</v>
      </c>
      <c r="I168" s="8" t="n">
        <v>22.11</v>
      </c>
      <c r="J168" s="8" t="n">
        <v>33.01</v>
      </c>
      <c r="K168" s="8" t="n">
        <v>84.31</v>
      </c>
      <c r="L168" s="8" t="n">
        <v>98.03</v>
      </c>
      <c r="M168" s="8" t="n">
        <v>19.34</v>
      </c>
      <c r="N168" s="6" t="inlineStr">
        <is>
          <t>Type I – Tropical Monsoon (PAGASA)</t>
        </is>
      </c>
      <c r="O168" s="6" t="inlineStr">
        <is>
          <t>Wet</t>
        </is>
      </c>
      <c r="P168" s="6" t="inlineStr">
        <is>
          <t>Sandy Loam</t>
        </is>
      </c>
      <c r="Q168" s="6" t="inlineStr">
        <is>
          <t>Flat / Lowland</t>
        </is>
      </c>
      <c r="R168" s="9" t="n">
        <v>30</v>
      </c>
      <c r="S168" s="6" t="inlineStr">
        <is>
          <t>Tagamusing River</t>
        </is>
      </c>
      <c r="T168" s="10" t="n">
        <v>504</v>
      </c>
      <c r="U168" s="10" t="n"/>
      <c r="V168" s="10" t="n"/>
      <c r="W168" s="10" t="n"/>
      <c r="X168" s="10" t="n">
        <v>3</v>
      </c>
      <c r="Y168" s="10" t="n">
        <v>18</v>
      </c>
      <c r="Z168" s="11" t="n">
        <v>6</v>
      </c>
      <c r="AA168" s="12" t="inlineStr">
        <is>
          <t>Transplanting (Pindot) or Direct Seeding (Pinaghandaan)</t>
        </is>
      </c>
      <c r="AB168" s="12" t="inlineStr">
        <is>
          <t>Conventional Tillage: 2 plowings + 2 harrowings; soil workable when moist</t>
        </is>
      </c>
      <c r="AC168" s="12" t="inlineStr">
        <is>
          <t>Intermittent irrigation (Alternate Wetting and Drying — AWD); moderate retention</t>
        </is>
      </c>
    </row>
    <row r="169" ht="21.75" customHeight="1" s="101">
      <c r="A169" s="13" t="inlineStr">
        <is>
          <t>Palay</t>
        </is>
      </c>
      <c r="B169" s="13" t="inlineStr">
        <is>
          <t>Linmansangan</t>
        </is>
      </c>
      <c r="C169" s="13" t="inlineStr">
        <is>
          <t>May</t>
        </is>
      </c>
      <c r="D169" s="13" t="inlineStr">
        <is>
          <t>2007</t>
        </is>
      </c>
      <c r="E169" s="13" t="inlineStr">
        <is>
          <t>DS 2007</t>
        </is>
      </c>
      <c r="F169" s="13" t="inlineStr">
        <is>
          <t>Harvest</t>
        </is>
      </c>
      <c r="G169" s="7" t="n">
        <v>14.07</v>
      </c>
      <c r="H169" s="8" t="n">
        <v>26.24</v>
      </c>
      <c r="I169" s="8" t="n">
        <v>22.11</v>
      </c>
      <c r="J169" s="8" t="n">
        <v>33.01</v>
      </c>
      <c r="K169" s="8" t="n">
        <v>84.31</v>
      </c>
      <c r="L169" s="8" t="n">
        <v>98.03</v>
      </c>
      <c r="M169" s="8" t="n">
        <v>19.34</v>
      </c>
      <c r="N169" s="13" t="inlineStr">
        <is>
          <t>Type I – Tropical Monsoon (PAGASA)</t>
        </is>
      </c>
      <c r="O169" s="13" t="inlineStr">
        <is>
          <t>Wet</t>
        </is>
      </c>
      <c r="P169" s="13" t="inlineStr">
        <is>
          <t>Silty Clay Loam</t>
        </is>
      </c>
      <c r="Q169" s="13" t="inlineStr">
        <is>
          <t>Flat / Lowland</t>
        </is>
      </c>
      <c r="R169" s="14" t="n">
        <v>30</v>
      </c>
      <c r="S169" s="13" t="inlineStr">
        <is>
          <t>—</t>
        </is>
      </c>
      <c r="T169" s="15" t="n">
        <v>492.24</v>
      </c>
      <c r="U169" s="15" t="n"/>
      <c r="V169" s="15" t="n"/>
      <c r="W169" s="15" t="n"/>
      <c r="X169" s="15" t="n">
        <v>6</v>
      </c>
      <c r="Y169" s="15" t="n">
        <v>33</v>
      </c>
      <c r="Z169" s="16" t="n">
        <v>5.5</v>
      </c>
      <c r="AA169" s="17" t="inlineStr">
        <is>
          <t>Transplanting (Pindot) — optimal for clay-loam paddy fields</t>
        </is>
      </c>
      <c r="AB169" s="17" t="inlineStr">
        <is>
          <t>Wet Tillage (Puddling): 2 plowings + thorough harrowing under flooded condition</t>
        </is>
      </c>
      <c r="AC169" s="17" t="inlineStr">
        <is>
          <t>Continuous flooding 2–5 cm depth during vegetative stage; drain 2 weeks before harvest</t>
        </is>
      </c>
    </row>
    <row r="170" ht="21.75" customHeight="1" s="101">
      <c r="A170" s="6" t="inlineStr">
        <is>
          <t>Palay</t>
        </is>
      </c>
      <c r="B170" s="6" t="inlineStr">
        <is>
          <t>Pasileng Sur</t>
        </is>
      </c>
      <c r="C170" s="6" t="inlineStr">
        <is>
          <t>May</t>
        </is>
      </c>
      <c r="D170" s="6" t="inlineStr">
        <is>
          <t>2007</t>
        </is>
      </c>
      <c r="E170" s="6" t="inlineStr">
        <is>
          <t>DS 2007</t>
        </is>
      </c>
      <c r="F170" s="6" t="inlineStr">
        <is>
          <t>Harvest</t>
        </is>
      </c>
      <c r="G170" s="7" t="n">
        <v>14.07</v>
      </c>
      <c r="H170" s="8" t="n">
        <v>26.24</v>
      </c>
      <c r="I170" s="8" t="n">
        <v>22.11</v>
      </c>
      <c r="J170" s="8" t="n">
        <v>33.01</v>
      </c>
      <c r="K170" s="8" t="n">
        <v>84.31</v>
      </c>
      <c r="L170" s="8" t="n">
        <v>98.03</v>
      </c>
      <c r="M170" s="8" t="n">
        <v>19.34</v>
      </c>
      <c r="N170" s="6" t="inlineStr">
        <is>
          <t>Type I – Tropical Monsoon (PAGASA)</t>
        </is>
      </c>
      <c r="O170" s="6" t="inlineStr">
        <is>
          <t>Wet</t>
        </is>
      </c>
      <c r="P170" s="6" t="inlineStr">
        <is>
          <t>Sandy Loam</t>
        </is>
      </c>
      <c r="Q170" s="6" t="inlineStr">
        <is>
          <t>Flat / Lowland</t>
        </is>
      </c>
      <c r="R170" s="9" t="n">
        <v>30</v>
      </c>
      <c r="S170" s="6" t="inlineStr">
        <is>
          <t>Tagamusing River</t>
        </is>
      </c>
      <c r="T170" s="10" t="n">
        <v>414.96</v>
      </c>
      <c r="U170" s="10" t="n"/>
      <c r="V170" s="10" t="n"/>
      <c r="W170" s="10" t="n"/>
      <c r="X170" s="10" t="n">
        <v>16</v>
      </c>
      <c r="Y170" s="10" t="n">
        <v>120</v>
      </c>
      <c r="Z170" s="11" t="n">
        <v>7.5</v>
      </c>
      <c r="AA170" s="12" t="inlineStr">
        <is>
          <t>Transplanting (Pindot) or Direct Seeding (Pinaghandaan)</t>
        </is>
      </c>
      <c r="AB170" s="12" t="inlineStr">
        <is>
          <t>Conventional Tillage: 2 plowings + 2 harrowings; soil workable when moist</t>
        </is>
      </c>
      <c r="AC170" s="12" t="inlineStr">
        <is>
          <t>Intermittent irrigation (Alternate Wetting and Drying — AWD); moderate retention</t>
        </is>
      </c>
    </row>
    <row r="171" ht="21.75" customHeight="1" s="101">
      <c r="A171" s="13" t="inlineStr">
        <is>
          <t>Palay</t>
        </is>
      </c>
      <c r="B171" s="13" t="inlineStr">
        <is>
          <t>Capas</t>
        </is>
      </c>
      <c r="C171" s="13" t="inlineStr">
        <is>
          <t>May</t>
        </is>
      </c>
      <c r="D171" s="13" t="inlineStr">
        <is>
          <t>2007</t>
        </is>
      </c>
      <c r="E171" s="13" t="inlineStr">
        <is>
          <t>DS 2007</t>
        </is>
      </c>
      <c r="F171" s="13" t="inlineStr">
        <is>
          <t>Harvest</t>
        </is>
      </c>
      <c r="G171" s="7" t="n">
        <v>14.07</v>
      </c>
      <c r="H171" s="8" t="n">
        <v>26.24</v>
      </c>
      <c r="I171" s="8" t="n">
        <v>22.11</v>
      </c>
      <c r="J171" s="8" t="n">
        <v>33.01</v>
      </c>
      <c r="K171" s="8" t="n">
        <v>84.31</v>
      </c>
      <c r="L171" s="8" t="n">
        <v>98.03</v>
      </c>
      <c r="M171" s="8" t="n">
        <v>19.34</v>
      </c>
      <c r="N171" s="13" t="inlineStr">
        <is>
          <t>Type I – Tropical Monsoon (PAGASA)</t>
        </is>
      </c>
      <c r="O171" s="13" t="inlineStr">
        <is>
          <t>Wet</t>
        </is>
      </c>
      <c r="P171" s="13" t="inlineStr">
        <is>
          <t>Sandy Loam</t>
        </is>
      </c>
      <c r="Q171" s="13" t="inlineStr">
        <is>
          <t>Flat / Lowland</t>
        </is>
      </c>
      <c r="R171" s="14" t="n">
        <v>30</v>
      </c>
      <c r="S171" s="13" t="inlineStr">
        <is>
          <t>—</t>
        </is>
      </c>
      <c r="T171" s="15" t="n">
        <v>377.16</v>
      </c>
      <c r="U171" s="15" t="n"/>
      <c r="V171" s="15" t="n"/>
      <c r="W171" s="15" t="n"/>
      <c r="X171" s="15" t="n">
        <v>1</v>
      </c>
      <c r="Y171" s="15" t="n">
        <v>5.5</v>
      </c>
      <c r="Z171" s="16" t="n">
        <v>5.5</v>
      </c>
      <c r="AA171" s="17" t="inlineStr">
        <is>
          <t>Transplanting (Pindot) or Direct Seeding (Pinaghandaan)</t>
        </is>
      </c>
      <c r="AB171" s="17" t="inlineStr">
        <is>
          <t>Conventional Tillage: 2 plowings + 2 harrowings; soil workable when moist</t>
        </is>
      </c>
      <c r="AC171" s="17" t="inlineStr">
        <is>
          <t>Intermittent irrigation (Alternate Wetting and Drying — AWD); moderate retention</t>
        </is>
      </c>
    </row>
    <row r="172" ht="21.75" customHeight="1" s="101">
      <c r="A172" s="6" t="inlineStr">
        <is>
          <t>Palay</t>
        </is>
      </c>
      <c r="B172" s="6" t="inlineStr">
        <is>
          <t>Sta. Maria Norte</t>
        </is>
      </c>
      <c r="C172" s="6" t="inlineStr">
        <is>
          <t>May</t>
        </is>
      </c>
      <c r="D172" s="6" t="inlineStr">
        <is>
          <t>2007</t>
        </is>
      </c>
      <c r="E172" s="6" t="inlineStr">
        <is>
          <t>DS 2007</t>
        </is>
      </c>
      <c r="F172" s="6" t="inlineStr">
        <is>
          <t>Harvest</t>
        </is>
      </c>
      <c r="G172" s="7" t="n">
        <v>14.07</v>
      </c>
      <c r="H172" s="8" t="n">
        <v>26.24</v>
      </c>
      <c r="I172" s="8" t="n">
        <v>22.11</v>
      </c>
      <c r="J172" s="8" t="n">
        <v>33.01</v>
      </c>
      <c r="K172" s="8" t="n">
        <v>84.31</v>
      </c>
      <c r="L172" s="8" t="n">
        <v>98.03</v>
      </c>
      <c r="M172" s="8" t="n">
        <v>19.34</v>
      </c>
      <c r="N172" s="6" t="inlineStr">
        <is>
          <t>Type I – Tropical Monsoon (PAGASA)</t>
        </is>
      </c>
      <c r="O172" s="6" t="inlineStr">
        <is>
          <t>Wet</t>
        </is>
      </c>
      <c r="P172" s="6" t="inlineStr">
        <is>
          <t>Sandy Loam</t>
        </is>
      </c>
      <c r="Q172" s="6" t="inlineStr">
        <is>
          <t>Flat / Lowland</t>
        </is>
      </c>
      <c r="R172" s="9" t="n">
        <v>30</v>
      </c>
      <c r="S172" s="6" t="inlineStr">
        <is>
          <t>Tagamusing River</t>
        </is>
      </c>
      <c r="T172" s="10" t="n">
        <v>157.08</v>
      </c>
      <c r="U172" s="10" t="n"/>
      <c r="V172" s="10" t="n"/>
      <c r="W172" s="10" t="n"/>
      <c r="X172" s="10" t="n">
        <v>5.34</v>
      </c>
      <c r="Y172" s="10" t="n">
        <v>19.64</v>
      </c>
      <c r="Z172" s="11" t="n">
        <v>3.68</v>
      </c>
      <c r="AA172" s="12" t="inlineStr">
        <is>
          <t>Transplanting (Pindot) or Direct Seeding (Pinaghandaan)</t>
        </is>
      </c>
      <c r="AB172" s="12" t="inlineStr">
        <is>
          <t>Conventional Tillage: 2 plowings + 2 harrowings; soil workable when moist</t>
        </is>
      </c>
      <c r="AC172" s="12" t="inlineStr">
        <is>
          <t>Intermittent irrigation (Alternate Wetting and Drying — AWD); moderate retention</t>
        </is>
      </c>
    </row>
    <row r="173" ht="21.75" customHeight="1" s="101">
      <c r="A173" s="13" t="inlineStr">
        <is>
          <t>Palay</t>
        </is>
      </c>
      <c r="B173" s="13" t="inlineStr">
        <is>
          <t>Mangkasuy</t>
        </is>
      </c>
      <c r="C173" s="13" t="inlineStr">
        <is>
          <t>May</t>
        </is>
      </c>
      <c r="D173" s="13" t="inlineStr">
        <is>
          <t>2007</t>
        </is>
      </c>
      <c r="E173" s="13" t="inlineStr">
        <is>
          <t>DS 2007</t>
        </is>
      </c>
      <c r="F173" s="13" t="inlineStr">
        <is>
          <t>Harvest</t>
        </is>
      </c>
      <c r="G173" s="7" t="n">
        <v>14.07</v>
      </c>
      <c r="H173" s="8" t="n">
        <v>26.24</v>
      </c>
      <c r="I173" s="8" t="n">
        <v>22.11</v>
      </c>
      <c r="J173" s="8" t="n">
        <v>33.01</v>
      </c>
      <c r="K173" s="8" t="n">
        <v>84.31</v>
      </c>
      <c r="L173" s="8" t="n">
        <v>98.03</v>
      </c>
      <c r="M173" s="8" t="n">
        <v>19.34</v>
      </c>
      <c r="N173" s="13" t="inlineStr">
        <is>
          <t>Type I – Tropical Monsoon (PAGASA)</t>
        </is>
      </c>
      <c r="O173" s="13" t="inlineStr">
        <is>
          <t>Wet</t>
        </is>
      </c>
      <c r="P173" s="13" t="inlineStr">
        <is>
          <t>Sandy Loam</t>
        </is>
      </c>
      <c r="Q173" s="13" t="inlineStr">
        <is>
          <t>Flat / Lowland</t>
        </is>
      </c>
      <c r="R173" s="14" t="n">
        <v>30</v>
      </c>
      <c r="S173" s="13" t="inlineStr">
        <is>
          <t>Tagamusing River</t>
        </is>
      </c>
      <c r="T173" s="15" t="n">
        <v>802.2</v>
      </c>
      <c r="U173" s="15" t="n"/>
      <c r="V173" s="15" t="n"/>
      <c r="W173" s="15" t="n"/>
      <c r="X173" s="15" t="n">
        <v>5.11</v>
      </c>
      <c r="Y173" s="15" t="n">
        <v>29.92</v>
      </c>
      <c r="Z173" s="16" t="n">
        <v>5.86</v>
      </c>
      <c r="AA173" s="17" t="inlineStr">
        <is>
          <t>Transplanting (Pindot) or Direct Seeding (Pinaghandaan)</t>
        </is>
      </c>
      <c r="AB173" s="17" t="inlineStr">
        <is>
          <t>Conventional Tillage: 2 plowings + 2 harrowings; soil workable when moist</t>
        </is>
      </c>
      <c r="AC173" s="17" t="inlineStr">
        <is>
          <t>Intermittent irrigation (Alternate Wetting and Drying — AWD); moderate retention</t>
        </is>
      </c>
    </row>
    <row r="174" ht="21.75" customHeight="1" s="101">
      <c r="A174" s="6" t="inlineStr">
        <is>
          <t>Palay</t>
        </is>
      </c>
      <c r="B174" s="6" t="inlineStr">
        <is>
          <t>Santiago</t>
        </is>
      </c>
      <c r="C174" s="6" t="inlineStr">
        <is>
          <t>May</t>
        </is>
      </c>
      <c r="D174" s="6" t="inlineStr">
        <is>
          <t>2007</t>
        </is>
      </c>
      <c r="E174" s="6" t="inlineStr">
        <is>
          <t>DS 2007</t>
        </is>
      </c>
      <c r="F174" s="6" t="inlineStr">
        <is>
          <t>Harvest</t>
        </is>
      </c>
      <c r="G174" s="7" t="n">
        <v>14.07</v>
      </c>
      <c r="H174" s="8" t="n">
        <v>26.24</v>
      </c>
      <c r="I174" s="8" t="n">
        <v>22.11</v>
      </c>
      <c r="J174" s="8" t="n">
        <v>33.01</v>
      </c>
      <c r="K174" s="8" t="n">
        <v>84.31</v>
      </c>
      <c r="L174" s="8" t="n">
        <v>98.03</v>
      </c>
      <c r="M174" s="8" t="n">
        <v>19.34</v>
      </c>
      <c r="N174" s="6" t="inlineStr">
        <is>
          <t>Type I – Tropical Monsoon (PAGASA)</t>
        </is>
      </c>
      <c r="O174" s="6" t="inlineStr">
        <is>
          <t>Wet</t>
        </is>
      </c>
      <c r="P174" s="6" t="inlineStr">
        <is>
          <t>Silty Clay Loam</t>
        </is>
      </c>
      <c r="Q174" s="6" t="inlineStr">
        <is>
          <t>Flat / Lowland</t>
        </is>
      </c>
      <c r="R174" s="9" t="n">
        <v>30</v>
      </c>
      <c r="S174" s="6" t="inlineStr">
        <is>
          <t>—</t>
        </is>
      </c>
      <c r="T174" s="10" t="n">
        <v>283.08</v>
      </c>
      <c r="U174" s="10" t="n"/>
      <c r="V174" s="10" t="n"/>
      <c r="W174" s="10" t="n"/>
      <c r="X174" s="10" t="n">
        <v>1.71</v>
      </c>
      <c r="Y174" s="10" t="n">
        <v>13.68</v>
      </c>
      <c r="Z174" s="11" t="n">
        <v>8</v>
      </c>
      <c r="AA174" s="12" t="inlineStr">
        <is>
          <t>Transplanting (Pindot) — optimal for clay-loam paddy fields</t>
        </is>
      </c>
      <c r="AB174" s="12" t="inlineStr">
        <is>
          <t>Wet Tillage (Puddling): 2 plowings + thorough harrowing under flooded condition</t>
        </is>
      </c>
      <c r="AC174" s="12" t="inlineStr">
        <is>
          <t>Continuous flooding 2–5 cm depth during vegetative stage; drain 2 weeks before harvest</t>
        </is>
      </c>
    </row>
    <row r="175" ht="21.75" customHeight="1" s="101">
      <c r="A175" s="13" t="inlineStr">
        <is>
          <t>Palay</t>
        </is>
      </c>
      <c r="B175" s="13" t="inlineStr">
        <is>
          <t>Pasileng Norte</t>
        </is>
      </c>
      <c r="C175" s="13" t="inlineStr">
        <is>
          <t>May</t>
        </is>
      </c>
      <c r="D175" s="13" t="inlineStr">
        <is>
          <t>2008</t>
        </is>
      </c>
      <c r="E175" s="13" t="inlineStr">
        <is>
          <t>DS 2008</t>
        </is>
      </c>
      <c r="F175" s="13" t="inlineStr">
        <is>
          <t>Harvest</t>
        </is>
      </c>
      <c r="G175" s="7" t="n">
        <v>9.42</v>
      </c>
      <c r="H175" s="8" t="n">
        <v>26.41</v>
      </c>
      <c r="I175" s="8" t="n">
        <v>21.86</v>
      </c>
      <c r="J175" s="8" t="n">
        <v>32.12</v>
      </c>
      <c r="K175" s="8" t="n">
        <v>82.65000000000001</v>
      </c>
      <c r="L175" s="8" t="n">
        <v>98.18000000000001</v>
      </c>
      <c r="M175" s="8" t="n">
        <v>19.49</v>
      </c>
      <c r="N175" s="13" t="inlineStr">
        <is>
          <t>Type I – Tropical Monsoon (PAGASA)</t>
        </is>
      </c>
      <c r="O175" s="13" t="inlineStr">
        <is>
          <t>Wet</t>
        </is>
      </c>
      <c r="P175" s="13" t="inlineStr">
        <is>
          <t>Sandy Loam</t>
        </is>
      </c>
      <c r="Q175" s="13" t="inlineStr">
        <is>
          <t>Flat / Lowland</t>
        </is>
      </c>
      <c r="R175" s="14" t="n">
        <v>30</v>
      </c>
      <c r="S175" s="13" t="inlineStr">
        <is>
          <t>Tagamusing River</t>
        </is>
      </c>
      <c r="T175" s="15" t="n">
        <v>140.28</v>
      </c>
      <c r="U175" s="15" t="n"/>
      <c r="V175" s="15" t="n"/>
      <c r="W175" s="15" t="n"/>
      <c r="X175" s="15" t="n">
        <v>3.83</v>
      </c>
      <c r="Y175" s="15" t="n">
        <v>15.85</v>
      </c>
      <c r="Z175" s="16" t="n">
        <v>4.14</v>
      </c>
      <c r="AA175" s="17" t="inlineStr">
        <is>
          <t>Transplanting (Pindot) or Direct Seeding (Pinaghandaan)</t>
        </is>
      </c>
      <c r="AB175" s="17" t="inlineStr">
        <is>
          <t>Conventional Tillage: 2 plowings + 2 harrowings; soil workable when moist</t>
        </is>
      </c>
      <c r="AC175" s="17" t="inlineStr">
        <is>
          <t>Intermittent irrigation (Alternate Wetting and Drying — AWD); moderate retention</t>
        </is>
      </c>
    </row>
    <row r="176" ht="21.75" customHeight="1" s="101">
      <c r="A176" s="6" t="inlineStr">
        <is>
          <t>Palay</t>
        </is>
      </c>
      <c r="B176" s="6" t="inlineStr">
        <is>
          <t>Tabuyoc</t>
        </is>
      </c>
      <c r="C176" s="6" t="inlineStr">
        <is>
          <t>May</t>
        </is>
      </c>
      <c r="D176" s="6" t="inlineStr">
        <is>
          <t>2008</t>
        </is>
      </c>
      <c r="E176" s="6" t="inlineStr">
        <is>
          <t>DS 2008</t>
        </is>
      </c>
      <c r="F176" s="6" t="inlineStr">
        <is>
          <t>Harvest</t>
        </is>
      </c>
      <c r="G176" s="7" t="n">
        <v>9.42</v>
      </c>
      <c r="H176" s="8" t="n">
        <v>26.41</v>
      </c>
      <c r="I176" s="8" t="n">
        <v>21.86</v>
      </c>
      <c r="J176" s="8" t="n">
        <v>32.12</v>
      </c>
      <c r="K176" s="8" t="n">
        <v>82.65000000000001</v>
      </c>
      <c r="L176" s="8" t="n">
        <v>98.18000000000001</v>
      </c>
      <c r="M176" s="8" t="n">
        <v>19.49</v>
      </c>
      <c r="N176" s="6" t="inlineStr">
        <is>
          <t>Type I – Tropical Monsoon (PAGASA)</t>
        </is>
      </c>
      <c r="O176" s="6" t="inlineStr">
        <is>
          <t>Wet</t>
        </is>
      </c>
      <c r="P176" s="6" t="inlineStr">
        <is>
          <t>Silty Clay Loam</t>
        </is>
      </c>
      <c r="Q176" s="6" t="inlineStr">
        <is>
          <t>Flat / Lowland</t>
        </is>
      </c>
      <c r="R176" s="9" t="n">
        <v>30</v>
      </c>
      <c r="S176" s="6" t="inlineStr">
        <is>
          <t>—</t>
        </is>
      </c>
      <c r="T176" s="10" t="n">
        <v>277.2</v>
      </c>
      <c r="U176" s="10" t="n"/>
      <c r="V176" s="10" t="n"/>
      <c r="W176" s="10" t="n"/>
      <c r="X176" s="10" t="n">
        <v>1.29</v>
      </c>
      <c r="Y176" s="10" t="n">
        <v>10.32</v>
      </c>
      <c r="Z176" s="11" t="n">
        <v>8</v>
      </c>
      <c r="AA176" s="12" t="inlineStr">
        <is>
          <t>Transplanting (Pindot) — optimal for clay-loam paddy fields</t>
        </is>
      </c>
      <c r="AB176" s="12" t="inlineStr">
        <is>
          <t>Wet Tillage (Puddling): 2 plowings + thorough harrowing under flooded condition</t>
        </is>
      </c>
      <c r="AC176" s="12" t="inlineStr">
        <is>
          <t>Continuous flooding 2–5 cm depth during vegetative stage; drain 2 weeks before harvest</t>
        </is>
      </c>
    </row>
    <row r="177" ht="21.75" customHeight="1" s="101">
      <c r="A177" s="13" t="inlineStr">
        <is>
          <t>Palay</t>
        </is>
      </c>
      <c r="B177" s="13" t="inlineStr">
        <is>
          <t>Bued</t>
        </is>
      </c>
      <c r="C177" s="13" t="inlineStr">
        <is>
          <t>May</t>
        </is>
      </c>
      <c r="D177" s="13" t="inlineStr">
        <is>
          <t>2008</t>
        </is>
      </c>
      <c r="E177" s="13" t="inlineStr">
        <is>
          <t>DS 2008</t>
        </is>
      </c>
      <c r="F177" s="13" t="inlineStr">
        <is>
          <t>Harvest</t>
        </is>
      </c>
      <c r="G177" s="7" t="n">
        <v>9.42</v>
      </c>
      <c r="H177" s="8" t="n">
        <v>26.41</v>
      </c>
      <c r="I177" s="8" t="n">
        <v>21.86</v>
      </c>
      <c r="J177" s="8" t="n">
        <v>32.12</v>
      </c>
      <c r="K177" s="8" t="n">
        <v>82.65000000000001</v>
      </c>
      <c r="L177" s="8" t="n">
        <v>98.18000000000001</v>
      </c>
      <c r="M177" s="8" t="n">
        <v>19.49</v>
      </c>
      <c r="N177" s="13" t="inlineStr">
        <is>
          <t>Type I – Tropical Monsoon (PAGASA)</t>
        </is>
      </c>
      <c r="O177" s="13" t="inlineStr">
        <is>
          <t>Wet</t>
        </is>
      </c>
      <c r="P177" s="13" t="inlineStr">
        <is>
          <t>Silty Clay Loam</t>
        </is>
      </c>
      <c r="Q177" s="13" t="inlineStr">
        <is>
          <t>Flat / Lowland</t>
        </is>
      </c>
      <c r="R177" s="14" t="n">
        <v>30</v>
      </c>
      <c r="S177" s="13" t="inlineStr">
        <is>
          <t>Tagamusing River</t>
        </is>
      </c>
      <c r="T177" s="15" t="n">
        <v>210.84</v>
      </c>
      <c r="U177" s="15" t="n"/>
      <c r="V177" s="15" t="n"/>
      <c r="W177" s="15" t="n"/>
      <c r="X177" s="15" t="n">
        <v>1.05</v>
      </c>
      <c r="Y177" s="15" t="n">
        <v>8.4</v>
      </c>
      <c r="Z177" s="16" t="n">
        <v>8</v>
      </c>
      <c r="AA177" s="17" t="inlineStr">
        <is>
          <t>Transplanting (Pindot) — optimal for clay-loam paddy fields</t>
        </is>
      </c>
      <c r="AB177" s="17" t="inlineStr">
        <is>
          <t>Wet Tillage (Puddling): 2 plowings + thorough harrowing under flooded condition</t>
        </is>
      </c>
      <c r="AC177" s="17" t="inlineStr">
        <is>
          <t>Continuous flooding 2–5 cm depth during vegetative stage; drain 2 weeks before harvest</t>
        </is>
      </c>
    </row>
    <row r="178" ht="21.75" customHeight="1" s="101">
      <c r="A178" s="6" t="inlineStr">
        <is>
          <t>Palay</t>
        </is>
      </c>
      <c r="B178" s="6" t="inlineStr">
        <is>
          <t>Dumayat</t>
        </is>
      </c>
      <c r="C178" s="6" t="inlineStr">
        <is>
          <t>May</t>
        </is>
      </c>
      <c r="D178" s="6" t="inlineStr">
        <is>
          <t>2008</t>
        </is>
      </c>
      <c r="E178" s="6" t="inlineStr">
        <is>
          <t>DS 2008</t>
        </is>
      </c>
      <c r="F178" s="6" t="inlineStr">
        <is>
          <t>Harvest</t>
        </is>
      </c>
      <c r="G178" s="7" t="n">
        <v>9.42</v>
      </c>
      <c r="H178" s="8" t="n">
        <v>26.41</v>
      </c>
      <c r="I178" s="8" t="n">
        <v>21.86</v>
      </c>
      <c r="J178" s="8" t="n">
        <v>32.12</v>
      </c>
      <c r="K178" s="8" t="n">
        <v>82.65000000000001</v>
      </c>
      <c r="L178" s="8" t="n">
        <v>98.18000000000001</v>
      </c>
      <c r="M178" s="8" t="n">
        <v>19.49</v>
      </c>
      <c r="N178" s="6" t="inlineStr">
        <is>
          <t>Type I – Tropical Monsoon (PAGASA)</t>
        </is>
      </c>
      <c r="O178" s="6" t="inlineStr">
        <is>
          <t>Wet</t>
        </is>
      </c>
      <c r="P178" s="6" t="inlineStr">
        <is>
          <t>Silty Clay Loam</t>
        </is>
      </c>
      <c r="Q178" s="6" t="inlineStr">
        <is>
          <t>Flat / Lowland</t>
        </is>
      </c>
      <c r="R178" s="9" t="n">
        <v>30</v>
      </c>
      <c r="S178" s="6" t="inlineStr">
        <is>
          <t>—</t>
        </is>
      </c>
      <c r="T178" s="10" t="n">
        <v>266.28</v>
      </c>
      <c r="U178" s="10" t="n"/>
      <c r="V178" s="10" t="n"/>
      <c r="W178" s="10" t="n"/>
      <c r="X178" s="10" t="n">
        <v>1.05</v>
      </c>
      <c r="Y178" s="10" t="n">
        <v>8.4</v>
      </c>
      <c r="Z178" s="11" t="n">
        <v>8</v>
      </c>
      <c r="AA178" s="12" t="inlineStr">
        <is>
          <t>Transplanting (Pindot) — optimal for clay-loam paddy fields</t>
        </is>
      </c>
      <c r="AB178" s="12" t="inlineStr">
        <is>
          <t>Wet Tillage (Puddling): 2 plowings + thorough harrowing under flooded condition</t>
        </is>
      </c>
      <c r="AC178" s="12" t="inlineStr">
        <is>
          <t>Continuous flooding 2–5 cm depth during vegetative stage; drain 2 weeks before harvest</t>
        </is>
      </c>
    </row>
    <row r="179" ht="21.75" customHeight="1" s="101">
      <c r="A179" s="13" t="inlineStr">
        <is>
          <t>Palay</t>
        </is>
      </c>
      <c r="B179" s="13" t="inlineStr">
        <is>
          <t>Camanggaan</t>
        </is>
      </c>
      <c r="C179" s="13" t="inlineStr">
        <is>
          <t>May</t>
        </is>
      </c>
      <c r="D179" s="13" t="inlineStr">
        <is>
          <t>2008</t>
        </is>
      </c>
      <c r="E179" s="13" t="inlineStr">
        <is>
          <t>DS 2008</t>
        </is>
      </c>
      <c r="F179" s="13" t="inlineStr">
        <is>
          <t>Harvest</t>
        </is>
      </c>
      <c r="G179" s="7" t="n">
        <v>9.42</v>
      </c>
      <c r="H179" s="8" t="n">
        <v>26.41</v>
      </c>
      <c r="I179" s="8" t="n">
        <v>21.86</v>
      </c>
      <c r="J179" s="8" t="n">
        <v>32.12</v>
      </c>
      <c r="K179" s="8" t="n">
        <v>82.65000000000001</v>
      </c>
      <c r="L179" s="8" t="n">
        <v>98.18000000000001</v>
      </c>
      <c r="M179" s="8" t="n">
        <v>19.49</v>
      </c>
      <c r="N179" s="13" t="inlineStr">
        <is>
          <t>Type I – Tropical Monsoon (PAGASA)</t>
        </is>
      </c>
      <c r="O179" s="13" t="inlineStr">
        <is>
          <t>Wet</t>
        </is>
      </c>
      <c r="P179" s="13" t="inlineStr">
        <is>
          <t>Sandy Loam</t>
        </is>
      </c>
      <c r="Q179" s="13" t="inlineStr">
        <is>
          <t>Flat / Lowland</t>
        </is>
      </c>
      <c r="R179" s="14" t="n">
        <v>30</v>
      </c>
      <c r="S179" s="13" t="inlineStr">
        <is>
          <t>—</t>
        </is>
      </c>
      <c r="T179" s="15" t="n">
        <v>244.44</v>
      </c>
      <c r="U179" s="15" t="n"/>
      <c r="V179" s="15" t="n"/>
      <c r="W179" s="15" t="n"/>
      <c r="X179" s="15" t="n">
        <v>1.05</v>
      </c>
      <c r="Y179" s="15" t="n">
        <v>8.4</v>
      </c>
      <c r="Z179" s="16" t="n">
        <v>8</v>
      </c>
      <c r="AA179" s="17" t="inlineStr">
        <is>
          <t>Transplanting (Pindot) or Direct Seeding (Pinaghandaan)</t>
        </is>
      </c>
      <c r="AB179" s="17" t="inlineStr">
        <is>
          <t>Conventional Tillage: 2 plowings + 2 harrowings; soil workable when moist</t>
        </is>
      </c>
      <c r="AC179" s="17" t="inlineStr">
        <is>
          <t>Intermittent irrigation (Alternate Wetting and Drying — AWD); moderate retention</t>
        </is>
      </c>
    </row>
    <row r="180" ht="21.75" customHeight="1" s="101">
      <c r="A180" s="6" t="inlineStr">
        <is>
          <t>Palay</t>
        </is>
      </c>
      <c r="B180" s="6" t="inlineStr">
        <is>
          <t>Bugayong</t>
        </is>
      </c>
      <c r="C180" s="6" t="inlineStr">
        <is>
          <t>May</t>
        </is>
      </c>
      <c r="D180" s="6" t="inlineStr">
        <is>
          <t>2008</t>
        </is>
      </c>
      <c r="E180" s="6" t="inlineStr">
        <is>
          <t>DS 2008</t>
        </is>
      </c>
      <c r="F180" s="6" t="inlineStr">
        <is>
          <t>Harvest</t>
        </is>
      </c>
      <c r="G180" s="7" t="n">
        <v>9.42</v>
      </c>
      <c r="H180" s="8" t="n">
        <v>26.41</v>
      </c>
      <c r="I180" s="8" t="n">
        <v>21.86</v>
      </c>
      <c r="J180" s="8" t="n">
        <v>32.12</v>
      </c>
      <c r="K180" s="8" t="n">
        <v>82.65000000000001</v>
      </c>
      <c r="L180" s="8" t="n">
        <v>98.18000000000001</v>
      </c>
      <c r="M180" s="8" t="n">
        <v>19.49</v>
      </c>
      <c r="N180" s="6" t="inlineStr">
        <is>
          <t>Type I – Tropical Monsoon (PAGASA)</t>
        </is>
      </c>
      <c r="O180" s="6" t="inlineStr">
        <is>
          <t>Wet</t>
        </is>
      </c>
      <c r="P180" s="6" t="inlineStr">
        <is>
          <t>Sandy Loam / Silty Clay Loam</t>
        </is>
      </c>
      <c r="Q180" s="6" t="inlineStr">
        <is>
          <t>Flat / Lowland</t>
        </is>
      </c>
      <c r="R180" s="9" t="n">
        <v>30</v>
      </c>
      <c r="S180" s="6" t="inlineStr">
        <is>
          <t>Aloragat River</t>
        </is>
      </c>
      <c r="T180" s="10" t="n">
        <v>346.08</v>
      </c>
      <c r="U180" s="10" t="n"/>
      <c r="V180" s="10" t="n"/>
      <c r="W180" s="10" t="n"/>
      <c r="X180" s="10" t="n">
        <v>1.29</v>
      </c>
      <c r="Y180" s="10" t="n">
        <v>10.32</v>
      </c>
      <c r="Z180" s="11" t="n">
        <v>8</v>
      </c>
      <c r="AA180" s="12" t="inlineStr">
        <is>
          <t>Transplanting (Pindot) — recommended; Direct Seeding possible in dry season</t>
        </is>
      </c>
      <c r="AB180" s="12" t="inlineStr">
        <is>
          <t>Conventional Tillage: 2 plowings + harrowing; puddle thoroughly for transplanting</t>
        </is>
      </c>
      <c r="AC180" s="12" t="inlineStr">
        <is>
          <t>Intermittent to continuous flooding; manage according to drainage section present</t>
        </is>
      </c>
    </row>
    <row r="181" ht="21.75" customHeight="1" s="101">
      <c r="A181" s="13" t="inlineStr">
        <is>
          <t>Palay</t>
        </is>
      </c>
      <c r="B181" s="13" t="inlineStr">
        <is>
          <t>Vacante</t>
        </is>
      </c>
      <c r="C181" s="13" t="inlineStr">
        <is>
          <t>May</t>
        </is>
      </c>
      <c r="D181" s="13" t="inlineStr">
        <is>
          <t>2008</t>
        </is>
      </c>
      <c r="E181" s="13" t="inlineStr">
        <is>
          <t>DS 2008</t>
        </is>
      </c>
      <c r="F181" s="13" t="inlineStr">
        <is>
          <t>Harvest</t>
        </is>
      </c>
      <c r="G181" s="7" t="n">
        <v>9.42</v>
      </c>
      <c r="H181" s="8" t="n">
        <v>26.41</v>
      </c>
      <c r="I181" s="8" t="n">
        <v>21.86</v>
      </c>
      <c r="J181" s="8" t="n">
        <v>32.12</v>
      </c>
      <c r="K181" s="8" t="n">
        <v>82.65000000000001</v>
      </c>
      <c r="L181" s="8" t="n">
        <v>98.18000000000001</v>
      </c>
      <c r="M181" s="8" t="n">
        <v>19.49</v>
      </c>
      <c r="N181" s="13" t="inlineStr">
        <is>
          <t>Type I – Tropical Monsoon (PAGASA)</t>
        </is>
      </c>
      <c r="O181" s="13" t="inlineStr">
        <is>
          <t>Wet</t>
        </is>
      </c>
      <c r="P181" s="13" t="inlineStr">
        <is>
          <t>Silty Clay Loam</t>
        </is>
      </c>
      <c r="Q181" s="13" t="inlineStr">
        <is>
          <t>Flat / Lowland</t>
        </is>
      </c>
      <c r="R181" s="14" t="n">
        <v>30</v>
      </c>
      <c r="S181" s="13" t="inlineStr">
        <is>
          <t>Aloragat River</t>
        </is>
      </c>
      <c r="T181" s="15" t="n">
        <v>484.68</v>
      </c>
      <c r="U181" s="15" t="n"/>
      <c r="V181" s="15" t="n"/>
      <c r="W181" s="15" t="n"/>
      <c r="X181" s="15" t="n">
        <v>2.02</v>
      </c>
      <c r="Y181" s="15" t="n">
        <v>16.16</v>
      </c>
      <c r="Z181" s="16" t="n">
        <v>8</v>
      </c>
      <c r="AA181" s="17" t="inlineStr">
        <is>
          <t>Transplanting (Pindot) — optimal for clay-loam paddy fields</t>
        </is>
      </c>
      <c r="AB181" s="17" t="inlineStr">
        <is>
          <t>Wet Tillage (Puddling): 2 plowings + thorough harrowing under flooded condition</t>
        </is>
      </c>
      <c r="AC181" s="17" t="inlineStr">
        <is>
          <t>Continuous flooding 2–5 cm depth during vegetative stage; drain 2 weeks before harvest</t>
        </is>
      </c>
    </row>
    <row r="182" ht="21.75" customHeight="1" s="101">
      <c r="A182" s="6" t="inlineStr">
        <is>
          <t>Palay</t>
        </is>
      </c>
      <c r="B182" s="6" t="inlineStr">
        <is>
          <t>Sta. Catalina</t>
        </is>
      </c>
      <c r="C182" s="6" t="inlineStr">
        <is>
          <t>May</t>
        </is>
      </c>
      <c r="D182" s="6" t="inlineStr">
        <is>
          <t>2008</t>
        </is>
      </c>
      <c r="E182" s="6" t="inlineStr">
        <is>
          <t>DS 2008</t>
        </is>
      </c>
      <c r="F182" s="6" t="inlineStr">
        <is>
          <t>Harvest</t>
        </is>
      </c>
      <c r="G182" s="7" t="n">
        <v>9.42</v>
      </c>
      <c r="H182" s="8" t="n">
        <v>26.41</v>
      </c>
      <c r="I182" s="8" t="n">
        <v>21.86</v>
      </c>
      <c r="J182" s="8" t="n">
        <v>32.12</v>
      </c>
      <c r="K182" s="8" t="n">
        <v>82.65000000000001</v>
      </c>
      <c r="L182" s="8" t="n">
        <v>98.18000000000001</v>
      </c>
      <c r="M182" s="8" t="n">
        <v>19.49</v>
      </c>
      <c r="N182" s="6" t="inlineStr">
        <is>
          <t>Type I – Tropical Monsoon (PAGASA)</t>
        </is>
      </c>
      <c r="O182" s="6" t="inlineStr">
        <is>
          <t>Wet</t>
        </is>
      </c>
      <c r="P182" s="6" t="inlineStr">
        <is>
          <t>Fine Sand / Sandy Loam</t>
        </is>
      </c>
      <c r="Q182" s="6" t="inlineStr">
        <is>
          <t>Moderately Sloping / Highland</t>
        </is>
      </c>
      <c r="R182" s="9" t="n">
        <v>90</v>
      </c>
      <c r="S182" s="6" t="inlineStr">
        <is>
          <t>—</t>
        </is>
      </c>
      <c r="T182" s="10" t="n">
        <v>709.8</v>
      </c>
      <c r="U182" s="10" t="n"/>
      <c r="V182" s="10" t="n"/>
      <c r="W182" s="10" t="n"/>
      <c r="X182" s="10" t="n">
        <v>3.4</v>
      </c>
      <c r="Y182" s="10" t="n">
        <v>27.2</v>
      </c>
      <c r="Z182" s="11" t="n">
        <v>8</v>
      </c>
      <c r="AA182" s="12" t="inlineStr">
        <is>
          <t>Transplanting (Pindot)</t>
        </is>
      </c>
      <c r="AB182" s="12" t="inlineStr">
        <is>
          <t>Minimum Tillage (avoid compaction; sandy structure fragile)</t>
        </is>
      </c>
      <c r="AC182" s="12" t="inlineStr">
        <is>
          <t>Continuous flooding or frequent irrigation; high percolation risk; terrace or bund-assisted water retention essential on slopes</t>
        </is>
      </c>
    </row>
    <row r="183" ht="21.75" customHeight="1" s="101">
      <c r="A183" s="13" t="inlineStr">
        <is>
          <t>Palay</t>
        </is>
      </c>
      <c r="B183" s="13" t="inlineStr">
        <is>
          <t>Moreno</t>
        </is>
      </c>
      <c r="C183" s="13" t="inlineStr">
        <is>
          <t>May</t>
        </is>
      </c>
      <c r="D183" s="13" t="inlineStr">
        <is>
          <t>2008</t>
        </is>
      </c>
      <c r="E183" s="13" t="inlineStr">
        <is>
          <t>DS 2008</t>
        </is>
      </c>
      <c r="F183" s="13" t="inlineStr">
        <is>
          <t>Harvest</t>
        </is>
      </c>
      <c r="G183" s="7" t="n">
        <v>9.42</v>
      </c>
      <c r="H183" s="8" t="n">
        <v>26.41</v>
      </c>
      <c r="I183" s="8" t="n">
        <v>21.86</v>
      </c>
      <c r="J183" s="8" t="n">
        <v>32.12</v>
      </c>
      <c r="K183" s="8" t="n">
        <v>82.65000000000001</v>
      </c>
      <c r="L183" s="8" t="n">
        <v>98.18000000000001</v>
      </c>
      <c r="M183" s="8" t="n">
        <v>19.49</v>
      </c>
      <c r="N183" s="13" t="inlineStr">
        <is>
          <t>Type I – Tropical Monsoon (PAGASA)</t>
        </is>
      </c>
      <c r="O183" s="13" t="inlineStr">
        <is>
          <t>Wet</t>
        </is>
      </c>
      <c r="P183" s="13" t="inlineStr">
        <is>
          <t>Sandy Loam</t>
        </is>
      </c>
      <c r="Q183" s="13" t="inlineStr">
        <is>
          <t>Moderately Sloping / Highland</t>
        </is>
      </c>
      <c r="R183" s="14" t="n">
        <v>90</v>
      </c>
      <c r="S183" s="13" t="inlineStr">
        <is>
          <t>Alibeng River</t>
        </is>
      </c>
      <c r="T183" s="15" t="n">
        <v>641.76</v>
      </c>
      <c r="U183" s="15" t="n"/>
      <c r="V183" s="15" t="n"/>
      <c r="W183" s="15" t="n"/>
      <c r="X183" s="15" t="n">
        <v>3.37</v>
      </c>
      <c r="Y183" s="15" t="n">
        <v>26.96</v>
      </c>
      <c r="Z183" s="16" t="n">
        <v>8</v>
      </c>
      <c r="AA183" s="17" t="inlineStr">
        <is>
          <t>Transplanting (Pindot) or Direct Seeding (Pinaghandaan)</t>
        </is>
      </c>
      <c r="AB183" s="17" t="inlineStr">
        <is>
          <t>Conventional Tillage: 2 plowings + 2 harrowings; soil workable when moist</t>
        </is>
      </c>
      <c r="AC183" s="17" t="inlineStr">
        <is>
          <t>Intermittent irrigation (Alternate Wetting and Drying — AWD); moderate retention; terrace or bund-assisted water retention essential on slopes</t>
        </is>
      </c>
    </row>
    <row r="184" ht="21.75" customHeight="1" s="101">
      <c r="A184" s="6" t="inlineStr">
        <is>
          <t>Palay</t>
        </is>
      </c>
      <c r="B184" s="6" t="inlineStr">
        <is>
          <t>Cili</t>
        </is>
      </c>
      <c r="C184" s="6" t="inlineStr">
        <is>
          <t>May</t>
        </is>
      </c>
      <c r="D184" s="6" t="inlineStr">
        <is>
          <t>2008</t>
        </is>
      </c>
      <c r="E184" s="6" t="inlineStr">
        <is>
          <t>DS 2008</t>
        </is>
      </c>
      <c r="F184" s="6" t="inlineStr">
        <is>
          <t>Harvest</t>
        </is>
      </c>
      <c r="G184" s="7" t="n">
        <v>9.42</v>
      </c>
      <c r="H184" s="8" t="n">
        <v>26.41</v>
      </c>
      <c r="I184" s="8" t="n">
        <v>21.86</v>
      </c>
      <c r="J184" s="8" t="n">
        <v>32.12</v>
      </c>
      <c r="K184" s="8" t="n">
        <v>82.65000000000001</v>
      </c>
      <c r="L184" s="8" t="n">
        <v>98.18000000000001</v>
      </c>
      <c r="M184" s="8" t="n">
        <v>19.49</v>
      </c>
      <c r="N184" s="6" t="inlineStr">
        <is>
          <t>Type I – Tropical Monsoon (PAGASA)</t>
        </is>
      </c>
      <c r="O184" s="6" t="inlineStr">
        <is>
          <t>Wet</t>
        </is>
      </c>
      <c r="P184" s="6" t="inlineStr">
        <is>
          <t>Silty Clay Loam</t>
        </is>
      </c>
      <c r="Q184" s="6" t="inlineStr">
        <is>
          <t>Flat / Lowland</t>
        </is>
      </c>
      <c r="R184" s="9" t="n">
        <v>30</v>
      </c>
      <c r="S184" s="6" t="inlineStr">
        <is>
          <t>Alibeng River</t>
        </is>
      </c>
      <c r="T184" s="10" t="n">
        <v>264.6</v>
      </c>
      <c r="U184" s="10" t="n"/>
      <c r="V184" s="10" t="n"/>
      <c r="W184" s="10" t="n"/>
      <c r="X184" s="10" t="n">
        <v>1.05</v>
      </c>
      <c r="Y184" s="10" t="n">
        <v>8.4</v>
      </c>
      <c r="Z184" s="11" t="n">
        <v>8</v>
      </c>
      <c r="AA184" s="12" t="inlineStr">
        <is>
          <t>Transplanting (Pindot) — optimal for clay-loam paddy fields</t>
        </is>
      </c>
      <c r="AB184" s="12" t="inlineStr">
        <is>
          <t>Wet Tillage (Puddling): 2 plowings + thorough harrowing under flooded condition</t>
        </is>
      </c>
      <c r="AC184" s="12" t="inlineStr">
        <is>
          <t>Continuous flooding 2–5 cm depth during vegetative stage; drain 2 weeks before harvest</t>
        </is>
      </c>
    </row>
    <row r="185" ht="21.75" customHeight="1" s="101">
      <c r="A185" s="13" t="inlineStr">
        <is>
          <t>Palay</t>
        </is>
      </c>
      <c r="B185" s="13" t="inlineStr">
        <is>
          <t>San Pablo</t>
        </is>
      </c>
      <c r="C185" s="13" t="inlineStr">
        <is>
          <t>May</t>
        </is>
      </c>
      <c r="D185" s="13" t="inlineStr">
        <is>
          <t>2008</t>
        </is>
      </c>
      <c r="E185" s="13" t="inlineStr">
        <is>
          <t>DS 2008</t>
        </is>
      </c>
      <c r="F185" s="13" t="inlineStr">
        <is>
          <t>Harvest</t>
        </is>
      </c>
      <c r="G185" s="7" t="n">
        <v>9.42</v>
      </c>
      <c r="H185" s="8" t="n">
        <v>26.41</v>
      </c>
      <c r="I185" s="8" t="n">
        <v>21.86</v>
      </c>
      <c r="J185" s="8" t="n">
        <v>32.12</v>
      </c>
      <c r="K185" s="8" t="n">
        <v>82.65000000000001</v>
      </c>
      <c r="L185" s="8" t="n">
        <v>98.18000000000001</v>
      </c>
      <c r="M185" s="8" t="n">
        <v>19.49</v>
      </c>
      <c r="N185" s="13" t="inlineStr">
        <is>
          <t>Type I – Tropical Monsoon (PAGASA)</t>
        </is>
      </c>
      <c r="O185" s="13" t="inlineStr">
        <is>
          <t>Wet</t>
        </is>
      </c>
      <c r="P185" s="13" t="inlineStr">
        <is>
          <t>Sandy Loam</t>
        </is>
      </c>
      <c r="Q185" s="13" t="inlineStr">
        <is>
          <t>Flat / Lowland</t>
        </is>
      </c>
      <c r="R185" s="14" t="n">
        <v>30</v>
      </c>
      <c r="S185" s="13" t="inlineStr">
        <is>
          <t>San Pablo Creek</t>
        </is>
      </c>
      <c r="T185" s="15" t="n">
        <v>215.04</v>
      </c>
      <c r="U185" s="15" t="n"/>
      <c r="V185" s="15" t="n"/>
      <c r="W185" s="15" t="n"/>
      <c r="X185" s="15" t="n">
        <v>5.11</v>
      </c>
      <c r="Y185" s="15" t="n">
        <v>18.2</v>
      </c>
      <c r="Z185" s="16" t="n">
        <v>3.56</v>
      </c>
      <c r="AA185" s="17" t="inlineStr">
        <is>
          <t>Transplanting (Pindot) or Direct Seeding (Pinaghandaan)</t>
        </is>
      </c>
      <c r="AB185" s="17" t="inlineStr">
        <is>
          <t>Conventional Tillage: 2 plowings + 2 harrowings; soil workable when moist</t>
        </is>
      </c>
      <c r="AC185" s="17" t="inlineStr">
        <is>
          <t>Intermittent irrigation (Alternate Wetting and Drying — AWD); moderate retention</t>
        </is>
      </c>
    </row>
    <row r="186" ht="21.75" customHeight="1" s="101">
      <c r="A186" s="6" t="inlineStr">
        <is>
          <t>Palay</t>
        </is>
      </c>
      <c r="B186" s="6" t="inlineStr">
        <is>
          <t>Balangobong</t>
        </is>
      </c>
      <c r="C186" s="6" t="inlineStr">
        <is>
          <t>May</t>
        </is>
      </c>
      <c r="D186" s="6" t="inlineStr">
        <is>
          <t>2008</t>
        </is>
      </c>
      <c r="E186" s="6" t="inlineStr">
        <is>
          <t>DS 2008</t>
        </is>
      </c>
      <c r="F186" s="6" t="inlineStr">
        <is>
          <t>Harvest</t>
        </is>
      </c>
      <c r="G186" s="7" t="n">
        <v>9.42</v>
      </c>
      <c r="H186" s="8" t="n">
        <v>26.41</v>
      </c>
      <c r="I186" s="8" t="n">
        <v>21.86</v>
      </c>
      <c r="J186" s="8" t="n">
        <v>32.12</v>
      </c>
      <c r="K186" s="8" t="n">
        <v>82.65000000000001</v>
      </c>
      <c r="L186" s="8" t="n">
        <v>98.18000000000001</v>
      </c>
      <c r="M186" s="8" t="n">
        <v>19.49</v>
      </c>
      <c r="N186" s="6" t="inlineStr">
        <is>
          <t>Type I – Tropical Monsoon (PAGASA)</t>
        </is>
      </c>
      <c r="O186" s="6" t="inlineStr">
        <is>
          <t>Wet</t>
        </is>
      </c>
      <c r="P186" s="6" t="inlineStr">
        <is>
          <t>Silty Clay Loam</t>
        </is>
      </c>
      <c r="Q186" s="6" t="inlineStr">
        <is>
          <t>Flat / Lowland</t>
        </is>
      </c>
      <c r="R186" s="9" t="n">
        <v>30</v>
      </c>
      <c r="S186" s="6" t="inlineStr">
        <is>
          <t>—</t>
        </is>
      </c>
      <c r="T186" s="10" t="n">
        <v>281.4</v>
      </c>
      <c r="U186" s="10" t="n"/>
      <c r="V186" s="10" t="n"/>
      <c r="W186" s="10" t="n"/>
      <c r="X186" s="10" t="n">
        <v>1.31</v>
      </c>
      <c r="Y186" s="10" t="n">
        <v>10.48</v>
      </c>
      <c r="Z186" s="11" t="n">
        <v>8</v>
      </c>
      <c r="AA186" s="12" t="inlineStr">
        <is>
          <t>Transplanting (Pindot) — optimal for clay-loam paddy fields</t>
        </is>
      </c>
      <c r="AB186" s="12" t="inlineStr">
        <is>
          <t>Wet Tillage (Puddling): 2 plowings + thorough harrowing under flooded condition</t>
        </is>
      </c>
      <c r="AC186" s="12" t="inlineStr">
        <is>
          <t>Continuous flooding 2–5 cm depth during vegetative stage; drain 2 weeks before harvest</t>
        </is>
      </c>
    </row>
    <row r="187" ht="21.75" customHeight="1" s="101">
      <c r="A187" s="13" t="inlineStr">
        <is>
          <t>Palay</t>
        </is>
      </c>
      <c r="B187" s="13" t="inlineStr">
        <is>
          <t>San Felipe Central</t>
        </is>
      </c>
      <c r="C187" s="13" t="inlineStr">
        <is>
          <t>May</t>
        </is>
      </c>
      <c r="D187" s="13" t="inlineStr">
        <is>
          <t>2008</t>
        </is>
      </c>
      <c r="E187" s="13" t="inlineStr">
        <is>
          <t>DS 2008</t>
        </is>
      </c>
      <c r="F187" s="13" t="inlineStr">
        <is>
          <t>Harvest</t>
        </is>
      </c>
      <c r="G187" s="7" t="n">
        <v>9.42</v>
      </c>
      <c r="H187" s="8" t="n">
        <v>26.41</v>
      </c>
      <c r="I187" s="8" t="n">
        <v>21.86</v>
      </c>
      <c r="J187" s="8" t="n">
        <v>32.12</v>
      </c>
      <c r="K187" s="8" t="n">
        <v>82.65000000000001</v>
      </c>
      <c r="L187" s="8" t="n">
        <v>98.18000000000001</v>
      </c>
      <c r="M187" s="8" t="n">
        <v>19.49</v>
      </c>
      <c r="N187" s="13" t="inlineStr">
        <is>
          <t>Type I – Tropical Monsoon (PAGASA)</t>
        </is>
      </c>
      <c r="O187" s="13" t="inlineStr">
        <is>
          <t>Wet</t>
        </is>
      </c>
      <c r="P187" s="13" t="inlineStr">
        <is>
          <t>Sandy Loam</t>
        </is>
      </c>
      <c r="Q187" s="13" t="inlineStr">
        <is>
          <t>Flat / Lowland</t>
        </is>
      </c>
      <c r="R187" s="14" t="n">
        <v>30</v>
      </c>
      <c r="S187" s="13" t="inlineStr">
        <is>
          <t>—</t>
        </is>
      </c>
      <c r="T187" s="15" t="n">
        <v>452.76</v>
      </c>
      <c r="U187" s="15" t="n"/>
      <c r="V187" s="15" t="n"/>
      <c r="W187" s="15" t="n"/>
      <c r="X187" s="15" t="n">
        <v>1</v>
      </c>
      <c r="Y187" s="15" t="n">
        <v>8</v>
      </c>
      <c r="Z187" s="16" t="n">
        <v>8</v>
      </c>
      <c r="AA187" s="17" t="inlineStr">
        <is>
          <t>Transplanting (Pindot) or Direct Seeding (Pinaghandaan)</t>
        </is>
      </c>
      <c r="AB187" s="17" t="inlineStr">
        <is>
          <t>Conventional Tillage: 2 plowings + 2 harrowings; soil workable when moist</t>
        </is>
      </c>
      <c r="AC187" s="17" t="inlineStr">
        <is>
          <t>Intermittent irrigation (Alternate Wetting and Drying — AWD); moderate retention</t>
        </is>
      </c>
    </row>
    <row r="188" ht="21.75" customHeight="1" s="101">
      <c r="A188" s="6" t="inlineStr">
        <is>
          <t>Palay</t>
        </is>
      </c>
      <c r="B188" s="6" t="inlineStr">
        <is>
          <t>Sumabnit</t>
        </is>
      </c>
      <c r="C188" s="6" t="inlineStr">
        <is>
          <t>May</t>
        </is>
      </c>
      <c r="D188" s="6" t="inlineStr">
        <is>
          <t>2008</t>
        </is>
      </c>
      <c r="E188" s="6" t="inlineStr">
        <is>
          <t>DS 2008</t>
        </is>
      </c>
      <c r="F188" s="6" t="inlineStr">
        <is>
          <t>Harvest</t>
        </is>
      </c>
      <c r="G188" s="7" t="n">
        <v>9.42</v>
      </c>
      <c r="H188" s="8" t="n">
        <v>26.41</v>
      </c>
      <c r="I188" s="8" t="n">
        <v>21.86</v>
      </c>
      <c r="J188" s="8" t="n">
        <v>32.12</v>
      </c>
      <c r="K188" s="8" t="n">
        <v>82.65000000000001</v>
      </c>
      <c r="L188" s="8" t="n">
        <v>98.18000000000001</v>
      </c>
      <c r="M188" s="8" t="n">
        <v>19.49</v>
      </c>
      <c r="N188" s="6" t="inlineStr">
        <is>
          <t>Type I – Tropical Monsoon (PAGASA)</t>
        </is>
      </c>
      <c r="O188" s="6" t="inlineStr">
        <is>
          <t>Wet</t>
        </is>
      </c>
      <c r="P188" s="6" t="inlineStr">
        <is>
          <t>Silty Clay Loam / Fine Sandy Loam</t>
        </is>
      </c>
      <c r="Q188" s="6" t="inlineStr">
        <is>
          <t>Flat / Lowland</t>
        </is>
      </c>
      <c r="R188" s="9" t="n">
        <v>30</v>
      </c>
      <c r="S188" s="6" t="inlineStr">
        <is>
          <t>Tagamusing River</t>
        </is>
      </c>
      <c r="T188" s="10" t="n">
        <v>406.56</v>
      </c>
      <c r="U188" s="10" t="n"/>
      <c r="V188" s="10" t="n"/>
      <c r="W188" s="10" t="n"/>
      <c r="X188" s="10" t="n">
        <v>1.9</v>
      </c>
      <c r="Y188" s="10" t="n">
        <v>15.2</v>
      </c>
      <c r="Z188" s="11" t="n">
        <v>8</v>
      </c>
      <c r="AA188" s="12" t="inlineStr">
        <is>
          <t>Transplanting (Pindot)</t>
        </is>
      </c>
      <c r="AB188" s="12" t="inlineStr">
        <is>
          <t>Minimum Tillage (avoid compaction; sandy structure fragile)</t>
        </is>
      </c>
      <c r="AC188" s="12" t="inlineStr">
        <is>
          <t>Continuous flooding or frequent irrigation; high percolation risk</t>
        </is>
      </c>
    </row>
    <row r="189" ht="21.75" customHeight="1" s="101">
      <c r="A189" s="13" t="inlineStr">
        <is>
          <t>Palay</t>
        </is>
      </c>
      <c r="B189" s="13" t="inlineStr">
        <is>
          <t>San Felipe Sur</t>
        </is>
      </c>
      <c r="C189" s="13" t="inlineStr">
        <is>
          <t>May</t>
        </is>
      </c>
      <c r="D189" s="13" t="inlineStr">
        <is>
          <t>2008</t>
        </is>
      </c>
      <c r="E189" s="13" t="inlineStr">
        <is>
          <t>DS 2008</t>
        </is>
      </c>
      <c r="F189" s="13" t="inlineStr">
        <is>
          <t>Harvest</t>
        </is>
      </c>
      <c r="G189" s="7" t="n">
        <v>9.42</v>
      </c>
      <c r="H189" s="8" t="n">
        <v>26.41</v>
      </c>
      <c r="I189" s="8" t="n">
        <v>21.86</v>
      </c>
      <c r="J189" s="8" t="n">
        <v>32.12</v>
      </c>
      <c r="K189" s="8" t="n">
        <v>82.65000000000001</v>
      </c>
      <c r="L189" s="8" t="n">
        <v>98.18000000000001</v>
      </c>
      <c r="M189" s="8" t="n">
        <v>19.49</v>
      </c>
      <c r="N189" s="13" t="inlineStr">
        <is>
          <t>Type I – Tropical Monsoon (PAGASA)</t>
        </is>
      </c>
      <c r="O189" s="13" t="inlineStr">
        <is>
          <t>Wet</t>
        </is>
      </c>
      <c r="P189" s="13" t="inlineStr">
        <is>
          <t>Sandy Loam</t>
        </is>
      </c>
      <c r="Q189" s="13" t="inlineStr">
        <is>
          <t>Flat / Lowland</t>
        </is>
      </c>
      <c r="R189" s="14" t="n">
        <v>30</v>
      </c>
      <c r="S189" s="13" t="inlineStr">
        <is>
          <t>Tagamusing River</t>
        </is>
      </c>
      <c r="T189" s="15" t="n">
        <v>504</v>
      </c>
      <c r="U189" s="15" t="n"/>
      <c r="V189" s="15" t="n"/>
      <c r="W189" s="15" t="n"/>
      <c r="X189" s="15" t="n">
        <v>4.46</v>
      </c>
      <c r="Y189" s="15" t="n">
        <v>28.22</v>
      </c>
      <c r="Z189" s="16" t="n">
        <v>6.33</v>
      </c>
      <c r="AA189" s="17" t="inlineStr">
        <is>
          <t>Transplanting (Pindot) or Direct Seeding (Pinaghandaan)</t>
        </is>
      </c>
      <c r="AB189" s="17" t="inlineStr">
        <is>
          <t>Conventional Tillage: 2 plowings + 2 harrowings; soil workable when moist</t>
        </is>
      </c>
      <c r="AC189" s="17" t="inlineStr">
        <is>
          <t>Intermittent irrigation (Alternate Wetting and Drying — AWD); moderate retention</t>
        </is>
      </c>
    </row>
    <row r="190" ht="21.75" customHeight="1" s="101">
      <c r="A190" s="6" t="inlineStr">
        <is>
          <t>Palay</t>
        </is>
      </c>
      <c r="B190" s="6" t="inlineStr">
        <is>
          <t>Linmansangan</t>
        </is>
      </c>
      <c r="C190" s="6" t="inlineStr">
        <is>
          <t>May</t>
        </is>
      </c>
      <c r="D190" s="6" t="inlineStr">
        <is>
          <t>2008</t>
        </is>
      </c>
      <c r="E190" s="6" t="inlineStr">
        <is>
          <t>DS 2008</t>
        </is>
      </c>
      <c r="F190" s="6" t="inlineStr">
        <is>
          <t>Harvest</t>
        </is>
      </c>
      <c r="G190" s="7" t="n">
        <v>9.42</v>
      </c>
      <c r="H190" s="8" t="n">
        <v>26.41</v>
      </c>
      <c r="I190" s="8" t="n">
        <v>21.86</v>
      </c>
      <c r="J190" s="8" t="n">
        <v>32.12</v>
      </c>
      <c r="K190" s="8" t="n">
        <v>82.65000000000001</v>
      </c>
      <c r="L190" s="8" t="n">
        <v>98.18000000000001</v>
      </c>
      <c r="M190" s="8" t="n">
        <v>19.49</v>
      </c>
      <c r="N190" s="6" t="inlineStr">
        <is>
          <t>Type I – Tropical Monsoon (PAGASA)</t>
        </is>
      </c>
      <c r="O190" s="6" t="inlineStr">
        <is>
          <t>Wet</t>
        </is>
      </c>
      <c r="P190" s="6" t="inlineStr">
        <is>
          <t>Silty Clay Loam</t>
        </is>
      </c>
      <c r="Q190" s="6" t="inlineStr">
        <is>
          <t>Flat / Lowland</t>
        </is>
      </c>
      <c r="R190" s="9" t="n">
        <v>30</v>
      </c>
      <c r="S190" s="6" t="inlineStr">
        <is>
          <t>—</t>
        </is>
      </c>
      <c r="T190" s="10" t="n">
        <v>492.24</v>
      </c>
      <c r="U190" s="10" t="n"/>
      <c r="V190" s="10" t="n"/>
      <c r="W190" s="10" t="n"/>
      <c r="X190" s="10" t="n">
        <v>2.64</v>
      </c>
      <c r="Y190" s="10" t="n">
        <v>21.12</v>
      </c>
      <c r="Z190" s="11" t="n">
        <v>8</v>
      </c>
      <c r="AA190" s="12" t="inlineStr">
        <is>
          <t>Transplanting (Pindot) — optimal for clay-loam paddy fields</t>
        </is>
      </c>
      <c r="AB190" s="12" t="inlineStr">
        <is>
          <t>Wet Tillage (Puddling): 2 plowings + thorough harrowing under flooded condition</t>
        </is>
      </c>
      <c r="AC190" s="12" t="inlineStr">
        <is>
          <t>Continuous flooding 2–5 cm depth during vegetative stage; drain 2 weeks before harvest</t>
        </is>
      </c>
    </row>
    <row r="191" ht="21.75" customHeight="1" s="101">
      <c r="A191" s="13" t="inlineStr">
        <is>
          <t>Palay</t>
        </is>
      </c>
      <c r="B191" s="13" t="inlineStr">
        <is>
          <t>Pasileng Sur</t>
        </is>
      </c>
      <c r="C191" s="13" t="inlineStr">
        <is>
          <t>May</t>
        </is>
      </c>
      <c r="D191" s="13" t="inlineStr">
        <is>
          <t>2008</t>
        </is>
      </c>
      <c r="E191" s="13" t="inlineStr">
        <is>
          <t>DS 2008</t>
        </is>
      </c>
      <c r="F191" s="13" t="inlineStr">
        <is>
          <t>Harvest</t>
        </is>
      </c>
      <c r="G191" s="7" t="n">
        <v>9.42</v>
      </c>
      <c r="H191" s="8" t="n">
        <v>26.41</v>
      </c>
      <c r="I191" s="8" t="n">
        <v>21.86</v>
      </c>
      <c r="J191" s="8" t="n">
        <v>32.12</v>
      </c>
      <c r="K191" s="8" t="n">
        <v>82.65000000000001</v>
      </c>
      <c r="L191" s="8" t="n">
        <v>98.18000000000001</v>
      </c>
      <c r="M191" s="8" t="n">
        <v>19.49</v>
      </c>
      <c r="N191" s="13" t="inlineStr">
        <is>
          <t>Type I – Tropical Monsoon (PAGASA)</t>
        </is>
      </c>
      <c r="O191" s="13" t="inlineStr">
        <is>
          <t>Wet</t>
        </is>
      </c>
      <c r="P191" s="13" t="inlineStr">
        <is>
          <t>Sandy Loam</t>
        </is>
      </c>
      <c r="Q191" s="13" t="inlineStr">
        <is>
          <t>Flat / Lowland</t>
        </is>
      </c>
      <c r="R191" s="14" t="n">
        <v>30</v>
      </c>
      <c r="S191" s="13" t="inlineStr">
        <is>
          <t>Tagamusing River</t>
        </is>
      </c>
      <c r="T191" s="15" t="n">
        <v>414.96</v>
      </c>
      <c r="U191" s="15" t="n"/>
      <c r="V191" s="15" t="n"/>
      <c r="W191" s="15" t="n"/>
      <c r="X191" s="15" t="n">
        <v>6.21</v>
      </c>
      <c r="Y191" s="15" t="n">
        <v>33.9</v>
      </c>
      <c r="Z191" s="16" t="n">
        <v>5.46</v>
      </c>
      <c r="AA191" s="17" t="inlineStr">
        <is>
          <t>Transplanting (Pindot) or Direct Seeding (Pinaghandaan)</t>
        </is>
      </c>
      <c r="AB191" s="17" t="inlineStr">
        <is>
          <t>Conventional Tillage: 2 plowings + 2 harrowings; soil workable when moist</t>
        </is>
      </c>
      <c r="AC191" s="17" t="inlineStr">
        <is>
          <t>Intermittent irrigation (Alternate Wetting and Drying — AWD); moderate retention</t>
        </is>
      </c>
    </row>
    <row r="192" ht="21.75" customHeight="1" s="101">
      <c r="A192" s="6" t="inlineStr">
        <is>
          <t>Palay</t>
        </is>
      </c>
      <c r="B192" s="6" t="inlineStr">
        <is>
          <t>Capas</t>
        </is>
      </c>
      <c r="C192" s="6" t="inlineStr">
        <is>
          <t>May</t>
        </is>
      </c>
      <c r="D192" s="6" t="inlineStr">
        <is>
          <t>2008</t>
        </is>
      </c>
      <c r="E192" s="6" t="inlineStr">
        <is>
          <t>DS 2008</t>
        </is>
      </c>
      <c r="F192" s="6" t="inlineStr">
        <is>
          <t>Harvest</t>
        </is>
      </c>
      <c r="G192" s="7" t="n">
        <v>9.42</v>
      </c>
      <c r="H192" s="8" t="n">
        <v>26.41</v>
      </c>
      <c r="I192" s="8" t="n">
        <v>21.86</v>
      </c>
      <c r="J192" s="8" t="n">
        <v>32.12</v>
      </c>
      <c r="K192" s="8" t="n">
        <v>82.65000000000001</v>
      </c>
      <c r="L192" s="8" t="n">
        <v>98.18000000000001</v>
      </c>
      <c r="M192" s="8" t="n">
        <v>19.49</v>
      </c>
      <c r="N192" s="6" t="inlineStr">
        <is>
          <t>Type I – Tropical Monsoon (PAGASA)</t>
        </is>
      </c>
      <c r="O192" s="6" t="inlineStr">
        <is>
          <t>Wet</t>
        </is>
      </c>
      <c r="P192" s="6" t="inlineStr">
        <is>
          <t>Sandy Loam</t>
        </is>
      </c>
      <c r="Q192" s="6" t="inlineStr">
        <is>
          <t>Flat / Lowland</t>
        </is>
      </c>
      <c r="R192" s="9" t="n">
        <v>30</v>
      </c>
      <c r="S192" s="6" t="inlineStr">
        <is>
          <t>—</t>
        </is>
      </c>
      <c r="T192" s="10" t="n">
        <v>377.16</v>
      </c>
      <c r="U192" s="10" t="n"/>
      <c r="V192" s="10" t="n"/>
      <c r="W192" s="10" t="n"/>
      <c r="X192" s="10" t="n">
        <v>2.01</v>
      </c>
      <c r="Y192" s="10" t="n">
        <v>15.84</v>
      </c>
      <c r="Z192" s="11" t="n">
        <v>7.88</v>
      </c>
      <c r="AA192" s="12" t="inlineStr">
        <is>
          <t>Transplanting (Pindot) or Direct Seeding (Pinaghandaan)</t>
        </is>
      </c>
      <c r="AB192" s="12" t="inlineStr">
        <is>
          <t>Conventional Tillage: 2 plowings + 2 harrowings; soil workable when moist</t>
        </is>
      </c>
      <c r="AC192" s="12" t="inlineStr">
        <is>
          <t>Intermittent irrigation (Alternate Wetting and Drying — AWD); moderate retention</t>
        </is>
      </c>
    </row>
    <row r="193" ht="21.75" customHeight="1" s="101">
      <c r="A193" s="13" t="inlineStr">
        <is>
          <t>Palay</t>
        </is>
      </c>
      <c r="B193" s="13" t="inlineStr">
        <is>
          <t>Sta. Maria Norte</t>
        </is>
      </c>
      <c r="C193" s="13" t="inlineStr">
        <is>
          <t>May</t>
        </is>
      </c>
      <c r="D193" s="13" t="inlineStr">
        <is>
          <t>2008</t>
        </is>
      </c>
      <c r="E193" s="13" t="inlineStr">
        <is>
          <t>DS 2008</t>
        </is>
      </c>
      <c r="F193" s="13" t="inlineStr">
        <is>
          <t>Harvest</t>
        </is>
      </c>
      <c r="G193" s="7" t="n">
        <v>9.42</v>
      </c>
      <c r="H193" s="8" t="n">
        <v>26.41</v>
      </c>
      <c r="I193" s="8" t="n">
        <v>21.86</v>
      </c>
      <c r="J193" s="8" t="n">
        <v>32.12</v>
      </c>
      <c r="K193" s="8" t="n">
        <v>82.65000000000001</v>
      </c>
      <c r="L193" s="8" t="n">
        <v>98.18000000000001</v>
      </c>
      <c r="M193" s="8" t="n">
        <v>19.49</v>
      </c>
      <c r="N193" s="13" t="inlineStr">
        <is>
          <t>Type I – Tropical Monsoon (PAGASA)</t>
        </is>
      </c>
      <c r="O193" s="13" t="inlineStr">
        <is>
          <t>Wet</t>
        </is>
      </c>
      <c r="P193" s="13" t="inlineStr">
        <is>
          <t>Sandy Loam</t>
        </is>
      </c>
      <c r="Q193" s="13" t="inlineStr">
        <is>
          <t>Flat / Lowland</t>
        </is>
      </c>
      <c r="R193" s="14" t="n">
        <v>30</v>
      </c>
      <c r="S193" s="13" t="inlineStr">
        <is>
          <t>Tagamusing River</t>
        </is>
      </c>
      <c r="T193" s="15" t="n">
        <v>157.08</v>
      </c>
      <c r="U193" s="15" t="n"/>
      <c r="V193" s="15" t="n"/>
      <c r="W193" s="15" t="n"/>
      <c r="X193" s="15" t="n">
        <v>5.4</v>
      </c>
      <c r="Y193" s="15" t="n">
        <v>19.94</v>
      </c>
      <c r="Z193" s="16" t="n">
        <v>3.69</v>
      </c>
      <c r="AA193" s="17" t="inlineStr">
        <is>
          <t>Transplanting (Pindot) or Direct Seeding (Pinaghandaan)</t>
        </is>
      </c>
      <c r="AB193" s="17" t="inlineStr">
        <is>
          <t>Conventional Tillage: 2 plowings + 2 harrowings; soil workable when moist</t>
        </is>
      </c>
      <c r="AC193" s="17" t="inlineStr">
        <is>
          <t>Intermittent irrigation (Alternate Wetting and Drying — AWD); moderate retention</t>
        </is>
      </c>
    </row>
    <row r="194" ht="21.75" customHeight="1" s="101">
      <c r="A194" s="6" t="inlineStr">
        <is>
          <t>Palay</t>
        </is>
      </c>
      <c r="B194" s="6" t="inlineStr">
        <is>
          <t>Mangkasuy</t>
        </is>
      </c>
      <c r="C194" s="6" t="inlineStr">
        <is>
          <t>May</t>
        </is>
      </c>
      <c r="D194" s="6" t="inlineStr">
        <is>
          <t>2008</t>
        </is>
      </c>
      <c r="E194" s="6" t="inlineStr">
        <is>
          <t>DS 2008</t>
        </is>
      </c>
      <c r="F194" s="6" t="inlineStr">
        <is>
          <t>Harvest</t>
        </is>
      </c>
      <c r="G194" s="7" t="n">
        <v>9.42</v>
      </c>
      <c r="H194" s="8" t="n">
        <v>26.41</v>
      </c>
      <c r="I194" s="8" t="n">
        <v>21.86</v>
      </c>
      <c r="J194" s="8" t="n">
        <v>32.12</v>
      </c>
      <c r="K194" s="8" t="n">
        <v>82.65000000000001</v>
      </c>
      <c r="L194" s="8" t="n">
        <v>98.18000000000001</v>
      </c>
      <c r="M194" s="8" t="n">
        <v>19.49</v>
      </c>
      <c r="N194" s="6" t="inlineStr">
        <is>
          <t>Type I – Tropical Monsoon (PAGASA)</t>
        </is>
      </c>
      <c r="O194" s="6" t="inlineStr">
        <is>
          <t>Wet</t>
        </is>
      </c>
      <c r="P194" s="6" t="inlineStr">
        <is>
          <t>Sandy Loam</t>
        </is>
      </c>
      <c r="Q194" s="6" t="inlineStr">
        <is>
          <t>Flat / Lowland</t>
        </is>
      </c>
      <c r="R194" s="9" t="n">
        <v>30</v>
      </c>
      <c r="S194" s="6" t="inlineStr">
        <is>
          <t>Tagamusing River</t>
        </is>
      </c>
      <c r="T194" s="10" t="n">
        <v>802.2</v>
      </c>
      <c r="U194" s="10" t="n"/>
      <c r="V194" s="10" t="n"/>
      <c r="W194" s="10" t="n"/>
      <c r="X194" s="10" t="n">
        <v>5.1</v>
      </c>
      <c r="Y194" s="10" t="n">
        <v>29.92</v>
      </c>
      <c r="Z194" s="11" t="n">
        <v>5.87</v>
      </c>
      <c r="AA194" s="12" t="inlineStr">
        <is>
          <t>Transplanting (Pindot) or Direct Seeding (Pinaghandaan)</t>
        </is>
      </c>
      <c r="AB194" s="12" t="inlineStr">
        <is>
          <t>Conventional Tillage: 2 plowings + 2 harrowings; soil workable when moist</t>
        </is>
      </c>
      <c r="AC194" s="12" t="inlineStr">
        <is>
          <t>Intermittent irrigation (Alternate Wetting and Drying — AWD); moderate retention</t>
        </is>
      </c>
    </row>
    <row r="195" ht="21.75" customHeight="1" s="101">
      <c r="A195" s="13" t="inlineStr">
        <is>
          <t>Palay</t>
        </is>
      </c>
      <c r="B195" s="13" t="inlineStr">
        <is>
          <t>Santiago</t>
        </is>
      </c>
      <c r="C195" s="13" t="inlineStr">
        <is>
          <t>May</t>
        </is>
      </c>
      <c r="D195" s="13" t="inlineStr">
        <is>
          <t>2008</t>
        </is>
      </c>
      <c r="E195" s="13" t="inlineStr">
        <is>
          <t>DS 2008</t>
        </is>
      </c>
      <c r="F195" s="13" t="inlineStr">
        <is>
          <t>Harvest</t>
        </is>
      </c>
      <c r="G195" s="7" t="n">
        <v>9.42</v>
      </c>
      <c r="H195" s="8" t="n">
        <v>26.41</v>
      </c>
      <c r="I195" s="8" t="n">
        <v>21.86</v>
      </c>
      <c r="J195" s="8" t="n">
        <v>32.12</v>
      </c>
      <c r="K195" s="8" t="n">
        <v>82.65000000000001</v>
      </c>
      <c r="L195" s="8" t="n">
        <v>98.18000000000001</v>
      </c>
      <c r="M195" s="8" t="n">
        <v>19.49</v>
      </c>
      <c r="N195" s="13" t="inlineStr">
        <is>
          <t>Type I – Tropical Monsoon (PAGASA)</t>
        </is>
      </c>
      <c r="O195" s="13" t="inlineStr">
        <is>
          <t>Wet</t>
        </is>
      </c>
      <c r="P195" s="13" t="inlineStr">
        <is>
          <t>Silty Clay Loam</t>
        </is>
      </c>
      <c r="Q195" s="13" t="inlineStr">
        <is>
          <t>Flat / Lowland</t>
        </is>
      </c>
      <c r="R195" s="14" t="n">
        <v>30</v>
      </c>
      <c r="S195" s="13" t="inlineStr">
        <is>
          <t>—</t>
        </is>
      </c>
      <c r="T195" s="15" t="n">
        <v>283.08</v>
      </c>
      <c r="U195" s="15" t="n"/>
      <c r="V195" s="15" t="n"/>
      <c r="W195" s="15" t="n"/>
      <c r="X195" s="15" t="n">
        <v>1.74</v>
      </c>
      <c r="Y195" s="15" t="n">
        <v>13.92</v>
      </c>
      <c r="Z195" s="16" t="n">
        <v>8</v>
      </c>
      <c r="AA195" s="17" t="inlineStr">
        <is>
          <t>Transplanting (Pindot) — optimal for clay-loam paddy fields</t>
        </is>
      </c>
      <c r="AB195" s="17" t="inlineStr">
        <is>
          <t>Wet Tillage (Puddling): 2 plowings + thorough harrowing under flooded condition</t>
        </is>
      </c>
      <c r="AC195" s="17" t="inlineStr">
        <is>
          <t>Continuous flooding 2–5 cm depth during vegetative stage; drain 2 weeks before harvest</t>
        </is>
      </c>
    </row>
    <row r="196" ht="21.75" customHeight="1" s="101">
      <c r="A196" s="6" t="inlineStr">
        <is>
          <t>Palay</t>
        </is>
      </c>
      <c r="B196" s="6" t="inlineStr">
        <is>
          <t>Pasileng Norte</t>
        </is>
      </c>
      <c r="C196" s="6" t="inlineStr">
        <is>
          <t>May</t>
        </is>
      </c>
      <c r="D196" s="6" t="inlineStr">
        <is>
          <t>2011</t>
        </is>
      </c>
      <c r="E196" s="6" t="inlineStr">
        <is>
          <t>DS 2011</t>
        </is>
      </c>
      <c r="F196" s="6" t="inlineStr">
        <is>
          <t>Harvest</t>
        </is>
      </c>
      <c r="G196" s="7" t="n">
        <v>6.52</v>
      </c>
      <c r="H196" s="8" t="n">
        <v>27.57</v>
      </c>
      <c r="I196" s="8" t="n">
        <v>22.98</v>
      </c>
      <c r="J196" s="8" t="n">
        <v>35.26</v>
      </c>
      <c r="K196" s="8" t="n">
        <v>79.29000000000001</v>
      </c>
      <c r="L196" s="8" t="n">
        <v>98.15000000000001</v>
      </c>
      <c r="M196" s="8" t="n">
        <v>20.37</v>
      </c>
      <c r="N196" s="6" t="inlineStr">
        <is>
          <t>Type I – Tropical Monsoon (PAGASA)</t>
        </is>
      </c>
      <c r="O196" s="6" t="inlineStr">
        <is>
          <t>Wet</t>
        </is>
      </c>
      <c r="P196" s="6" t="inlineStr">
        <is>
          <t>Sandy Loam</t>
        </is>
      </c>
      <c r="Q196" s="6" t="inlineStr">
        <is>
          <t>Flat / Lowland</t>
        </is>
      </c>
      <c r="R196" s="9" t="n">
        <v>30</v>
      </c>
      <c r="S196" s="6" t="inlineStr">
        <is>
          <t>Tagamusing River</t>
        </is>
      </c>
      <c r="T196" s="10" t="n">
        <v>140.28</v>
      </c>
      <c r="U196" s="10" t="n"/>
      <c r="V196" s="10" t="n"/>
      <c r="W196" s="10" t="n"/>
      <c r="X196" s="10" t="n">
        <v>5.51</v>
      </c>
      <c r="Y196" s="10" t="n">
        <v>22.63</v>
      </c>
      <c r="Z196" s="11" t="n">
        <v>4.11</v>
      </c>
      <c r="AA196" s="12" t="inlineStr">
        <is>
          <t>Transplanting (Pindot) or Direct Seeding (Pinaghandaan)</t>
        </is>
      </c>
      <c r="AB196" s="12" t="inlineStr">
        <is>
          <t>Conventional Tillage: 2 plowings + 2 harrowings; soil workable when moist</t>
        </is>
      </c>
      <c r="AC196" s="12" t="inlineStr">
        <is>
          <t>Intermittent irrigation (Alternate Wetting and Drying — AWD); moderate retention</t>
        </is>
      </c>
    </row>
    <row r="197" ht="21.75" customHeight="1" s="101">
      <c r="A197" s="13" t="inlineStr">
        <is>
          <t>Palay</t>
        </is>
      </c>
      <c r="B197" s="13" t="inlineStr">
        <is>
          <t>Tabuyoc</t>
        </is>
      </c>
      <c r="C197" s="13" t="inlineStr">
        <is>
          <t>May</t>
        </is>
      </c>
      <c r="D197" s="13" t="inlineStr">
        <is>
          <t>2011</t>
        </is>
      </c>
      <c r="E197" s="13" t="inlineStr">
        <is>
          <t>DS 2011</t>
        </is>
      </c>
      <c r="F197" s="13" t="inlineStr">
        <is>
          <t>Harvest</t>
        </is>
      </c>
      <c r="G197" s="7" t="n">
        <v>6.52</v>
      </c>
      <c r="H197" s="8" t="n">
        <v>27.57</v>
      </c>
      <c r="I197" s="8" t="n">
        <v>22.98</v>
      </c>
      <c r="J197" s="8" t="n">
        <v>35.26</v>
      </c>
      <c r="K197" s="8" t="n">
        <v>79.29000000000001</v>
      </c>
      <c r="L197" s="8" t="n">
        <v>98.15000000000001</v>
      </c>
      <c r="M197" s="8" t="n">
        <v>20.37</v>
      </c>
      <c r="N197" s="13" t="inlineStr">
        <is>
          <t>Type I – Tropical Monsoon (PAGASA)</t>
        </is>
      </c>
      <c r="O197" s="13" t="inlineStr">
        <is>
          <t>Wet</t>
        </is>
      </c>
      <c r="P197" s="13" t="inlineStr">
        <is>
          <t>Silty Clay Loam</t>
        </is>
      </c>
      <c r="Q197" s="13" t="inlineStr">
        <is>
          <t>Flat / Lowland</t>
        </is>
      </c>
      <c r="R197" s="14" t="n">
        <v>30</v>
      </c>
      <c r="S197" s="13" t="inlineStr">
        <is>
          <t>—</t>
        </is>
      </c>
      <c r="T197" s="15" t="n">
        <v>277.2</v>
      </c>
      <c r="U197" s="15" t="n"/>
      <c r="V197" s="15" t="n"/>
      <c r="W197" s="15" t="n"/>
      <c r="X197" s="15" t="n">
        <v>3.56</v>
      </c>
      <c r="Y197" s="15" t="n">
        <v>28.48</v>
      </c>
      <c r="Z197" s="16" t="n">
        <v>8</v>
      </c>
      <c r="AA197" s="17" t="inlineStr">
        <is>
          <t>Transplanting (Pindot) — optimal for clay-loam paddy fields</t>
        </is>
      </c>
      <c r="AB197" s="17" t="inlineStr">
        <is>
          <t>Wet Tillage (Puddling): 2 plowings + thorough harrowing under flooded condition</t>
        </is>
      </c>
      <c r="AC197" s="17" t="inlineStr">
        <is>
          <t>Continuous flooding 2–5 cm depth during vegetative stage; drain 2 weeks before harvest</t>
        </is>
      </c>
    </row>
    <row r="198" ht="21.75" customHeight="1" s="101">
      <c r="A198" s="6" t="inlineStr">
        <is>
          <t>Palay</t>
        </is>
      </c>
      <c r="B198" s="6" t="inlineStr">
        <is>
          <t>Camanggaan</t>
        </is>
      </c>
      <c r="C198" s="6" t="inlineStr">
        <is>
          <t>May</t>
        </is>
      </c>
      <c r="D198" s="6" t="inlineStr">
        <is>
          <t>2011</t>
        </is>
      </c>
      <c r="E198" s="6" t="inlineStr">
        <is>
          <t>DS 2011</t>
        </is>
      </c>
      <c r="F198" s="6" t="inlineStr">
        <is>
          <t>Harvest</t>
        </is>
      </c>
      <c r="G198" s="7" t="n">
        <v>6.52</v>
      </c>
      <c r="H198" s="8" t="n">
        <v>27.57</v>
      </c>
      <c r="I198" s="8" t="n">
        <v>22.98</v>
      </c>
      <c r="J198" s="8" t="n">
        <v>35.26</v>
      </c>
      <c r="K198" s="8" t="n">
        <v>79.29000000000001</v>
      </c>
      <c r="L198" s="8" t="n">
        <v>98.15000000000001</v>
      </c>
      <c r="M198" s="8" t="n">
        <v>20.37</v>
      </c>
      <c r="N198" s="6" t="inlineStr">
        <is>
          <t>Type I – Tropical Monsoon (PAGASA)</t>
        </is>
      </c>
      <c r="O198" s="6" t="inlineStr">
        <is>
          <t>Wet</t>
        </is>
      </c>
      <c r="P198" s="6" t="inlineStr">
        <is>
          <t>Sandy Loam</t>
        </is>
      </c>
      <c r="Q198" s="6" t="inlineStr">
        <is>
          <t>Flat / Lowland</t>
        </is>
      </c>
      <c r="R198" s="9" t="n">
        <v>30</v>
      </c>
      <c r="S198" s="6" t="inlineStr">
        <is>
          <t>—</t>
        </is>
      </c>
      <c r="T198" s="10" t="n">
        <v>244.44</v>
      </c>
      <c r="U198" s="10" t="n"/>
      <c r="V198" s="10" t="n"/>
      <c r="W198" s="10" t="n"/>
      <c r="X198" s="10" t="n">
        <v>1.05</v>
      </c>
      <c r="Y198" s="10" t="n">
        <v>8.4</v>
      </c>
      <c r="Z198" s="11" t="n">
        <v>8</v>
      </c>
      <c r="AA198" s="12" t="inlineStr">
        <is>
          <t>Transplanting (Pindot) or Direct Seeding (Pinaghandaan)</t>
        </is>
      </c>
      <c r="AB198" s="12" t="inlineStr">
        <is>
          <t>Conventional Tillage: 2 plowings + 2 harrowings; soil workable when moist</t>
        </is>
      </c>
      <c r="AC198" s="12" t="inlineStr">
        <is>
          <t>Intermittent irrigation (Alternate Wetting and Drying — AWD); moderate retention</t>
        </is>
      </c>
    </row>
    <row r="199" ht="21.75" customHeight="1" s="101">
      <c r="A199" s="13" t="inlineStr">
        <is>
          <t>Palay</t>
        </is>
      </c>
      <c r="B199" s="13" t="inlineStr">
        <is>
          <t>Cili</t>
        </is>
      </c>
      <c r="C199" s="13" t="inlineStr">
        <is>
          <t>May</t>
        </is>
      </c>
      <c r="D199" s="13" t="inlineStr">
        <is>
          <t>2011</t>
        </is>
      </c>
      <c r="E199" s="13" t="inlineStr">
        <is>
          <t>DS 2011</t>
        </is>
      </c>
      <c r="F199" s="13" t="inlineStr">
        <is>
          <t>Harvest</t>
        </is>
      </c>
      <c r="G199" s="7" t="n">
        <v>6.52</v>
      </c>
      <c r="H199" s="8" t="n">
        <v>27.57</v>
      </c>
      <c r="I199" s="8" t="n">
        <v>22.98</v>
      </c>
      <c r="J199" s="8" t="n">
        <v>35.26</v>
      </c>
      <c r="K199" s="8" t="n">
        <v>79.29000000000001</v>
      </c>
      <c r="L199" s="8" t="n">
        <v>98.15000000000001</v>
      </c>
      <c r="M199" s="8" t="n">
        <v>20.37</v>
      </c>
      <c r="N199" s="13" t="inlineStr">
        <is>
          <t>Type I – Tropical Monsoon (PAGASA)</t>
        </is>
      </c>
      <c r="O199" s="13" t="inlineStr">
        <is>
          <t>Wet</t>
        </is>
      </c>
      <c r="P199" s="13" t="inlineStr">
        <is>
          <t>Silty Clay Loam</t>
        </is>
      </c>
      <c r="Q199" s="13" t="inlineStr">
        <is>
          <t>Flat / Lowland</t>
        </is>
      </c>
      <c r="R199" s="14" t="n">
        <v>30</v>
      </c>
      <c r="S199" s="13" t="inlineStr">
        <is>
          <t>Alibeng River</t>
        </is>
      </c>
      <c r="T199" s="15" t="n">
        <v>264.6</v>
      </c>
      <c r="U199" s="15" t="n"/>
      <c r="V199" s="15" t="n"/>
      <c r="W199" s="15" t="n"/>
      <c r="X199" s="15" t="n">
        <v>1.05</v>
      </c>
      <c r="Y199" s="15" t="n">
        <v>8.4</v>
      </c>
      <c r="Z199" s="16" t="n">
        <v>8</v>
      </c>
      <c r="AA199" s="17" t="inlineStr">
        <is>
          <t>Transplanting (Pindot) — optimal for clay-loam paddy fields</t>
        </is>
      </c>
      <c r="AB199" s="17" t="inlineStr">
        <is>
          <t>Wet Tillage (Puddling): 2 plowings + thorough harrowing under flooded condition</t>
        </is>
      </c>
      <c r="AC199" s="17" t="inlineStr">
        <is>
          <t>Continuous flooding 2–5 cm depth during vegetative stage; drain 2 weeks before harvest</t>
        </is>
      </c>
    </row>
    <row r="200" ht="21.75" customHeight="1" s="101">
      <c r="A200" s="6" t="inlineStr">
        <is>
          <t>Palay</t>
        </is>
      </c>
      <c r="B200" s="6" t="inlineStr">
        <is>
          <t>Sumabnit</t>
        </is>
      </c>
      <c r="C200" s="6" t="inlineStr">
        <is>
          <t>May</t>
        </is>
      </c>
      <c r="D200" s="6" t="inlineStr">
        <is>
          <t>2011</t>
        </is>
      </c>
      <c r="E200" s="6" t="inlineStr">
        <is>
          <t>DS 2011</t>
        </is>
      </c>
      <c r="F200" s="6" t="inlineStr">
        <is>
          <t>Harvest</t>
        </is>
      </c>
      <c r="G200" s="7" t="n">
        <v>6.52</v>
      </c>
      <c r="H200" s="8" t="n">
        <v>27.57</v>
      </c>
      <c r="I200" s="8" t="n">
        <v>22.98</v>
      </c>
      <c r="J200" s="8" t="n">
        <v>35.26</v>
      </c>
      <c r="K200" s="8" t="n">
        <v>79.29000000000001</v>
      </c>
      <c r="L200" s="8" t="n">
        <v>98.15000000000001</v>
      </c>
      <c r="M200" s="8" t="n">
        <v>20.37</v>
      </c>
      <c r="N200" s="6" t="inlineStr">
        <is>
          <t>Type I – Tropical Monsoon (PAGASA)</t>
        </is>
      </c>
      <c r="O200" s="6" t="inlineStr">
        <is>
          <t>Wet</t>
        </is>
      </c>
      <c r="P200" s="6" t="inlineStr">
        <is>
          <t>Silty Clay Loam / Fine Sandy Loam</t>
        </is>
      </c>
      <c r="Q200" s="6" t="inlineStr">
        <is>
          <t>Flat / Lowland</t>
        </is>
      </c>
      <c r="R200" s="9" t="n">
        <v>30</v>
      </c>
      <c r="S200" s="6" t="inlineStr">
        <is>
          <t>Tagamusing River</t>
        </is>
      </c>
      <c r="T200" s="10" t="n">
        <v>406.56</v>
      </c>
      <c r="U200" s="10" t="n"/>
      <c r="V200" s="10" t="n"/>
      <c r="W200" s="10" t="n"/>
      <c r="X200" s="10" t="n">
        <v>3.7</v>
      </c>
      <c r="Y200" s="10" t="n">
        <v>29.6</v>
      </c>
      <c r="Z200" s="11" t="n">
        <v>8</v>
      </c>
      <c r="AA200" s="12" t="inlineStr">
        <is>
          <t>Transplanting (Pindot)</t>
        </is>
      </c>
      <c r="AB200" s="12" t="inlineStr">
        <is>
          <t>Minimum Tillage (avoid compaction; sandy structure fragile)</t>
        </is>
      </c>
      <c r="AC200" s="12" t="inlineStr">
        <is>
          <t>Continuous flooding or frequent irrigation; high percolation risk</t>
        </is>
      </c>
    </row>
    <row r="201" ht="21.75" customHeight="1" s="101">
      <c r="A201" s="13" t="inlineStr">
        <is>
          <t>Palay</t>
        </is>
      </c>
      <c r="B201" s="13" t="inlineStr">
        <is>
          <t>Capas</t>
        </is>
      </c>
      <c r="C201" s="13" t="inlineStr">
        <is>
          <t>May</t>
        </is>
      </c>
      <c r="D201" s="13" t="inlineStr">
        <is>
          <t>2011</t>
        </is>
      </c>
      <c r="E201" s="13" t="inlineStr">
        <is>
          <t>DS 2011</t>
        </is>
      </c>
      <c r="F201" s="13" t="inlineStr">
        <is>
          <t>Harvest</t>
        </is>
      </c>
      <c r="G201" s="7" t="n">
        <v>6.52</v>
      </c>
      <c r="H201" s="8" t="n">
        <v>27.57</v>
      </c>
      <c r="I201" s="8" t="n">
        <v>22.98</v>
      </c>
      <c r="J201" s="8" t="n">
        <v>35.26</v>
      </c>
      <c r="K201" s="8" t="n">
        <v>79.29000000000001</v>
      </c>
      <c r="L201" s="8" t="n">
        <v>98.15000000000001</v>
      </c>
      <c r="M201" s="8" t="n">
        <v>20.37</v>
      </c>
      <c r="N201" s="13" t="inlineStr">
        <is>
          <t>Type I – Tropical Monsoon (PAGASA)</t>
        </is>
      </c>
      <c r="O201" s="13" t="inlineStr">
        <is>
          <t>Wet</t>
        </is>
      </c>
      <c r="P201" s="13" t="inlineStr">
        <is>
          <t>Sandy Loam</t>
        </is>
      </c>
      <c r="Q201" s="13" t="inlineStr">
        <is>
          <t>Flat / Lowland</t>
        </is>
      </c>
      <c r="R201" s="14" t="n">
        <v>30</v>
      </c>
      <c r="S201" s="13" t="inlineStr">
        <is>
          <t>—</t>
        </is>
      </c>
      <c r="T201" s="15" t="n">
        <v>377.16</v>
      </c>
      <c r="U201" s="15" t="n"/>
      <c r="V201" s="15" t="n"/>
      <c r="W201" s="15" t="n"/>
      <c r="X201" s="15" t="n">
        <v>1.05</v>
      </c>
      <c r="Y201" s="15" t="n">
        <v>8.4</v>
      </c>
      <c r="Z201" s="16" t="n">
        <v>8</v>
      </c>
      <c r="AA201" s="17" t="inlineStr">
        <is>
          <t>Transplanting (Pindot) or Direct Seeding (Pinaghandaan)</t>
        </is>
      </c>
      <c r="AB201" s="17" t="inlineStr">
        <is>
          <t>Conventional Tillage: 2 plowings + 2 harrowings; soil workable when moist</t>
        </is>
      </c>
      <c r="AC201" s="17" t="inlineStr">
        <is>
          <t>Intermittent irrigation (Alternate Wetting and Drying — AWD); moderate retention</t>
        </is>
      </c>
    </row>
    <row r="202" ht="21.75" customHeight="1" s="101">
      <c r="A202" s="6" t="inlineStr">
        <is>
          <t>Palay</t>
        </is>
      </c>
      <c r="B202" s="6" t="inlineStr">
        <is>
          <t>San Pablo</t>
        </is>
      </c>
      <c r="C202" s="6" t="inlineStr">
        <is>
          <t>May</t>
        </is>
      </c>
      <c r="D202" s="6" t="inlineStr">
        <is>
          <t>2011</t>
        </is>
      </c>
      <c r="E202" s="6" t="inlineStr">
        <is>
          <t>DS 2011</t>
        </is>
      </c>
      <c r="F202" s="6" t="inlineStr">
        <is>
          <t>Harvest</t>
        </is>
      </c>
      <c r="G202" s="7" t="n">
        <v>6.52</v>
      </c>
      <c r="H202" s="8" t="n">
        <v>27.57</v>
      </c>
      <c r="I202" s="8" t="n">
        <v>22.98</v>
      </c>
      <c r="J202" s="8" t="n">
        <v>35.26</v>
      </c>
      <c r="K202" s="8" t="n">
        <v>79.29000000000001</v>
      </c>
      <c r="L202" s="8" t="n">
        <v>98.15000000000001</v>
      </c>
      <c r="M202" s="8" t="n">
        <v>20.37</v>
      </c>
      <c r="N202" s="6" t="inlineStr">
        <is>
          <t>Type I – Tropical Monsoon (PAGASA)</t>
        </is>
      </c>
      <c r="O202" s="6" t="inlineStr">
        <is>
          <t>Wet</t>
        </is>
      </c>
      <c r="P202" s="6" t="inlineStr">
        <is>
          <t>Sandy Loam</t>
        </is>
      </c>
      <c r="Q202" s="6" t="inlineStr">
        <is>
          <t>Flat / Lowland</t>
        </is>
      </c>
      <c r="R202" s="9" t="n">
        <v>30</v>
      </c>
      <c r="S202" s="6" t="inlineStr">
        <is>
          <t>San Pablo Creek</t>
        </is>
      </c>
      <c r="T202" s="10" t="n">
        <v>215.04</v>
      </c>
      <c r="U202" s="10" t="n"/>
      <c r="V202" s="10" t="n"/>
      <c r="W202" s="10" t="n"/>
      <c r="X202" s="10" t="n">
        <v>3.87</v>
      </c>
      <c r="Y202" s="10" t="n">
        <v>23.54</v>
      </c>
      <c r="Z202" s="11" t="n">
        <v>6.08</v>
      </c>
      <c r="AA202" s="12" t="inlineStr">
        <is>
          <t>Transplanting (Pindot) or Direct Seeding (Pinaghandaan)</t>
        </is>
      </c>
      <c r="AB202" s="12" t="inlineStr">
        <is>
          <t>Conventional Tillage: 2 plowings + 2 harrowings; soil workable when moist</t>
        </is>
      </c>
      <c r="AC202" s="12" t="inlineStr">
        <is>
          <t>Intermittent irrigation (Alternate Wetting and Drying — AWD); moderate retention</t>
        </is>
      </c>
    </row>
    <row r="203" ht="21.75" customHeight="1" s="101">
      <c r="A203" s="13" t="inlineStr">
        <is>
          <t>Palay</t>
        </is>
      </c>
      <c r="B203" s="13" t="inlineStr">
        <is>
          <t>Balangobong</t>
        </is>
      </c>
      <c r="C203" s="13" t="inlineStr">
        <is>
          <t>May</t>
        </is>
      </c>
      <c r="D203" s="13" t="inlineStr">
        <is>
          <t>2011</t>
        </is>
      </c>
      <c r="E203" s="13" t="inlineStr">
        <is>
          <t>DS 2011</t>
        </is>
      </c>
      <c r="F203" s="13" t="inlineStr">
        <is>
          <t>Harvest</t>
        </is>
      </c>
      <c r="G203" s="7" t="n">
        <v>6.52</v>
      </c>
      <c r="H203" s="8" t="n">
        <v>27.57</v>
      </c>
      <c r="I203" s="8" t="n">
        <v>22.98</v>
      </c>
      <c r="J203" s="8" t="n">
        <v>35.26</v>
      </c>
      <c r="K203" s="8" t="n">
        <v>79.29000000000001</v>
      </c>
      <c r="L203" s="8" t="n">
        <v>98.15000000000001</v>
      </c>
      <c r="M203" s="8" t="n">
        <v>20.37</v>
      </c>
      <c r="N203" s="13" t="inlineStr">
        <is>
          <t>Type I – Tropical Monsoon (PAGASA)</t>
        </is>
      </c>
      <c r="O203" s="13" t="inlineStr">
        <is>
          <t>Wet</t>
        </is>
      </c>
      <c r="P203" s="13" t="inlineStr">
        <is>
          <t>Silty Clay Loam</t>
        </is>
      </c>
      <c r="Q203" s="13" t="inlineStr">
        <is>
          <t>Flat / Lowland</t>
        </is>
      </c>
      <c r="R203" s="14" t="n">
        <v>30</v>
      </c>
      <c r="S203" s="13" t="inlineStr">
        <is>
          <t>—</t>
        </is>
      </c>
      <c r="T203" s="15" t="n">
        <v>281.4</v>
      </c>
      <c r="U203" s="15" t="n"/>
      <c r="V203" s="15" t="n"/>
      <c r="W203" s="15" t="n"/>
      <c r="X203" s="15" t="n">
        <v>1.49</v>
      </c>
      <c r="Y203" s="15" t="n">
        <v>11.92</v>
      </c>
      <c r="Z203" s="16" t="n">
        <v>8</v>
      </c>
      <c r="AA203" s="17" t="inlineStr">
        <is>
          <t>Transplanting (Pindot) — optimal for clay-loam paddy fields</t>
        </is>
      </c>
      <c r="AB203" s="17" t="inlineStr">
        <is>
          <t>Wet Tillage (Puddling): 2 plowings + thorough harrowing under flooded condition</t>
        </is>
      </c>
      <c r="AC203" s="17" t="inlineStr">
        <is>
          <t>Continuous flooding 2–5 cm depth during vegetative stage; drain 2 weeks before harvest</t>
        </is>
      </c>
    </row>
    <row r="204" ht="21.75" customHeight="1" s="101">
      <c r="A204" s="6" t="inlineStr">
        <is>
          <t>Palay</t>
        </is>
      </c>
      <c r="B204" s="6" t="inlineStr">
        <is>
          <t>San Felipe Central</t>
        </is>
      </c>
      <c r="C204" s="6" t="inlineStr">
        <is>
          <t>May</t>
        </is>
      </c>
      <c r="D204" s="6" t="inlineStr">
        <is>
          <t>2011</t>
        </is>
      </c>
      <c r="E204" s="6" t="inlineStr">
        <is>
          <t>DS 2011</t>
        </is>
      </c>
      <c r="F204" s="6" t="inlineStr">
        <is>
          <t>Harvest</t>
        </is>
      </c>
      <c r="G204" s="7" t="n">
        <v>6.52</v>
      </c>
      <c r="H204" s="8" t="n">
        <v>27.57</v>
      </c>
      <c r="I204" s="8" t="n">
        <v>22.98</v>
      </c>
      <c r="J204" s="8" t="n">
        <v>35.26</v>
      </c>
      <c r="K204" s="8" t="n">
        <v>79.29000000000001</v>
      </c>
      <c r="L204" s="8" t="n">
        <v>98.15000000000001</v>
      </c>
      <c r="M204" s="8" t="n">
        <v>20.37</v>
      </c>
      <c r="N204" s="6" t="inlineStr">
        <is>
          <t>Type I – Tropical Monsoon (PAGASA)</t>
        </is>
      </c>
      <c r="O204" s="6" t="inlineStr">
        <is>
          <t>Wet</t>
        </is>
      </c>
      <c r="P204" s="6" t="inlineStr">
        <is>
          <t>Sandy Loam</t>
        </is>
      </c>
      <c r="Q204" s="6" t="inlineStr">
        <is>
          <t>Flat / Lowland</t>
        </is>
      </c>
      <c r="R204" s="9" t="n">
        <v>30</v>
      </c>
      <c r="S204" s="6" t="inlineStr">
        <is>
          <t>—</t>
        </is>
      </c>
      <c r="T204" s="10" t="n">
        <v>452.76</v>
      </c>
      <c r="U204" s="10" t="n"/>
      <c r="V204" s="10" t="n"/>
      <c r="W204" s="10" t="n"/>
      <c r="X204" s="10" t="n">
        <v>4.31</v>
      </c>
      <c r="Y204" s="10" t="n">
        <v>34.48</v>
      </c>
      <c r="Z204" s="11" t="n">
        <v>8</v>
      </c>
      <c r="AA204" s="12" t="inlineStr">
        <is>
          <t>Transplanting (Pindot) or Direct Seeding (Pinaghandaan)</t>
        </is>
      </c>
      <c r="AB204" s="12" t="inlineStr">
        <is>
          <t>Conventional Tillage: 2 plowings + 2 harrowings; soil workable when moist</t>
        </is>
      </c>
      <c r="AC204" s="12" t="inlineStr">
        <is>
          <t>Intermittent irrigation (Alternate Wetting and Drying — AWD); moderate retention</t>
        </is>
      </c>
    </row>
    <row r="205" ht="21.75" customHeight="1" s="101">
      <c r="A205" s="13" t="inlineStr">
        <is>
          <t>Palay</t>
        </is>
      </c>
      <c r="B205" s="13" t="inlineStr">
        <is>
          <t>San Felipe Sur</t>
        </is>
      </c>
      <c r="C205" s="13" t="inlineStr">
        <is>
          <t>May</t>
        </is>
      </c>
      <c r="D205" s="13" t="inlineStr">
        <is>
          <t>2011</t>
        </is>
      </c>
      <c r="E205" s="13" t="inlineStr">
        <is>
          <t>DS 2011</t>
        </is>
      </c>
      <c r="F205" s="13" t="inlineStr">
        <is>
          <t>Harvest</t>
        </is>
      </c>
      <c r="G205" s="7" t="n">
        <v>6.52</v>
      </c>
      <c r="H205" s="8" t="n">
        <v>27.57</v>
      </c>
      <c r="I205" s="8" t="n">
        <v>22.98</v>
      </c>
      <c r="J205" s="8" t="n">
        <v>35.26</v>
      </c>
      <c r="K205" s="8" t="n">
        <v>79.29000000000001</v>
      </c>
      <c r="L205" s="8" t="n">
        <v>98.15000000000001</v>
      </c>
      <c r="M205" s="8" t="n">
        <v>20.37</v>
      </c>
      <c r="N205" s="13" t="inlineStr">
        <is>
          <t>Type I – Tropical Monsoon (PAGASA)</t>
        </is>
      </c>
      <c r="O205" s="13" t="inlineStr">
        <is>
          <t>Wet</t>
        </is>
      </c>
      <c r="P205" s="13" t="inlineStr">
        <is>
          <t>Sandy Loam</t>
        </is>
      </c>
      <c r="Q205" s="13" t="inlineStr">
        <is>
          <t>Flat / Lowland</t>
        </is>
      </c>
      <c r="R205" s="14" t="n">
        <v>30</v>
      </c>
      <c r="S205" s="13" t="inlineStr">
        <is>
          <t>Tagamusing River</t>
        </is>
      </c>
      <c r="T205" s="15" t="n">
        <v>504</v>
      </c>
      <c r="U205" s="15" t="n"/>
      <c r="V205" s="15" t="n"/>
      <c r="W205" s="15" t="n"/>
      <c r="X205" s="15" t="n">
        <v>3.02</v>
      </c>
      <c r="Y205" s="15" t="n">
        <v>24.16</v>
      </c>
      <c r="Z205" s="16" t="n">
        <v>8</v>
      </c>
      <c r="AA205" s="17" t="inlineStr">
        <is>
          <t>Transplanting (Pindot) or Direct Seeding (Pinaghandaan)</t>
        </is>
      </c>
      <c r="AB205" s="17" t="inlineStr">
        <is>
          <t>Conventional Tillage: 2 plowings + 2 harrowings; soil workable when moist</t>
        </is>
      </c>
      <c r="AC205" s="17" t="inlineStr">
        <is>
          <t>Intermittent irrigation (Alternate Wetting and Drying — AWD); moderate retention</t>
        </is>
      </c>
    </row>
    <row r="206" ht="21.75" customHeight="1" s="101">
      <c r="A206" s="6" t="inlineStr">
        <is>
          <t>Palay</t>
        </is>
      </c>
      <c r="B206" s="6" t="inlineStr">
        <is>
          <t>Pasileng Sur</t>
        </is>
      </c>
      <c r="C206" s="6" t="inlineStr">
        <is>
          <t>May</t>
        </is>
      </c>
      <c r="D206" s="6" t="inlineStr">
        <is>
          <t>2011</t>
        </is>
      </c>
      <c r="E206" s="6" t="inlineStr">
        <is>
          <t>DS 2011</t>
        </is>
      </c>
      <c r="F206" s="6" t="inlineStr">
        <is>
          <t>Harvest</t>
        </is>
      </c>
      <c r="G206" s="7" t="n">
        <v>6.52</v>
      </c>
      <c r="H206" s="8" t="n">
        <v>27.57</v>
      </c>
      <c r="I206" s="8" t="n">
        <v>22.98</v>
      </c>
      <c r="J206" s="8" t="n">
        <v>35.26</v>
      </c>
      <c r="K206" s="8" t="n">
        <v>79.29000000000001</v>
      </c>
      <c r="L206" s="8" t="n">
        <v>98.15000000000001</v>
      </c>
      <c r="M206" s="8" t="n">
        <v>20.37</v>
      </c>
      <c r="N206" s="6" t="inlineStr">
        <is>
          <t>Type I – Tropical Monsoon (PAGASA)</t>
        </is>
      </c>
      <c r="O206" s="6" t="inlineStr">
        <is>
          <t>Wet</t>
        </is>
      </c>
      <c r="P206" s="6" t="inlineStr">
        <is>
          <t>Sandy Loam</t>
        </is>
      </c>
      <c r="Q206" s="6" t="inlineStr">
        <is>
          <t>Flat / Lowland</t>
        </is>
      </c>
      <c r="R206" s="9" t="n">
        <v>30</v>
      </c>
      <c r="S206" s="6" t="inlineStr">
        <is>
          <t>Tagamusing River</t>
        </is>
      </c>
      <c r="T206" s="10" t="n">
        <v>414.96</v>
      </c>
      <c r="U206" s="10" t="n"/>
      <c r="V206" s="10" t="n"/>
      <c r="W206" s="10" t="n"/>
      <c r="X206" s="10" t="n">
        <v>4.4</v>
      </c>
      <c r="Y206" s="10" t="n">
        <v>35.2</v>
      </c>
      <c r="Z206" s="11" t="n">
        <v>8</v>
      </c>
      <c r="AA206" s="12" t="inlineStr">
        <is>
          <t>Transplanting (Pindot) or Direct Seeding (Pinaghandaan)</t>
        </is>
      </c>
      <c r="AB206" s="12" t="inlineStr">
        <is>
          <t>Conventional Tillage: 2 plowings + 2 harrowings; soil workable when moist</t>
        </is>
      </c>
      <c r="AC206" s="12" t="inlineStr">
        <is>
          <t>Intermittent irrigation (Alternate Wetting and Drying — AWD); moderate retention</t>
        </is>
      </c>
    </row>
    <row r="207" ht="21.75" customHeight="1" s="101">
      <c r="A207" s="13" t="inlineStr">
        <is>
          <t>Palay</t>
        </is>
      </c>
      <c r="B207" s="13" t="inlineStr">
        <is>
          <t>Sta. Maria Norte</t>
        </is>
      </c>
      <c r="C207" s="13" t="inlineStr">
        <is>
          <t>May</t>
        </is>
      </c>
      <c r="D207" s="13" t="inlineStr">
        <is>
          <t>2011</t>
        </is>
      </c>
      <c r="E207" s="13" t="inlineStr">
        <is>
          <t>DS 2011</t>
        </is>
      </c>
      <c r="F207" s="13" t="inlineStr">
        <is>
          <t>Harvest</t>
        </is>
      </c>
      <c r="G207" s="7" t="n">
        <v>6.52</v>
      </c>
      <c r="H207" s="8" t="n">
        <v>27.57</v>
      </c>
      <c r="I207" s="8" t="n">
        <v>22.98</v>
      </c>
      <c r="J207" s="8" t="n">
        <v>35.26</v>
      </c>
      <c r="K207" s="8" t="n">
        <v>79.29000000000001</v>
      </c>
      <c r="L207" s="8" t="n">
        <v>98.15000000000001</v>
      </c>
      <c r="M207" s="8" t="n">
        <v>20.37</v>
      </c>
      <c r="N207" s="13" t="inlineStr">
        <is>
          <t>Type I – Tropical Monsoon (PAGASA)</t>
        </is>
      </c>
      <c r="O207" s="13" t="inlineStr">
        <is>
          <t>Wet</t>
        </is>
      </c>
      <c r="P207" s="13" t="inlineStr">
        <is>
          <t>Sandy Loam</t>
        </is>
      </c>
      <c r="Q207" s="13" t="inlineStr">
        <is>
          <t>Flat / Lowland</t>
        </is>
      </c>
      <c r="R207" s="14" t="n">
        <v>30</v>
      </c>
      <c r="S207" s="13" t="inlineStr">
        <is>
          <t>Tagamusing River</t>
        </is>
      </c>
      <c r="T207" s="15" t="n">
        <v>157.08</v>
      </c>
      <c r="U207" s="15" t="n"/>
      <c r="V207" s="15" t="n"/>
      <c r="W207" s="15" t="n"/>
      <c r="X207" s="15" t="n">
        <v>1.86</v>
      </c>
      <c r="Y207" s="15" t="n">
        <v>14.88</v>
      </c>
      <c r="Z207" s="16" t="n">
        <v>8</v>
      </c>
      <c r="AA207" s="17" t="inlineStr">
        <is>
          <t>Transplanting (Pindot) or Direct Seeding (Pinaghandaan)</t>
        </is>
      </c>
      <c r="AB207" s="17" t="inlineStr">
        <is>
          <t>Conventional Tillage: 2 plowings + 2 harrowings; soil workable when moist</t>
        </is>
      </c>
      <c r="AC207" s="17" t="inlineStr">
        <is>
          <t>Intermittent irrigation (Alternate Wetting and Drying — AWD); moderate retention</t>
        </is>
      </c>
    </row>
    <row r="208" ht="21.75" customHeight="1" s="101">
      <c r="A208" s="6" t="inlineStr">
        <is>
          <t>Palay</t>
        </is>
      </c>
      <c r="B208" s="6" t="inlineStr">
        <is>
          <t>Bugayong</t>
        </is>
      </c>
      <c r="C208" s="6" t="inlineStr">
        <is>
          <t>May</t>
        </is>
      </c>
      <c r="D208" s="6" t="inlineStr">
        <is>
          <t>2011</t>
        </is>
      </c>
      <c r="E208" s="6" t="inlineStr">
        <is>
          <t>DS 2011</t>
        </is>
      </c>
      <c r="F208" s="6" t="inlineStr">
        <is>
          <t>Harvest</t>
        </is>
      </c>
      <c r="G208" s="7" t="n">
        <v>6.52</v>
      </c>
      <c r="H208" s="8" t="n">
        <v>27.57</v>
      </c>
      <c r="I208" s="8" t="n">
        <v>22.98</v>
      </c>
      <c r="J208" s="8" t="n">
        <v>35.26</v>
      </c>
      <c r="K208" s="8" t="n">
        <v>79.29000000000001</v>
      </c>
      <c r="L208" s="8" t="n">
        <v>98.15000000000001</v>
      </c>
      <c r="M208" s="8" t="n">
        <v>20.37</v>
      </c>
      <c r="N208" s="6" t="inlineStr">
        <is>
          <t>Type I – Tropical Monsoon (PAGASA)</t>
        </is>
      </c>
      <c r="O208" s="6" t="inlineStr">
        <is>
          <t>Wet</t>
        </is>
      </c>
      <c r="P208" s="6" t="inlineStr">
        <is>
          <t>Sandy Loam / Silty Clay Loam</t>
        </is>
      </c>
      <c r="Q208" s="6" t="inlineStr">
        <is>
          <t>Flat / Lowland</t>
        </is>
      </c>
      <c r="R208" s="9" t="n">
        <v>30</v>
      </c>
      <c r="S208" s="6" t="inlineStr">
        <is>
          <t>Aloragat River</t>
        </is>
      </c>
      <c r="T208" s="10" t="n">
        <v>346.08</v>
      </c>
      <c r="U208" s="10" t="n"/>
      <c r="V208" s="10" t="n"/>
      <c r="W208" s="10" t="n"/>
      <c r="X208" s="10" t="n">
        <v>1.49</v>
      </c>
      <c r="Y208" s="10" t="n">
        <v>11.92</v>
      </c>
      <c r="Z208" s="11" t="n">
        <v>8</v>
      </c>
      <c r="AA208" s="12" t="inlineStr">
        <is>
          <t>Transplanting (Pindot) — recommended; Direct Seeding possible in dry season</t>
        </is>
      </c>
      <c r="AB208" s="12" t="inlineStr">
        <is>
          <t>Conventional Tillage: 2 plowings + harrowing; puddle thoroughly for transplanting</t>
        </is>
      </c>
      <c r="AC208" s="12" t="inlineStr">
        <is>
          <t>Intermittent to continuous flooding; manage according to drainage section present</t>
        </is>
      </c>
    </row>
    <row r="209" ht="21.75" customHeight="1" s="101">
      <c r="A209" s="13" t="inlineStr">
        <is>
          <t>Palay</t>
        </is>
      </c>
      <c r="B209" s="13" t="inlineStr">
        <is>
          <t>Mangkasuy</t>
        </is>
      </c>
      <c r="C209" s="13" t="inlineStr">
        <is>
          <t>May</t>
        </is>
      </c>
      <c r="D209" s="13" t="inlineStr">
        <is>
          <t>2011</t>
        </is>
      </c>
      <c r="E209" s="13" t="inlineStr">
        <is>
          <t>DS 2011</t>
        </is>
      </c>
      <c r="F209" s="13" t="inlineStr">
        <is>
          <t>Harvest</t>
        </is>
      </c>
      <c r="G209" s="7" t="n">
        <v>6.52</v>
      </c>
      <c r="H209" s="8" t="n">
        <v>27.57</v>
      </c>
      <c r="I209" s="8" t="n">
        <v>22.98</v>
      </c>
      <c r="J209" s="8" t="n">
        <v>35.26</v>
      </c>
      <c r="K209" s="8" t="n">
        <v>79.29000000000001</v>
      </c>
      <c r="L209" s="8" t="n">
        <v>98.15000000000001</v>
      </c>
      <c r="M209" s="8" t="n">
        <v>20.37</v>
      </c>
      <c r="N209" s="13" t="inlineStr">
        <is>
          <t>Type I – Tropical Monsoon (PAGASA)</t>
        </is>
      </c>
      <c r="O209" s="13" t="inlineStr">
        <is>
          <t>Wet</t>
        </is>
      </c>
      <c r="P209" s="13" t="inlineStr">
        <is>
          <t>Sandy Loam</t>
        </is>
      </c>
      <c r="Q209" s="13" t="inlineStr">
        <is>
          <t>Flat / Lowland</t>
        </is>
      </c>
      <c r="R209" s="14" t="n">
        <v>30</v>
      </c>
      <c r="S209" s="13" t="inlineStr">
        <is>
          <t>Tagamusing River</t>
        </is>
      </c>
      <c r="T209" s="15" t="n">
        <v>802.2</v>
      </c>
      <c r="U209" s="15" t="n"/>
      <c r="V209" s="15" t="n"/>
      <c r="W209" s="15" t="n"/>
      <c r="X209" s="15" t="n">
        <v>5.37</v>
      </c>
      <c r="Y209" s="15" t="n">
        <v>35.25</v>
      </c>
      <c r="Z209" s="16" t="n">
        <v>6.56</v>
      </c>
      <c r="AA209" s="17" t="inlineStr">
        <is>
          <t>Transplanting (Pindot) or Direct Seeding (Pinaghandaan)</t>
        </is>
      </c>
      <c r="AB209" s="17" t="inlineStr">
        <is>
          <t>Conventional Tillage: 2 plowings + 2 harrowings; soil workable when moist</t>
        </is>
      </c>
      <c r="AC209" s="17" t="inlineStr">
        <is>
          <t>Intermittent irrigation (Alternate Wetting and Drying — AWD); moderate retention</t>
        </is>
      </c>
    </row>
    <row r="210" ht="21.75" customHeight="1" s="101">
      <c r="A210" s="6" t="inlineStr">
        <is>
          <t>Palay</t>
        </is>
      </c>
      <c r="B210" s="6" t="inlineStr">
        <is>
          <t>Santiago</t>
        </is>
      </c>
      <c r="C210" s="6" t="inlineStr">
        <is>
          <t>May</t>
        </is>
      </c>
      <c r="D210" s="6" t="inlineStr">
        <is>
          <t>2011</t>
        </is>
      </c>
      <c r="E210" s="6" t="inlineStr">
        <is>
          <t>DS 2011</t>
        </is>
      </c>
      <c r="F210" s="6" t="inlineStr">
        <is>
          <t>Harvest</t>
        </is>
      </c>
      <c r="G210" s="7" t="n">
        <v>6.52</v>
      </c>
      <c r="H210" s="8" t="n">
        <v>27.57</v>
      </c>
      <c r="I210" s="8" t="n">
        <v>22.98</v>
      </c>
      <c r="J210" s="8" t="n">
        <v>35.26</v>
      </c>
      <c r="K210" s="8" t="n">
        <v>79.29000000000001</v>
      </c>
      <c r="L210" s="8" t="n">
        <v>98.15000000000001</v>
      </c>
      <c r="M210" s="8" t="n">
        <v>20.37</v>
      </c>
      <c r="N210" s="6" t="inlineStr">
        <is>
          <t>Type I – Tropical Monsoon (PAGASA)</t>
        </is>
      </c>
      <c r="O210" s="6" t="inlineStr">
        <is>
          <t>Wet</t>
        </is>
      </c>
      <c r="P210" s="6" t="inlineStr">
        <is>
          <t>Silty Clay Loam</t>
        </is>
      </c>
      <c r="Q210" s="6" t="inlineStr">
        <is>
          <t>Flat / Lowland</t>
        </is>
      </c>
      <c r="R210" s="9" t="n">
        <v>30</v>
      </c>
      <c r="S210" s="6" t="inlineStr">
        <is>
          <t>—</t>
        </is>
      </c>
      <c r="T210" s="10" t="n">
        <v>283.08</v>
      </c>
      <c r="U210" s="10" t="n"/>
      <c r="V210" s="10" t="n"/>
      <c r="W210" s="10" t="n"/>
      <c r="X210" s="10" t="n">
        <v>3.32</v>
      </c>
      <c r="Y210" s="10" t="n">
        <v>26.56</v>
      </c>
      <c r="Z210" s="11" t="n">
        <v>8</v>
      </c>
      <c r="AA210" s="12" t="inlineStr">
        <is>
          <t>Transplanting (Pindot) — optimal for clay-loam paddy fields</t>
        </is>
      </c>
      <c r="AB210" s="12" t="inlineStr">
        <is>
          <t>Wet Tillage (Puddling): 2 plowings + thorough harrowing under flooded condition</t>
        </is>
      </c>
      <c r="AC210" s="12" t="inlineStr">
        <is>
          <t>Continuous flooding 2–5 cm depth during vegetative stage; drain 2 weeks before harvest</t>
        </is>
      </c>
    </row>
    <row r="211" ht="21.75" customHeight="1" s="101">
      <c r="A211" s="13" t="inlineStr">
        <is>
          <t>Palay</t>
        </is>
      </c>
      <c r="B211" s="13" t="inlineStr">
        <is>
          <t>Pasileng Norte</t>
        </is>
      </c>
      <c r="C211" s="13" t="inlineStr">
        <is>
          <t>May</t>
        </is>
      </c>
      <c r="D211" s="13" t="inlineStr">
        <is>
          <t>2012</t>
        </is>
      </c>
      <c r="E211" s="13" t="inlineStr">
        <is>
          <t>DS 2012</t>
        </is>
      </c>
      <c r="F211" s="13" t="inlineStr">
        <is>
          <t>Harvest</t>
        </is>
      </c>
      <c r="G211" s="7" t="n">
        <v>5.6</v>
      </c>
      <c r="H211" s="8" t="n">
        <v>28.14</v>
      </c>
      <c r="I211" s="8" t="n">
        <v>23.4</v>
      </c>
      <c r="J211" s="8" t="n">
        <v>37.44</v>
      </c>
      <c r="K211" s="8" t="n">
        <v>75.27</v>
      </c>
      <c r="L211" s="8" t="n">
        <v>98.29000000000001</v>
      </c>
      <c r="M211" s="8" t="n">
        <v>20.34</v>
      </c>
      <c r="N211" s="13" t="inlineStr">
        <is>
          <t>Type I – Tropical Monsoon (PAGASA)</t>
        </is>
      </c>
      <c r="O211" s="13" t="inlineStr">
        <is>
          <t>Wet</t>
        </is>
      </c>
      <c r="P211" s="13" t="inlineStr">
        <is>
          <t>Sandy Loam</t>
        </is>
      </c>
      <c r="Q211" s="13" t="inlineStr">
        <is>
          <t>Flat / Lowland</t>
        </is>
      </c>
      <c r="R211" s="14" t="n">
        <v>30</v>
      </c>
      <c r="S211" s="13" t="inlineStr">
        <is>
          <t>Tagamusing River</t>
        </is>
      </c>
      <c r="T211" s="15" t="n">
        <v>140.28</v>
      </c>
      <c r="U211" s="15" t="n"/>
      <c r="V211" s="15" t="n"/>
      <c r="W211" s="15" t="n"/>
      <c r="X211" s="15" t="n">
        <v>2.77</v>
      </c>
      <c r="Y211" s="15" t="n">
        <v>22.16</v>
      </c>
      <c r="Z211" s="16" t="n">
        <v>8</v>
      </c>
      <c r="AA211" s="17" t="inlineStr">
        <is>
          <t>Transplanting (Pindot) or Direct Seeding (Pinaghandaan)</t>
        </is>
      </c>
      <c r="AB211" s="17" t="inlineStr">
        <is>
          <t>Conventional Tillage: 2 plowings + 2 harrowings; soil workable when moist</t>
        </is>
      </c>
      <c r="AC211" s="17" t="inlineStr">
        <is>
          <t>Intermittent irrigation (Alternate Wetting and Drying — AWD); moderate retention</t>
        </is>
      </c>
    </row>
    <row r="212" ht="21.75" customHeight="1" s="101">
      <c r="A212" s="6" t="inlineStr">
        <is>
          <t>Palay</t>
        </is>
      </c>
      <c r="B212" s="6" t="inlineStr">
        <is>
          <t>Tabuyoc</t>
        </is>
      </c>
      <c r="C212" s="6" t="inlineStr">
        <is>
          <t>May</t>
        </is>
      </c>
      <c r="D212" s="6" t="inlineStr">
        <is>
          <t>2012</t>
        </is>
      </c>
      <c r="E212" s="6" t="inlineStr">
        <is>
          <t>DS 2012</t>
        </is>
      </c>
      <c r="F212" s="6" t="inlineStr">
        <is>
          <t>Harvest</t>
        </is>
      </c>
      <c r="G212" s="7" t="n">
        <v>5.6</v>
      </c>
      <c r="H212" s="8" t="n">
        <v>28.14</v>
      </c>
      <c r="I212" s="8" t="n">
        <v>23.4</v>
      </c>
      <c r="J212" s="8" t="n">
        <v>37.44</v>
      </c>
      <c r="K212" s="8" t="n">
        <v>75.27</v>
      </c>
      <c r="L212" s="8" t="n">
        <v>98.29000000000001</v>
      </c>
      <c r="M212" s="8" t="n">
        <v>20.34</v>
      </c>
      <c r="N212" s="6" t="inlineStr">
        <is>
          <t>Type I – Tropical Monsoon (PAGASA)</t>
        </is>
      </c>
      <c r="O212" s="6" t="inlineStr">
        <is>
          <t>Wet</t>
        </is>
      </c>
      <c r="P212" s="6" t="inlineStr">
        <is>
          <t>Silty Clay Loam</t>
        </is>
      </c>
      <c r="Q212" s="6" t="inlineStr">
        <is>
          <t>Flat / Lowland</t>
        </is>
      </c>
      <c r="R212" s="9" t="n">
        <v>30</v>
      </c>
      <c r="S212" s="6" t="inlineStr">
        <is>
          <t>—</t>
        </is>
      </c>
      <c r="T212" s="10" t="n">
        <v>277.2</v>
      </c>
      <c r="U212" s="10" t="n"/>
      <c r="V212" s="10" t="n"/>
      <c r="W212" s="10" t="n"/>
      <c r="X212" s="10" t="n">
        <v>6.19</v>
      </c>
      <c r="Y212" s="10" t="n">
        <v>33.89</v>
      </c>
      <c r="Z212" s="11" t="n">
        <v>5.47</v>
      </c>
      <c r="AA212" s="12" t="inlineStr">
        <is>
          <t>Transplanting (Pindot) — optimal for clay-loam paddy fields</t>
        </is>
      </c>
      <c r="AB212" s="12" t="inlineStr">
        <is>
          <t>Wet Tillage (Puddling): 2 plowings + thorough harrowing under flooded condition</t>
        </is>
      </c>
      <c r="AC212" s="12" t="inlineStr">
        <is>
          <t>Continuous flooding 2–5 cm depth during vegetative stage; drain 2 weeks before harvest</t>
        </is>
      </c>
    </row>
    <row r="213" ht="21.75" customHeight="1" s="101">
      <c r="A213" s="13" t="inlineStr">
        <is>
          <t>Palay</t>
        </is>
      </c>
      <c r="B213" s="13" t="inlineStr">
        <is>
          <t>Camanggaan</t>
        </is>
      </c>
      <c r="C213" s="13" t="inlineStr">
        <is>
          <t>May</t>
        </is>
      </c>
      <c r="D213" s="13" t="inlineStr">
        <is>
          <t>2012</t>
        </is>
      </c>
      <c r="E213" s="13" t="inlineStr">
        <is>
          <t>DS 2012</t>
        </is>
      </c>
      <c r="F213" s="13" t="inlineStr">
        <is>
          <t>Harvest</t>
        </is>
      </c>
      <c r="G213" s="7" t="n">
        <v>5.6</v>
      </c>
      <c r="H213" s="8" t="n">
        <v>28.14</v>
      </c>
      <c r="I213" s="8" t="n">
        <v>23.4</v>
      </c>
      <c r="J213" s="8" t="n">
        <v>37.44</v>
      </c>
      <c r="K213" s="8" t="n">
        <v>75.27</v>
      </c>
      <c r="L213" s="8" t="n">
        <v>98.29000000000001</v>
      </c>
      <c r="M213" s="8" t="n">
        <v>20.34</v>
      </c>
      <c r="N213" s="13" t="inlineStr">
        <is>
          <t>Type I – Tropical Monsoon (PAGASA)</t>
        </is>
      </c>
      <c r="O213" s="13" t="inlineStr">
        <is>
          <t>Wet</t>
        </is>
      </c>
      <c r="P213" s="13" t="inlineStr">
        <is>
          <t>Sandy Loam</t>
        </is>
      </c>
      <c r="Q213" s="13" t="inlineStr">
        <is>
          <t>Flat / Lowland</t>
        </is>
      </c>
      <c r="R213" s="14" t="n">
        <v>30</v>
      </c>
      <c r="S213" s="13" t="inlineStr">
        <is>
          <t>—</t>
        </is>
      </c>
      <c r="T213" s="15" t="n">
        <v>244.44</v>
      </c>
      <c r="U213" s="15" t="n"/>
      <c r="V213" s="15" t="n"/>
      <c r="W213" s="15" t="n"/>
      <c r="X213" s="15" t="n">
        <v>3.19</v>
      </c>
      <c r="Y213" s="15" t="n">
        <v>23.39</v>
      </c>
      <c r="Z213" s="16" t="n">
        <v>7.33</v>
      </c>
      <c r="AA213" s="17" t="inlineStr">
        <is>
          <t>Transplanting (Pindot) or Direct Seeding (Pinaghandaan)</t>
        </is>
      </c>
      <c r="AB213" s="17" t="inlineStr">
        <is>
          <t>Conventional Tillage: 2 plowings + 2 harrowings; soil workable when moist</t>
        </is>
      </c>
      <c r="AC213" s="17" t="inlineStr">
        <is>
          <t>Intermittent irrigation (Alternate Wetting and Drying — AWD); moderate retention</t>
        </is>
      </c>
    </row>
    <row r="214" ht="21.75" customHeight="1" s="101">
      <c r="A214" s="6" t="inlineStr">
        <is>
          <t>Palay</t>
        </is>
      </c>
      <c r="B214" s="6" t="inlineStr">
        <is>
          <t>Cili</t>
        </is>
      </c>
      <c r="C214" s="6" t="inlineStr">
        <is>
          <t>May</t>
        </is>
      </c>
      <c r="D214" s="6" t="inlineStr">
        <is>
          <t>2012</t>
        </is>
      </c>
      <c r="E214" s="6" t="inlineStr">
        <is>
          <t>DS 2012</t>
        </is>
      </c>
      <c r="F214" s="6" t="inlineStr">
        <is>
          <t>Harvest</t>
        </is>
      </c>
      <c r="G214" s="7" t="n">
        <v>5.6</v>
      </c>
      <c r="H214" s="8" t="n">
        <v>28.14</v>
      </c>
      <c r="I214" s="8" t="n">
        <v>23.4</v>
      </c>
      <c r="J214" s="8" t="n">
        <v>37.44</v>
      </c>
      <c r="K214" s="8" t="n">
        <v>75.27</v>
      </c>
      <c r="L214" s="8" t="n">
        <v>98.29000000000001</v>
      </c>
      <c r="M214" s="8" t="n">
        <v>20.34</v>
      </c>
      <c r="N214" s="6" t="inlineStr">
        <is>
          <t>Type I – Tropical Monsoon (PAGASA)</t>
        </is>
      </c>
      <c r="O214" s="6" t="inlineStr">
        <is>
          <t>Wet</t>
        </is>
      </c>
      <c r="P214" s="6" t="inlineStr">
        <is>
          <t>Silty Clay Loam</t>
        </is>
      </c>
      <c r="Q214" s="6" t="inlineStr">
        <is>
          <t>Flat / Lowland</t>
        </is>
      </c>
      <c r="R214" s="9" t="n">
        <v>30</v>
      </c>
      <c r="S214" s="6" t="inlineStr">
        <is>
          <t>Alibeng River</t>
        </is>
      </c>
      <c r="T214" s="10" t="n">
        <v>264.6</v>
      </c>
      <c r="U214" s="10" t="n"/>
      <c r="V214" s="10" t="n"/>
      <c r="W214" s="10" t="n"/>
      <c r="X214" s="10" t="n">
        <v>1.05</v>
      </c>
      <c r="Y214" s="10" t="n">
        <v>8.4</v>
      </c>
      <c r="Z214" s="11" t="n">
        <v>8</v>
      </c>
      <c r="AA214" s="12" t="inlineStr">
        <is>
          <t>Transplanting (Pindot) — optimal for clay-loam paddy fields</t>
        </is>
      </c>
      <c r="AB214" s="12" t="inlineStr">
        <is>
          <t>Wet Tillage (Puddling): 2 plowings + thorough harrowing under flooded condition</t>
        </is>
      </c>
      <c r="AC214" s="12" t="inlineStr">
        <is>
          <t>Continuous flooding 2–5 cm depth during vegetative stage; drain 2 weeks before harvest</t>
        </is>
      </c>
    </row>
    <row r="215" ht="21.75" customHeight="1" s="101">
      <c r="A215" s="13" t="inlineStr">
        <is>
          <t>Palay</t>
        </is>
      </c>
      <c r="B215" s="13" t="inlineStr">
        <is>
          <t>Sumabnit</t>
        </is>
      </c>
      <c r="C215" s="13" t="inlineStr">
        <is>
          <t>May</t>
        </is>
      </c>
      <c r="D215" s="13" t="inlineStr">
        <is>
          <t>2012</t>
        </is>
      </c>
      <c r="E215" s="13" t="inlineStr">
        <is>
          <t>DS 2012</t>
        </is>
      </c>
      <c r="F215" s="13" t="inlineStr">
        <is>
          <t>Harvest</t>
        </is>
      </c>
      <c r="G215" s="7" t="n">
        <v>5.6</v>
      </c>
      <c r="H215" s="8" t="n">
        <v>28.14</v>
      </c>
      <c r="I215" s="8" t="n">
        <v>23.4</v>
      </c>
      <c r="J215" s="8" t="n">
        <v>37.44</v>
      </c>
      <c r="K215" s="8" t="n">
        <v>75.27</v>
      </c>
      <c r="L215" s="8" t="n">
        <v>98.29000000000001</v>
      </c>
      <c r="M215" s="8" t="n">
        <v>20.34</v>
      </c>
      <c r="N215" s="13" t="inlineStr">
        <is>
          <t>Type I – Tropical Monsoon (PAGASA)</t>
        </is>
      </c>
      <c r="O215" s="13" t="inlineStr">
        <is>
          <t>Wet</t>
        </is>
      </c>
      <c r="P215" s="13" t="inlineStr">
        <is>
          <t>Silty Clay Loam / Fine Sandy Loam</t>
        </is>
      </c>
      <c r="Q215" s="13" t="inlineStr">
        <is>
          <t>Flat / Lowland</t>
        </is>
      </c>
      <c r="R215" s="14" t="n">
        <v>30</v>
      </c>
      <c r="S215" s="13" t="inlineStr">
        <is>
          <t>Tagamusing River</t>
        </is>
      </c>
      <c r="T215" s="15" t="n">
        <v>406.56</v>
      </c>
      <c r="U215" s="15" t="n"/>
      <c r="V215" s="15" t="n"/>
      <c r="W215" s="15" t="n"/>
      <c r="X215" s="15" t="n">
        <v>6.13</v>
      </c>
      <c r="Y215" s="15" t="n">
        <v>34.61</v>
      </c>
      <c r="Z215" s="16" t="n">
        <v>5.65</v>
      </c>
      <c r="AA215" s="17" t="inlineStr">
        <is>
          <t>Transplanting (Pindot)</t>
        </is>
      </c>
      <c r="AB215" s="17" t="inlineStr">
        <is>
          <t>Minimum Tillage (avoid compaction; sandy structure fragile)</t>
        </is>
      </c>
      <c r="AC215" s="17" t="inlineStr">
        <is>
          <t>Continuous flooding or frequent irrigation; high percolation risk</t>
        </is>
      </c>
    </row>
    <row r="216" ht="21.75" customHeight="1" s="101">
      <c r="A216" s="6" t="inlineStr">
        <is>
          <t>Palay</t>
        </is>
      </c>
      <c r="B216" s="6" t="inlineStr">
        <is>
          <t>Capas</t>
        </is>
      </c>
      <c r="C216" s="6" t="inlineStr">
        <is>
          <t>May</t>
        </is>
      </c>
      <c r="D216" s="6" t="inlineStr">
        <is>
          <t>2012</t>
        </is>
      </c>
      <c r="E216" s="6" t="inlineStr">
        <is>
          <t>DS 2012</t>
        </is>
      </c>
      <c r="F216" s="6" t="inlineStr">
        <is>
          <t>Harvest</t>
        </is>
      </c>
      <c r="G216" s="7" t="n">
        <v>5.6</v>
      </c>
      <c r="H216" s="8" t="n">
        <v>28.14</v>
      </c>
      <c r="I216" s="8" t="n">
        <v>23.4</v>
      </c>
      <c r="J216" s="8" t="n">
        <v>37.44</v>
      </c>
      <c r="K216" s="8" t="n">
        <v>75.27</v>
      </c>
      <c r="L216" s="8" t="n">
        <v>98.29000000000001</v>
      </c>
      <c r="M216" s="8" t="n">
        <v>20.34</v>
      </c>
      <c r="N216" s="6" t="inlineStr">
        <is>
          <t>Type I – Tropical Monsoon (PAGASA)</t>
        </is>
      </c>
      <c r="O216" s="6" t="inlineStr">
        <is>
          <t>Wet</t>
        </is>
      </c>
      <c r="P216" s="6" t="inlineStr">
        <is>
          <t>Sandy Loam</t>
        </is>
      </c>
      <c r="Q216" s="6" t="inlineStr">
        <is>
          <t>Flat / Lowland</t>
        </is>
      </c>
      <c r="R216" s="9" t="n">
        <v>30</v>
      </c>
      <c r="S216" s="6" t="inlineStr">
        <is>
          <t>—</t>
        </is>
      </c>
      <c r="T216" s="10" t="n">
        <v>377.16</v>
      </c>
      <c r="U216" s="10" t="n"/>
      <c r="V216" s="10" t="n"/>
      <c r="W216" s="10" t="n"/>
      <c r="X216" s="10" t="n">
        <v>3.12</v>
      </c>
      <c r="Y216" s="10" t="n">
        <v>23.2</v>
      </c>
      <c r="Z216" s="11" t="n">
        <v>7.44</v>
      </c>
      <c r="AA216" s="12" t="inlineStr">
        <is>
          <t>Transplanting (Pindot) or Direct Seeding (Pinaghandaan)</t>
        </is>
      </c>
      <c r="AB216" s="12" t="inlineStr">
        <is>
          <t>Conventional Tillage: 2 plowings + 2 harrowings; soil workable when moist</t>
        </is>
      </c>
      <c r="AC216" s="12" t="inlineStr">
        <is>
          <t>Intermittent irrigation (Alternate Wetting and Drying — AWD); moderate retention</t>
        </is>
      </c>
    </row>
    <row r="217" ht="21.75" customHeight="1" s="101">
      <c r="A217" s="13" t="inlineStr">
        <is>
          <t>Palay</t>
        </is>
      </c>
      <c r="B217" s="13" t="inlineStr">
        <is>
          <t>San Pablo</t>
        </is>
      </c>
      <c r="C217" s="13" t="inlineStr">
        <is>
          <t>May</t>
        </is>
      </c>
      <c r="D217" s="13" t="inlineStr">
        <is>
          <t>2012</t>
        </is>
      </c>
      <c r="E217" s="13" t="inlineStr">
        <is>
          <t>DS 2012</t>
        </is>
      </c>
      <c r="F217" s="13" t="inlineStr">
        <is>
          <t>Harvest</t>
        </is>
      </c>
      <c r="G217" s="7" t="n">
        <v>5.6</v>
      </c>
      <c r="H217" s="8" t="n">
        <v>28.14</v>
      </c>
      <c r="I217" s="8" t="n">
        <v>23.4</v>
      </c>
      <c r="J217" s="8" t="n">
        <v>37.44</v>
      </c>
      <c r="K217" s="8" t="n">
        <v>75.27</v>
      </c>
      <c r="L217" s="8" t="n">
        <v>98.29000000000001</v>
      </c>
      <c r="M217" s="8" t="n">
        <v>20.34</v>
      </c>
      <c r="N217" s="13" t="inlineStr">
        <is>
          <t>Type I – Tropical Monsoon (PAGASA)</t>
        </is>
      </c>
      <c r="O217" s="13" t="inlineStr">
        <is>
          <t>Wet</t>
        </is>
      </c>
      <c r="P217" s="13" t="inlineStr">
        <is>
          <t>Sandy Loam</t>
        </is>
      </c>
      <c r="Q217" s="13" t="inlineStr">
        <is>
          <t>Flat / Lowland</t>
        </is>
      </c>
      <c r="R217" s="14" t="n">
        <v>30</v>
      </c>
      <c r="S217" s="13" t="inlineStr">
        <is>
          <t>San Pablo Creek</t>
        </is>
      </c>
      <c r="T217" s="15" t="n">
        <v>215.04</v>
      </c>
      <c r="U217" s="15" t="n"/>
      <c r="V217" s="15" t="n"/>
      <c r="W217" s="15" t="n"/>
      <c r="X217" s="15" t="n">
        <v>2.82</v>
      </c>
      <c r="Y217" s="15" t="n">
        <v>22.56</v>
      </c>
      <c r="Z217" s="16" t="n">
        <v>8</v>
      </c>
      <c r="AA217" s="17" t="inlineStr">
        <is>
          <t>Transplanting (Pindot) or Direct Seeding (Pinaghandaan)</t>
        </is>
      </c>
      <c r="AB217" s="17" t="inlineStr">
        <is>
          <t>Conventional Tillage: 2 plowings + 2 harrowings; soil workable when moist</t>
        </is>
      </c>
      <c r="AC217" s="17" t="inlineStr">
        <is>
          <t>Intermittent irrigation (Alternate Wetting and Drying — AWD); moderate retention</t>
        </is>
      </c>
    </row>
    <row r="218" ht="21.75" customHeight="1" s="101">
      <c r="A218" s="6" t="inlineStr">
        <is>
          <t>Palay</t>
        </is>
      </c>
      <c r="B218" s="6" t="inlineStr">
        <is>
          <t>Balangobong</t>
        </is>
      </c>
      <c r="C218" s="6" t="inlineStr">
        <is>
          <t>May</t>
        </is>
      </c>
      <c r="D218" s="6" t="inlineStr">
        <is>
          <t>2012</t>
        </is>
      </c>
      <c r="E218" s="6" t="inlineStr">
        <is>
          <t>DS 2012</t>
        </is>
      </c>
      <c r="F218" s="6" t="inlineStr">
        <is>
          <t>Harvest</t>
        </is>
      </c>
      <c r="G218" s="7" t="n">
        <v>5.6</v>
      </c>
      <c r="H218" s="8" t="n">
        <v>28.14</v>
      </c>
      <c r="I218" s="8" t="n">
        <v>23.4</v>
      </c>
      <c r="J218" s="8" t="n">
        <v>37.44</v>
      </c>
      <c r="K218" s="8" t="n">
        <v>75.27</v>
      </c>
      <c r="L218" s="8" t="n">
        <v>98.29000000000001</v>
      </c>
      <c r="M218" s="8" t="n">
        <v>20.34</v>
      </c>
      <c r="N218" s="6" t="inlineStr">
        <is>
          <t>Type I – Tropical Monsoon (PAGASA)</t>
        </is>
      </c>
      <c r="O218" s="6" t="inlineStr">
        <is>
          <t>Wet</t>
        </is>
      </c>
      <c r="P218" s="6" t="inlineStr">
        <is>
          <t>Silty Clay Loam</t>
        </is>
      </c>
      <c r="Q218" s="6" t="inlineStr">
        <is>
          <t>Flat / Lowland</t>
        </is>
      </c>
      <c r="R218" s="9" t="n">
        <v>30</v>
      </c>
      <c r="S218" s="6" t="inlineStr">
        <is>
          <t>—</t>
        </is>
      </c>
      <c r="T218" s="10" t="n">
        <v>281.4</v>
      </c>
      <c r="U218" s="10" t="n"/>
      <c r="V218" s="10" t="n"/>
      <c r="W218" s="10" t="n"/>
      <c r="X218" s="10" t="n">
        <v>7.7</v>
      </c>
      <c r="Y218" s="10" t="n">
        <v>13.5</v>
      </c>
      <c r="Z218" s="11" t="n">
        <v>1.75</v>
      </c>
      <c r="AA218" s="12" t="inlineStr">
        <is>
          <t>Transplanting (Pindot) — optimal for clay-loam paddy fields</t>
        </is>
      </c>
      <c r="AB218" s="12" t="inlineStr">
        <is>
          <t>Wet Tillage (Puddling): 2 plowings + thorough harrowing under flooded condition</t>
        </is>
      </c>
      <c r="AC218" s="12" t="inlineStr">
        <is>
          <t>Continuous flooding 2–5 cm depth during vegetative stage; drain 2 weeks before harvest</t>
        </is>
      </c>
    </row>
    <row r="219" ht="21.75" customHeight="1" s="101">
      <c r="A219" s="13" t="inlineStr">
        <is>
          <t>Palay</t>
        </is>
      </c>
      <c r="B219" s="13" t="inlineStr">
        <is>
          <t>San Felipe Central</t>
        </is>
      </c>
      <c r="C219" s="13" t="inlineStr">
        <is>
          <t>May</t>
        </is>
      </c>
      <c r="D219" s="13" t="inlineStr">
        <is>
          <t>2012</t>
        </is>
      </c>
      <c r="E219" s="13" t="inlineStr">
        <is>
          <t>DS 2012</t>
        </is>
      </c>
      <c r="F219" s="13" t="inlineStr">
        <is>
          <t>Harvest</t>
        </is>
      </c>
      <c r="G219" s="7" t="n">
        <v>5.6</v>
      </c>
      <c r="H219" s="8" t="n">
        <v>28.14</v>
      </c>
      <c r="I219" s="8" t="n">
        <v>23.4</v>
      </c>
      <c r="J219" s="8" t="n">
        <v>37.44</v>
      </c>
      <c r="K219" s="8" t="n">
        <v>75.27</v>
      </c>
      <c r="L219" s="8" t="n">
        <v>98.29000000000001</v>
      </c>
      <c r="M219" s="8" t="n">
        <v>20.34</v>
      </c>
      <c r="N219" s="13" t="inlineStr">
        <is>
          <t>Type I – Tropical Monsoon (PAGASA)</t>
        </is>
      </c>
      <c r="O219" s="13" t="inlineStr">
        <is>
          <t>Wet</t>
        </is>
      </c>
      <c r="P219" s="13" t="inlineStr">
        <is>
          <t>Sandy Loam</t>
        </is>
      </c>
      <c r="Q219" s="13" t="inlineStr">
        <is>
          <t>Flat / Lowland</t>
        </is>
      </c>
      <c r="R219" s="14" t="n">
        <v>30</v>
      </c>
      <c r="S219" s="13" t="inlineStr">
        <is>
          <t>—</t>
        </is>
      </c>
      <c r="T219" s="15" t="n">
        <v>452.76</v>
      </c>
      <c r="U219" s="15" t="n"/>
      <c r="V219" s="15" t="n"/>
      <c r="W219" s="15" t="n"/>
      <c r="X219" s="15" t="n">
        <v>4.26</v>
      </c>
      <c r="Y219" s="15" t="n">
        <v>34.08</v>
      </c>
      <c r="Z219" s="16" t="n">
        <v>8</v>
      </c>
      <c r="AA219" s="17" t="inlineStr">
        <is>
          <t>Transplanting (Pindot) or Direct Seeding (Pinaghandaan)</t>
        </is>
      </c>
      <c r="AB219" s="17" t="inlineStr">
        <is>
          <t>Conventional Tillage: 2 plowings + 2 harrowings; soil workable when moist</t>
        </is>
      </c>
      <c r="AC219" s="17" t="inlineStr">
        <is>
          <t>Intermittent irrigation (Alternate Wetting and Drying — AWD); moderate retention</t>
        </is>
      </c>
    </row>
    <row r="220" ht="21.75" customHeight="1" s="101">
      <c r="A220" s="6" t="inlineStr">
        <is>
          <t>Palay</t>
        </is>
      </c>
      <c r="B220" s="6" t="inlineStr">
        <is>
          <t>San Felipe Sur</t>
        </is>
      </c>
      <c r="C220" s="6" t="inlineStr">
        <is>
          <t>May</t>
        </is>
      </c>
      <c r="D220" s="6" t="inlineStr">
        <is>
          <t>2012</t>
        </is>
      </c>
      <c r="E220" s="6" t="inlineStr">
        <is>
          <t>DS 2012</t>
        </is>
      </c>
      <c r="F220" s="6" t="inlineStr">
        <is>
          <t>Harvest</t>
        </is>
      </c>
      <c r="G220" s="7" t="n">
        <v>5.6</v>
      </c>
      <c r="H220" s="8" t="n">
        <v>28.14</v>
      </c>
      <c r="I220" s="8" t="n">
        <v>23.4</v>
      </c>
      <c r="J220" s="8" t="n">
        <v>37.44</v>
      </c>
      <c r="K220" s="8" t="n">
        <v>75.27</v>
      </c>
      <c r="L220" s="8" t="n">
        <v>98.29000000000001</v>
      </c>
      <c r="M220" s="8" t="n">
        <v>20.34</v>
      </c>
      <c r="N220" s="6" t="inlineStr">
        <is>
          <t>Type I – Tropical Monsoon (PAGASA)</t>
        </is>
      </c>
      <c r="O220" s="6" t="inlineStr">
        <is>
          <t>Wet</t>
        </is>
      </c>
      <c r="P220" s="6" t="inlineStr">
        <is>
          <t>Sandy Loam</t>
        </is>
      </c>
      <c r="Q220" s="6" t="inlineStr">
        <is>
          <t>Flat / Lowland</t>
        </is>
      </c>
      <c r="R220" s="9" t="n">
        <v>30</v>
      </c>
      <c r="S220" s="6" t="inlineStr">
        <is>
          <t>Tagamusing River</t>
        </is>
      </c>
      <c r="T220" s="10" t="n">
        <v>504</v>
      </c>
      <c r="U220" s="10" t="n"/>
      <c r="V220" s="10" t="n"/>
      <c r="W220" s="10" t="n"/>
      <c r="X220" s="10" t="n">
        <v>3.41</v>
      </c>
      <c r="Y220" s="10" t="n">
        <v>27.28</v>
      </c>
      <c r="Z220" s="11" t="n">
        <v>8</v>
      </c>
      <c r="AA220" s="12" t="inlineStr">
        <is>
          <t>Transplanting (Pindot) or Direct Seeding (Pinaghandaan)</t>
        </is>
      </c>
      <c r="AB220" s="12" t="inlineStr">
        <is>
          <t>Conventional Tillage: 2 plowings + 2 harrowings; soil workable when moist</t>
        </is>
      </c>
      <c r="AC220" s="12" t="inlineStr">
        <is>
          <t>Intermittent irrigation (Alternate Wetting and Drying — AWD); moderate retention</t>
        </is>
      </c>
    </row>
    <row r="221" ht="21.75" customHeight="1" s="101">
      <c r="A221" s="13" t="inlineStr">
        <is>
          <t>Palay</t>
        </is>
      </c>
      <c r="B221" s="13" t="inlineStr">
        <is>
          <t>Pasileng Sur</t>
        </is>
      </c>
      <c r="C221" s="13" t="inlineStr">
        <is>
          <t>May</t>
        </is>
      </c>
      <c r="D221" s="13" t="inlineStr">
        <is>
          <t>2012</t>
        </is>
      </c>
      <c r="E221" s="13" t="inlineStr">
        <is>
          <t>DS 2012</t>
        </is>
      </c>
      <c r="F221" s="13" t="inlineStr">
        <is>
          <t>Harvest</t>
        </is>
      </c>
      <c r="G221" s="7" t="n">
        <v>5.6</v>
      </c>
      <c r="H221" s="8" t="n">
        <v>28.14</v>
      </c>
      <c r="I221" s="8" t="n">
        <v>23.4</v>
      </c>
      <c r="J221" s="8" t="n">
        <v>37.44</v>
      </c>
      <c r="K221" s="8" t="n">
        <v>75.27</v>
      </c>
      <c r="L221" s="8" t="n">
        <v>98.29000000000001</v>
      </c>
      <c r="M221" s="8" t="n">
        <v>20.34</v>
      </c>
      <c r="N221" s="13" t="inlineStr">
        <is>
          <t>Type I – Tropical Monsoon (PAGASA)</t>
        </is>
      </c>
      <c r="O221" s="13" t="inlineStr">
        <is>
          <t>Wet</t>
        </is>
      </c>
      <c r="P221" s="13" t="inlineStr">
        <is>
          <t>Sandy Loam</t>
        </is>
      </c>
      <c r="Q221" s="13" t="inlineStr">
        <is>
          <t>Flat / Lowland</t>
        </is>
      </c>
      <c r="R221" s="14" t="n">
        <v>30</v>
      </c>
      <c r="S221" s="13" t="inlineStr">
        <is>
          <t>Tagamusing River</t>
        </is>
      </c>
      <c r="T221" s="15" t="n">
        <v>414.96</v>
      </c>
      <c r="U221" s="15" t="n"/>
      <c r="V221" s="15" t="n"/>
      <c r="W221" s="15" t="n"/>
      <c r="X221" s="15" t="n">
        <v>4.35</v>
      </c>
      <c r="Y221" s="15" t="n">
        <v>34.8</v>
      </c>
      <c r="Z221" s="16" t="n">
        <v>8</v>
      </c>
      <c r="AA221" s="17" t="inlineStr">
        <is>
          <t>Transplanting (Pindot) or Direct Seeding (Pinaghandaan)</t>
        </is>
      </c>
      <c r="AB221" s="17" t="inlineStr">
        <is>
          <t>Conventional Tillage: 2 plowings + 2 harrowings; soil workable when moist</t>
        </is>
      </c>
      <c r="AC221" s="17" t="inlineStr">
        <is>
          <t>Intermittent irrigation (Alternate Wetting and Drying — AWD); moderate retention</t>
        </is>
      </c>
    </row>
    <row r="222" ht="21.75" customHeight="1" s="101">
      <c r="A222" s="6" t="inlineStr">
        <is>
          <t>Palay</t>
        </is>
      </c>
      <c r="B222" s="6" t="inlineStr">
        <is>
          <t>Sta. Maria Norte</t>
        </is>
      </c>
      <c r="C222" s="6" t="inlineStr">
        <is>
          <t>May</t>
        </is>
      </c>
      <c r="D222" s="6" t="inlineStr">
        <is>
          <t>2012</t>
        </is>
      </c>
      <c r="E222" s="6" t="inlineStr">
        <is>
          <t>DS 2012</t>
        </is>
      </c>
      <c r="F222" s="6" t="inlineStr">
        <is>
          <t>Harvest</t>
        </is>
      </c>
      <c r="G222" s="7" t="n">
        <v>5.6</v>
      </c>
      <c r="H222" s="8" t="n">
        <v>28.14</v>
      </c>
      <c r="I222" s="8" t="n">
        <v>23.4</v>
      </c>
      <c r="J222" s="8" t="n">
        <v>37.44</v>
      </c>
      <c r="K222" s="8" t="n">
        <v>75.27</v>
      </c>
      <c r="L222" s="8" t="n">
        <v>98.29000000000001</v>
      </c>
      <c r="M222" s="8" t="n">
        <v>20.34</v>
      </c>
      <c r="N222" s="6" t="inlineStr">
        <is>
          <t>Type I – Tropical Monsoon (PAGASA)</t>
        </is>
      </c>
      <c r="O222" s="6" t="inlineStr">
        <is>
          <t>Wet</t>
        </is>
      </c>
      <c r="P222" s="6" t="inlineStr">
        <is>
          <t>Sandy Loam</t>
        </is>
      </c>
      <c r="Q222" s="6" t="inlineStr">
        <is>
          <t>Flat / Lowland</t>
        </is>
      </c>
      <c r="R222" s="9" t="n">
        <v>30</v>
      </c>
      <c r="S222" s="6" t="inlineStr">
        <is>
          <t>Tagamusing River</t>
        </is>
      </c>
      <c r="T222" s="10" t="n">
        <v>157.08</v>
      </c>
      <c r="U222" s="10" t="n"/>
      <c r="V222" s="10" t="n"/>
      <c r="W222" s="10" t="n"/>
      <c r="X222" s="10" t="n">
        <v>3.95</v>
      </c>
      <c r="Y222" s="10" t="n">
        <v>25.27</v>
      </c>
      <c r="Z222" s="11" t="n">
        <v>6.4</v>
      </c>
      <c r="AA222" s="12" t="inlineStr">
        <is>
          <t>Transplanting (Pindot) or Direct Seeding (Pinaghandaan)</t>
        </is>
      </c>
      <c r="AB222" s="12" t="inlineStr">
        <is>
          <t>Conventional Tillage: 2 plowings + 2 harrowings; soil workable when moist</t>
        </is>
      </c>
      <c r="AC222" s="12" t="inlineStr">
        <is>
          <t>Intermittent irrigation (Alternate Wetting and Drying — AWD); moderate retention</t>
        </is>
      </c>
    </row>
    <row r="223" ht="21.75" customHeight="1" s="101">
      <c r="A223" s="13" t="inlineStr">
        <is>
          <t>Palay</t>
        </is>
      </c>
      <c r="B223" s="13" t="inlineStr">
        <is>
          <t>Bugayong</t>
        </is>
      </c>
      <c r="C223" s="13" t="inlineStr">
        <is>
          <t>May</t>
        </is>
      </c>
      <c r="D223" s="13" t="inlineStr">
        <is>
          <t>2012</t>
        </is>
      </c>
      <c r="E223" s="13" t="inlineStr">
        <is>
          <t>DS 2012</t>
        </is>
      </c>
      <c r="F223" s="13" t="inlineStr">
        <is>
          <t>Harvest</t>
        </is>
      </c>
      <c r="G223" s="7" t="n">
        <v>5.6</v>
      </c>
      <c r="H223" s="8" t="n">
        <v>28.14</v>
      </c>
      <c r="I223" s="8" t="n">
        <v>23.4</v>
      </c>
      <c r="J223" s="8" t="n">
        <v>37.44</v>
      </c>
      <c r="K223" s="8" t="n">
        <v>75.27</v>
      </c>
      <c r="L223" s="8" t="n">
        <v>98.29000000000001</v>
      </c>
      <c r="M223" s="8" t="n">
        <v>20.34</v>
      </c>
      <c r="N223" s="13" t="inlineStr">
        <is>
          <t>Type I – Tropical Monsoon (PAGASA)</t>
        </is>
      </c>
      <c r="O223" s="13" t="inlineStr">
        <is>
          <t>Wet</t>
        </is>
      </c>
      <c r="P223" s="13" t="inlineStr">
        <is>
          <t>Sandy Loam / Silty Clay Loam</t>
        </is>
      </c>
      <c r="Q223" s="13" t="inlineStr">
        <is>
          <t>Flat / Lowland</t>
        </is>
      </c>
      <c r="R223" s="14" t="n">
        <v>30</v>
      </c>
      <c r="S223" s="13" t="inlineStr">
        <is>
          <t>Aloragat River</t>
        </is>
      </c>
      <c r="T223" s="15" t="n">
        <v>346.08</v>
      </c>
      <c r="U223" s="15" t="n"/>
      <c r="V223" s="15" t="n"/>
      <c r="W223" s="15" t="n"/>
      <c r="X223" s="15" t="n">
        <v>3</v>
      </c>
      <c r="Y223" s="15" t="n">
        <v>13.5</v>
      </c>
      <c r="Z223" s="16" t="n">
        <v>4.5</v>
      </c>
      <c r="AA223" s="17" t="inlineStr">
        <is>
          <t>Transplanting (Pindot) — recommended; Direct Seeding possible in dry season</t>
        </is>
      </c>
      <c r="AB223" s="17" t="inlineStr">
        <is>
          <t>Conventional Tillage: 2 plowings + harrowing; puddle thoroughly for transplanting</t>
        </is>
      </c>
      <c r="AC223" s="17" t="inlineStr">
        <is>
          <t>Intermittent to continuous flooding; manage according to drainage section present</t>
        </is>
      </c>
    </row>
    <row r="224" ht="21.75" customHeight="1" s="101">
      <c r="A224" s="6" t="inlineStr">
        <is>
          <t>Palay</t>
        </is>
      </c>
      <c r="B224" s="6" t="inlineStr">
        <is>
          <t>Mangkasuy</t>
        </is>
      </c>
      <c r="C224" s="6" t="inlineStr">
        <is>
          <t>May</t>
        </is>
      </c>
      <c r="D224" s="6" t="inlineStr">
        <is>
          <t>2012</t>
        </is>
      </c>
      <c r="E224" s="6" t="inlineStr">
        <is>
          <t>DS 2012</t>
        </is>
      </c>
      <c r="F224" s="6" t="inlineStr">
        <is>
          <t>Harvest</t>
        </is>
      </c>
      <c r="G224" s="7" t="n">
        <v>5.6</v>
      </c>
      <c r="H224" s="8" t="n">
        <v>28.14</v>
      </c>
      <c r="I224" s="8" t="n">
        <v>23.4</v>
      </c>
      <c r="J224" s="8" t="n">
        <v>37.44</v>
      </c>
      <c r="K224" s="8" t="n">
        <v>75.27</v>
      </c>
      <c r="L224" s="8" t="n">
        <v>98.29000000000001</v>
      </c>
      <c r="M224" s="8" t="n">
        <v>20.34</v>
      </c>
      <c r="N224" s="6" t="inlineStr">
        <is>
          <t>Type I – Tropical Monsoon (PAGASA)</t>
        </is>
      </c>
      <c r="O224" s="6" t="inlineStr">
        <is>
          <t>Wet</t>
        </is>
      </c>
      <c r="P224" s="6" t="inlineStr">
        <is>
          <t>Sandy Loam</t>
        </is>
      </c>
      <c r="Q224" s="6" t="inlineStr">
        <is>
          <t>Flat / Lowland</t>
        </is>
      </c>
      <c r="R224" s="9" t="n">
        <v>30</v>
      </c>
      <c r="S224" s="6" t="inlineStr">
        <is>
          <t>Tagamusing River</t>
        </is>
      </c>
      <c r="T224" s="10" t="n">
        <v>802.2</v>
      </c>
      <c r="U224" s="10" t="n"/>
      <c r="V224" s="10" t="n"/>
      <c r="W224" s="10" t="n"/>
      <c r="X224" s="10" t="n">
        <v>6.14</v>
      </c>
      <c r="Y224" s="10" t="n">
        <v>30.76</v>
      </c>
      <c r="Z224" s="11" t="n">
        <v>5.01</v>
      </c>
      <c r="AA224" s="12" t="inlineStr">
        <is>
          <t>Transplanting (Pindot) or Direct Seeding (Pinaghandaan)</t>
        </is>
      </c>
      <c r="AB224" s="12" t="inlineStr">
        <is>
          <t>Conventional Tillage: 2 plowings + 2 harrowings; soil workable when moist</t>
        </is>
      </c>
      <c r="AC224" s="12" t="inlineStr">
        <is>
          <t>Intermittent irrigation (Alternate Wetting and Drying — AWD); moderate retention</t>
        </is>
      </c>
    </row>
    <row r="225" ht="21.75" customHeight="1" s="101">
      <c r="A225" s="13" t="inlineStr">
        <is>
          <t>Palay</t>
        </is>
      </c>
      <c r="B225" s="13" t="inlineStr">
        <is>
          <t>Santiago</t>
        </is>
      </c>
      <c r="C225" s="13" t="inlineStr">
        <is>
          <t>May</t>
        </is>
      </c>
      <c r="D225" s="13" t="inlineStr">
        <is>
          <t>2012</t>
        </is>
      </c>
      <c r="E225" s="13" t="inlineStr">
        <is>
          <t>DS 2012</t>
        </is>
      </c>
      <c r="F225" s="13" t="inlineStr">
        <is>
          <t>Harvest</t>
        </is>
      </c>
      <c r="G225" s="7" t="n">
        <v>5.6</v>
      </c>
      <c r="H225" s="8" t="n">
        <v>28.14</v>
      </c>
      <c r="I225" s="8" t="n">
        <v>23.4</v>
      </c>
      <c r="J225" s="8" t="n">
        <v>37.44</v>
      </c>
      <c r="K225" s="8" t="n">
        <v>75.27</v>
      </c>
      <c r="L225" s="8" t="n">
        <v>98.29000000000001</v>
      </c>
      <c r="M225" s="8" t="n">
        <v>20.34</v>
      </c>
      <c r="N225" s="13" t="inlineStr">
        <is>
          <t>Type I – Tropical Monsoon (PAGASA)</t>
        </is>
      </c>
      <c r="O225" s="13" t="inlineStr">
        <is>
          <t>Wet</t>
        </is>
      </c>
      <c r="P225" s="13" t="inlineStr">
        <is>
          <t>Silty Clay Loam</t>
        </is>
      </c>
      <c r="Q225" s="13" t="inlineStr">
        <is>
          <t>Flat / Lowland</t>
        </is>
      </c>
      <c r="R225" s="14" t="n">
        <v>30</v>
      </c>
      <c r="S225" s="13" t="inlineStr">
        <is>
          <t>—</t>
        </is>
      </c>
      <c r="T225" s="15" t="n">
        <v>283.08</v>
      </c>
      <c r="U225" s="15" t="n"/>
      <c r="V225" s="15" t="n"/>
      <c r="W225" s="15" t="n"/>
      <c r="X225" s="15" t="n">
        <v>3.8</v>
      </c>
      <c r="Y225" s="15" t="n">
        <v>30.4</v>
      </c>
      <c r="Z225" s="16" t="n">
        <v>8</v>
      </c>
      <c r="AA225" s="17" t="inlineStr">
        <is>
          <t>Transplanting (Pindot) — optimal for clay-loam paddy fields</t>
        </is>
      </c>
      <c r="AB225" s="17" t="inlineStr">
        <is>
          <t>Wet Tillage (Puddling): 2 plowings + thorough harrowing under flooded condition</t>
        </is>
      </c>
      <c r="AC225" s="17" t="inlineStr">
        <is>
          <t>Continuous flooding 2–5 cm depth during vegetative stage; drain 2 weeks before harvest</t>
        </is>
      </c>
    </row>
    <row r="226" ht="21.75" customHeight="1" s="101">
      <c r="A226" s="6" t="inlineStr">
        <is>
          <t>Palay</t>
        </is>
      </c>
      <c r="B226" s="6" t="inlineStr">
        <is>
          <t>Pasileng Norte</t>
        </is>
      </c>
      <c r="C226" s="6" t="inlineStr">
        <is>
          <t>May</t>
        </is>
      </c>
      <c r="D226" s="6" t="inlineStr">
        <is>
          <t>2013</t>
        </is>
      </c>
      <c r="E226" s="6" t="inlineStr">
        <is>
          <t>DS 2013</t>
        </is>
      </c>
      <c r="F226" s="6" t="inlineStr">
        <is>
          <t>Harvest</t>
        </is>
      </c>
      <c r="G226" s="7" t="n">
        <v>5.24</v>
      </c>
      <c r="H226" s="8" t="n">
        <v>28.82</v>
      </c>
      <c r="I226" s="8" t="n">
        <v>22.25</v>
      </c>
      <c r="J226" s="8" t="n">
        <v>36.86</v>
      </c>
      <c r="K226" s="8" t="n">
        <v>72.27</v>
      </c>
      <c r="L226" s="8" t="n">
        <v>98.33</v>
      </c>
      <c r="M226" s="8" t="n">
        <v>23.05</v>
      </c>
      <c r="N226" s="6" t="inlineStr">
        <is>
          <t>Type I – Tropical Monsoon (PAGASA)</t>
        </is>
      </c>
      <c r="O226" s="6" t="inlineStr">
        <is>
          <t>Wet</t>
        </is>
      </c>
      <c r="P226" s="6" t="inlineStr">
        <is>
          <t>Sandy Loam</t>
        </is>
      </c>
      <c r="Q226" s="6" t="inlineStr">
        <is>
          <t>Flat / Lowland</t>
        </is>
      </c>
      <c r="R226" s="9" t="n">
        <v>30</v>
      </c>
      <c r="S226" s="6" t="inlineStr">
        <is>
          <t>Tagamusing River</t>
        </is>
      </c>
      <c r="T226" s="10" t="n">
        <v>140.28</v>
      </c>
      <c r="U226" s="10" t="n"/>
      <c r="V226" s="10" t="n"/>
      <c r="W226" s="10" t="n"/>
      <c r="X226" s="10" t="n">
        <v>6.85</v>
      </c>
      <c r="Y226" s="10" t="n">
        <v>36.02</v>
      </c>
      <c r="Z226" s="11" t="n">
        <v>5.26</v>
      </c>
      <c r="AA226" s="12" t="inlineStr">
        <is>
          <t>Transplanting (Pindot) or Direct Seeding (Pinaghandaan)</t>
        </is>
      </c>
      <c r="AB226" s="12" t="inlineStr">
        <is>
          <t>Conventional Tillage: 2 plowings + 2 harrowings; soil workable when moist</t>
        </is>
      </c>
      <c r="AC226" s="12" t="inlineStr">
        <is>
          <t>Intermittent irrigation (Alternate Wetting and Drying — AWD); moderate retention</t>
        </is>
      </c>
    </row>
    <row r="227" ht="21.75" customHeight="1" s="101">
      <c r="A227" s="13" t="inlineStr">
        <is>
          <t>Palay</t>
        </is>
      </c>
      <c r="B227" s="13" t="inlineStr">
        <is>
          <t>Tabuyoc</t>
        </is>
      </c>
      <c r="C227" s="13" t="inlineStr">
        <is>
          <t>May</t>
        </is>
      </c>
      <c r="D227" s="13" t="inlineStr">
        <is>
          <t>2013</t>
        </is>
      </c>
      <c r="E227" s="13" t="inlineStr">
        <is>
          <t>DS 2013</t>
        </is>
      </c>
      <c r="F227" s="13" t="inlineStr">
        <is>
          <t>Harvest</t>
        </is>
      </c>
      <c r="G227" s="7" t="n">
        <v>5.24</v>
      </c>
      <c r="H227" s="8" t="n">
        <v>28.82</v>
      </c>
      <c r="I227" s="8" t="n">
        <v>22.25</v>
      </c>
      <c r="J227" s="8" t="n">
        <v>36.86</v>
      </c>
      <c r="K227" s="8" t="n">
        <v>72.27</v>
      </c>
      <c r="L227" s="8" t="n">
        <v>98.33</v>
      </c>
      <c r="M227" s="8" t="n">
        <v>23.05</v>
      </c>
      <c r="N227" s="13" t="inlineStr">
        <is>
          <t>Type I – Tropical Monsoon (PAGASA)</t>
        </is>
      </c>
      <c r="O227" s="13" t="inlineStr">
        <is>
          <t>Wet</t>
        </is>
      </c>
      <c r="P227" s="13" t="inlineStr">
        <is>
          <t>Silty Clay Loam</t>
        </is>
      </c>
      <c r="Q227" s="13" t="inlineStr">
        <is>
          <t>Flat / Lowland</t>
        </is>
      </c>
      <c r="R227" s="14" t="n">
        <v>30</v>
      </c>
      <c r="S227" s="13" t="inlineStr">
        <is>
          <t>—</t>
        </is>
      </c>
      <c r="T227" s="15" t="n">
        <v>277.2</v>
      </c>
      <c r="U227" s="15" t="n"/>
      <c r="V227" s="15" t="n"/>
      <c r="W227" s="15" t="n"/>
      <c r="X227" s="15" t="n">
        <v>6.75</v>
      </c>
      <c r="Y227" s="15" t="n">
        <v>35.53</v>
      </c>
      <c r="Z227" s="16" t="n">
        <v>5.26</v>
      </c>
      <c r="AA227" s="17" t="inlineStr">
        <is>
          <t>Transplanting (Pindot) — optimal for clay-loam paddy fields</t>
        </is>
      </c>
      <c r="AB227" s="17" t="inlineStr">
        <is>
          <t>Wet Tillage (Puddling): 2 plowings + thorough harrowing under flooded condition</t>
        </is>
      </c>
      <c r="AC227" s="17" t="inlineStr">
        <is>
          <t>Continuous flooding 2–5 cm depth during vegetative stage; drain 2 weeks before harvest</t>
        </is>
      </c>
    </row>
    <row r="228" ht="21.75" customHeight="1" s="101">
      <c r="A228" s="6" t="inlineStr">
        <is>
          <t>Palay</t>
        </is>
      </c>
      <c r="B228" s="6" t="inlineStr">
        <is>
          <t>Camanggaan</t>
        </is>
      </c>
      <c r="C228" s="6" t="inlineStr">
        <is>
          <t>May</t>
        </is>
      </c>
      <c r="D228" s="6" t="inlineStr">
        <is>
          <t>2013</t>
        </is>
      </c>
      <c r="E228" s="6" t="inlineStr">
        <is>
          <t>DS 2013</t>
        </is>
      </c>
      <c r="F228" s="6" t="inlineStr">
        <is>
          <t>Harvest</t>
        </is>
      </c>
      <c r="G228" s="7" t="n">
        <v>5.24</v>
      </c>
      <c r="H228" s="8" t="n">
        <v>28.82</v>
      </c>
      <c r="I228" s="8" t="n">
        <v>22.25</v>
      </c>
      <c r="J228" s="8" t="n">
        <v>36.86</v>
      </c>
      <c r="K228" s="8" t="n">
        <v>72.27</v>
      </c>
      <c r="L228" s="8" t="n">
        <v>98.33</v>
      </c>
      <c r="M228" s="8" t="n">
        <v>23.05</v>
      </c>
      <c r="N228" s="6" t="inlineStr">
        <is>
          <t>Type I – Tropical Monsoon (PAGASA)</t>
        </is>
      </c>
      <c r="O228" s="6" t="inlineStr">
        <is>
          <t>Wet</t>
        </is>
      </c>
      <c r="P228" s="6" t="inlineStr">
        <is>
          <t>Sandy Loam</t>
        </is>
      </c>
      <c r="Q228" s="6" t="inlineStr">
        <is>
          <t>Flat / Lowland</t>
        </is>
      </c>
      <c r="R228" s="9" t="n">
        <v>30</v>
      </c>
      <c r="S228" s="6" t="inlineStr">
        <is>
          <t>—</t>
        </is>
      </c>
      <c r="T228" s="10" t="n">
        <v>244.44</v>
      </c>
      <c r="U228" s="10" t="n"/>
      <c r="V228" s="10" t="n"/>
      <c r="W228" s="10" t="n"/>
      <c r="X228" s="10" t="n">
        <v>6.15</v>
      </c>
      <c r="Y228" s="10" t="n">
        <v>29.9</v>
      </c>
      <c r="Z228" s="11" t="n">
        <v>4.86</v>
      </c>
      <c r="AA228" s="12" t="inlineStr">
        <is>
          <t>Transplanting (Pindot) or Direct Seeding (Pinaghandaan)</t>
        </is>
      </c>
      <c r="AB228" s="12" t="inlineStr">
        <is>
          <t>Conventional Tillage: 2 plowings + 2 harrowings; soil workable when moist</t>
        </is>
      </c>
      <c r="AC228" s="12" t="inlineStr">
        <is>
          <t>Intermittent irrigation (Alternate Wetting and Drying — AWD); moderate retention</t>
        </is>
      </c>
    </row>
    <row r="229" ht="21.75" customHeight="1" s="101">
      <c r="A229" s="13" t="inlineStr">
        <is>
          <t>Palay</t>
        </is>
      </c>
      <c r="B229" s="13" t="inlineStr">
        <is>
          <t>Sumabnit</t>
        </is>
      </c>
      <c r="C229" s="13" t="inlineStr">
        <is>
          <t>May</t>
        </is>
      </c>
      <c r="D229" s="13" t="inlineStr">
        <is>
          <t>2013</t>
        </is>
      </c>
      <c r="E229" s="13" t="inlineStr">
        <is>
          <t>DS 2013</t>
        </is>
      </c>
      <c r="F229" s="13" t="inlineStr">
        <is>
          <t>Harvest</t>
        </is>
      </c>
      <c r="G229" s="7" t="n">
        <v>5.24</v>
      </c>
      <c r="H229" s="8" t="n">
        <v>28.82</v>
      </c>
      <c r="I229" s="8" t="n">
        <v>22.25</v>
      </c>
      <c r="J229" s="8" t="n">
        <v>36.86</v>
      </c>
      <c r="K229" s="8" t="n">
        <v>72.27</v>
      </c>
      <c r="L229" s="8" t="n">
        <v>98.33</v>
      </c>
      <c r="M229" s="8" t="n">
        <v>23.05</v>
      </c>
      <c r="N229" s="13" t="inlineStr">
        <is>
          <t>Type I – Tropical Monsoon (PAGASA)</t>
        </is>
      </c>
      <c r="O229" s="13" t="inlineStr">
        <is>
          <t>Wet</t>
        </is>
      </c>
      <c r="P229" s="13" t="inlineStr">
        <is>
          <t>Silty Clay Loam / Fine Sandy Loam</t>
        </is>
      </c>
      <c r="Q229" s="13" t="inlineStr">
        <is>
          <t>Flat / Lowland</t>
        </is>
      </c>
      <c r="R229" s="14" t="n">
        <v>30</v>
      </c>
      <c r="S229" s="13" t="inlineStr">
        <is>
          <t>Tagamusing River</t>
        </is>
      </c>
      <c r="T229" s="15" t="n">
        <v>406.56</v>
      </c>
      <c r="U229" s="15" t="n"/>
      <c r="V229" s="15" t="n"/>
      <c r="W229" s="15" t="n"/>
      <c r="X229" s="15" t="n">
        <v>6.37</v>
      </c>
      <c r="Y229" s="15" t="n">
        <v>35.79</v>
      </c>
      <c r="Z229" s="16" t="n">
        <v>5.62</v>
      </c>
      <c r="AA229" s="17" t="inlineStr">
        <is>
          <t>Transplanting (Pindot)</t>
        </is>
      </c>
      <c r="AB229" s="17" t="inlineStr">
        <is>
          <t>Minimum Tillage (avoid compaction; sandy structure fragile)</t>
        </is>
      </c>
      <c r="AC229" s="17" t="inlineStr">
        <is>
          <t>Continuous flooding or frequent irrigation; high percolation risk</t>
        </is>
      </c>
    </row>
    <row r="230" ht="21.75" customHeight="1" s="101">
      <c r="A230" s="6" t="inlineStr">
        <is>
          <t>Palay</t>
        </is>
      </c>
      <c r="B230" s="6" t="inlineStr">
        <is>
          <t>Capas</t>
        </is>
      </c>
      <c r="C230" s="6" t="inlineStr">
        <is>
          <t>May</t>
        </is>
      </c>
      <c r="D230" s="6" t="inlineStr">
        <is>
          <t>2013</t>
        </is>
      </c>
      <c r="E230" s="6" t="inlineStr">
        <is>
          <t>DS 2013</t>
        </is>
      </c>
      <c r="F230" s="6" t="inlineStr">
        <is>
          <t>Harvest</t>
        </is>
      </c>
      <c r="G230" s="7" t="n">
        <v>5.24</v>
      </c>
      <c r="H230" s="8" t="n">
        <v>28.82</v>
      </c>
      <c r="I230" s="8" t="n">
        <v>22.25</v>
      </c>
      <c r="J230" s="8" t="n">
        <v>36.86</v>
      </c>
      <c r="K230" s="8" t="n">
        <v>72.27</v>
      </c>
      <c r="L230" s="8" t="n">
        <v>98.33</v>
      </c>
      <c r="M230" s="8" t="n">
        <v>23.05</v>
      </c>
      <c r="N230" s="6" t="inlineStr">
        <is>
          <t>Type I – Tropical Monsoon (PAGASA)</t>
        </is>
      </c>
      <c r="O230" s="6" t="inlineStr">
        <is>
          <t>Wet</t>
        </is>
      </c>
      <c r="P230" s="6" t="inlineStr">
        <is>
          <t>Sandy Loam</t>
        </is>
      </c>
      <c r="Q230" s="6" t="inlineStr">
        <is>
          <t>Flat / Lowland</t>
        </is>
      </c>
      <c r="R230" s="9" t="n">
        <v>30</v>
      </c>
      <c r="S230" s="6" t="inlineStr">
        <is>
          <t>—</t>
        </is>
      </c>
      <c r="T230" s="10" t="n">
        <v>377.16</v>
      </c>
      <c r="U230" s="10" t="n"/>
      <c r="V230" s="10" t="n"/>
      <c r="W230" s="10" t="n"/>
      <c r="X230" s="10" t="n">
        <v>6.2</v>
      </c>
      <c r="Y230" s="10" t="n">
        <v>30.22</v>
      </c>
      <c r="Z230" s="11" t="n">
        <v>4.87</v>
      </c>
      <c r="AA230" s="12" t="inlineStr">
        <is>
          <t>Transplanting (Pindot) or Direct Seeding (Pinaghandaan)</t>
        </is>
      </c>
      <c r="AB230" s="12" t="inlineStr">
        <is>
          <t>Conventional Tillage: 2 plowings + 2 harrowings; soil workable when moist</t>
        </is>
      </c>
      <c r="AC230" s="12" t="inlineStr">
        <is>
          <t>Intermittent irrigation (Alternate Wetting and Drying — AWD); moderate retention</t>
        </is>
      </c>
    </row>
    <row r="231" ht="21.75" customHeight="1" s="101">
      <c r="A231" s="13" t="inlineStr">
        <is>
          <t>Palay</t>
        </is>
      </c>
      <c r="B231" s="13" t="inlineStr">
        <is>
          <t>San Pablo</t>
        </is>
      </c>
      <c r="C231" s="13" t="inlineStr">
        <is>
          <t>May</t>
        </is>
      </c>
      <c r="D231" s="13" t="inlineStr">
        <is>
          <t>2013</t>
        </is>
      </c>
      <c r="E231" s="13" t="inlineStr">
        <is>
          <t>DS 2013</t>
        </is>
      </c>
      <c r="F231" s="13" t="inlineStr">
        <is>
          <t>Harvest</t>
        </is>
      </c>
      <c r="G231" s="7" t="n">
        <v>5.24</v>
      </c>
      <c r="H231" s="8" t="n">
        <v>28.82</v>
      </c>
      <c r="I231" s="8" t="n">
        <v>22.25</v>
      </c>
      <c r="J231" s="8" t="n">
        <v>36.86</v>
      </c>
      <c r="K231" s="8" t="n">
        <v>72.27</v>
      </c>
      <c r="L231" s="8" t="n">
        <v>98.33</v>
      </c>
      <c r="M231" s="8" t="n">
        <v>23.05</v>
      </c>
      <c r="N231" s="13" t="inlineStr">
        <is>
          <t>Type I – Tropical Monsoon (PAGASA)</t>
        </is>
      </c>
      <c r="O231" s="13" t="inlineStr">
        <is>
          <t>Wet</t>
        </is>
      </c>
      <c r="P231" s="13" t="inlineStr">
        <is>
          <t>Sandy Loam</t>
        </is>
      </c>
      <c r="Q231" s="13" t="inlineStr">
        <is>
          <t>Flat / Lowland</t>
        </is>
      </c>
      <c r="R231" s="14" t="n">
        <v>30</v>
      </c>
      <c r="S231" s="13" t="inlineStr">
        <is>
          <t>San Pablo Creek</t>
        </is>
      </c>
      <c r="T231" s="15" t="n">
        <v>215.04</v>
      </c>
      <c r="U231" s="15" t="n"/>
      <c r="V231" s="15" t="n"/>
      <c r="W231" s="15" t="n"/>
      <c r="X231" s="15" t="n">
        <v>8.970000000000001</v>
      </c>
      <c r="Y231" s="15" t="n">
        <v>36.81</v>
      </c>
      <c r="Z231" s="16" t="n">
        <v>4.1</v>
      </c>
      <c r="AA231" s="17" t="inlineStr">
        <is>
          <t>Transplanting (Pindot) or Direct Seeding (Pinaghandaan)</t>
        </is>
      </c>
      <c r="AB231" s="17" t="inlineStr">
        <is>
          <t>Conventional Tillage: 2 plowings + 2 harrowings; soil workable when moist</t>
        </is>
      </c>
      <c r="AC231" s="17" t="inlineStr">
        <is>
          <t>Intermittent irrigation (Alternate Wetting and Drying — AWD); moderate retention</t>
        </is>
      </c>
    </row>
    <row r="232" ht="21.75" customHeight="1" s="101">
      <c r="A232" s="6" t="inlineStr">
        <is>
          <t>Palay</t>
        </is>
      </c>
      <c r="B232" s="6" t="inlineStr">
        <is>
          <t>Balangobong</t>
        </is>
      </c>
      <c r="C232" s="6" t="inlineStr">
        <is>
          <t>May</t>
        </is>
      </c>
      <c r="D232" s="6" t="inlineStr">
        <is>
          <t>2013</t>
        </is>
      </c>
      <c r="E232" s="6" t="inlineStr">
        <is>
          <t>DS 2013</t>
        </is>
      </c>
      <c r="F232" s="6" t="inlineStr">
        <is>
          <t>Harvest</t>
        </is>
      </c>
      <c r="G232" s="7" t="n">
        <v>5.24</v>
      </c>
      <c r="H232" s="8" t="n">
        <v>28.82</v>
      </c>
      <c r="I232" s="8" t="n">
        <v>22.25</v>
      </c>
      <c r="J232" s="8" t="n">
        <v>36.86</v>
      </c>
      <c r="K232" s="8" t="n">
        <v>72.27</v>
      </c>
      <c r="L232" s="8" t="n">
        <v>98.33</v>
      </c>
      <c r="M232" s="8" t="n">
        <v>23.05</v>
      </c>
      <c r="N232" s="6" t="inlineStr">
        <is>
          <t>Type I – Tropical Monsoon (PAGASA)</t>
        </is>
      </c>
      <c r="O232" s="6" t="inlineStr">
        <is>
          <t>Wet</t>
        </is>
      </c>
      <c r="P232" s="6" t="inlineStr">
        <is>
          <t>Silty Clay Loam</t>
        </is>
      </c>
      <c r="Q232" s="6" t="inlineStr">
        <is>
          <t>Flat / Lowland</t>
        </is>
      </c>
      <c r="R232" s="9" t="n">
        <v>30</v>
      </c>
      <c r="S232" s="6" t="inlineStr">
        <is>
          <t>—</t>
        </is>
      </c>
      <c r="T232" s="10" t="n">
        <v>281.4</v>
      </c>
      <c r="U232" s="10" t="n"/>
      <c r="V232" s="10" t="n"/>
      <c r="W232" s="10" t="n"/>
      <c r="X232" s="10" t="n">
        <v>8.67</v>
      </c>
      <c r="Y232" s="10" t="n">
        <v>19.47</v>
      </c>
      <c r="Z232" s="11" t="n">
        <v>2.25</v>
      </c>
      <c r="AA232" s="12" t="inlineStr">
        <is>
          <t>Transplanting (Pindot) — optimal for clay-loam paddy fields</t>
        </is>
      </c>
      <c r="AB232" s="12" t="inlineStr">
        <is>
          <t>Wet Tillage (Puddling): 2 plowings + thorough harrowing under flooded condition</t>
        </is>
      </c>
      <c r="AC232" s="12" t="inlineStr">
        <is>
          <t>Continuous flooding 2–5 cm depth during vegetative stage; drain 2 weeks before harvest</t>
        </is>
      </c>
    </row>
    <row r="233" ht="21.75" customHeight="1" s="101">
      <c r="A233" s="13" t="inlineStr">
        <is>
          <t>Palay</t>
        </is>
      </c>
      <c r="B233" s="13" t="inlineStr">
        <is>
          <t>San Felipe Sur</t>
        </is>
      </c>
      <c r="C233" s="13" t="inlineStr">
        <is>
          <t>May</t>
        </is>
      </c>
      <c r="D233" s="13" t="inlineStr">
        <is>
          <t>2013</t>
        </is>
      </c>
      <c r="E233" s="13" t="inlineStr">
        <is>
          <t>DS 2013</t>
        </is>
      </c>
      <c r="F233" s="13" t="inlineStr">
        <is>
          <t>Harvest</t>
        </is>
      </c>
      <c r="G233" s="7" t="n">
        <v>5.24</v>
      </c>
      <c r="H233" s="8" t="n">
        <v>28.82</v>
      </c>
      <c r="I233" s="8" t="n">
        <v>22.25</v>
      </c>
      <c r="J233" s="8" t="n">
        <v>36.86</v>
      </c>
      <c r="K233" s="8" t="n">
        <v>72.27</v>
      </c>
      <c r="L233" s="8" t="n">
        <v>98.33</v>
      </c>
      <c r="M233" s="8" t="n">
        <v>23.05</v>
      </c>
      <c r="N233" s="13" t="inlineStr">
        <is>
          <t>Type I – Tropical Monsoon (PAGASA)</t>
        </is>
      </c>
      <c r="O233" s="13" t="inlineStr">
        <is>
          <t>Wet</t>
        </is>
      </c>
      <c r="P233" s="13" t="inlineStr">
        <is>
          <t>Sandy Loam</t>
        </is>
      </c>
      <c r="Q233" s="13" t="inlineStr">
        <is>
          <t>Flat / Lowland</t>
        </is>
      </c>
      <c r="R233" s="14" t="n">
        <v>30</v>
      </c>
      <c r="S233" s="13" t="inlineStr">
        <is>
          <t>Tagamusing River</t>
        </is>
      </c>
      <c r="T233" s="15" t="n">
        <v>504</v>
      </c>
      <c r="U233" s="15" t="n"/>
      <c r="V233" s="15" t="n"/>
      <c r="W233" s="15" t="n"/>
      <c r="X233" s="15" t="n">
        <v>4.3</v>
      </c>
      <c r="Y233" s="15" t="n">
        <v>34.4</v>
      </c>
      <c r="Z233" s="16" t="n">
        <v>8</v>
      </c>
      <c r="AA233" s="17" t="inlineStr">
        <is>
          <t>Transplanting (Pindot) or Direct Seeding (Pinaghandaan)</t>
        </is>
      </c>
      <c r="AB233" s="17" t="inlineStr">
        <is>
          <t>Conventional Tillage: 2 plowings + 2 harrowings; soil workable when moist</t>
        </is>
      </c>
      <c r="AC233" s="17" t="inlineStr">
        <is>
          <t>Intermittent irrigation (Alternate Wetting and Drying — AWD); moderate retention</t>
        </is>
      </c>
    </row>
    <row r="234" ht="21.75" customHeight="1" s="101">
      <c r="A234" s="6" t="inlineStr">
        <is>
          <t>Palay</t>
        </is>
      </c>
      <c r="B234" s="6" t="inlineStr">
        <is>
          <t>Pasileng Sur</t>
        </is>
      </c>
      <c r="C234" s="6" t="inlineStr">
        <is>
          <t>May</t>
        </is>
      </c>
      <c r="D234" s="6" t="inlineStr">
        <is>
          <t>2013</t>
        </is>
      </c>
      <c r="E234" s="6" t="inlineStr">
        <is>
          <t>DS 2013</t>
        </is>
      </c>
      <c r="F234" s="6" t="inlineStr">
        <is>
          <t>Harvest</t>
        </is>
      </c>
      <c r="G234" s="7" t="n">
        <v>5.24</v>
      </c>
      <c r="H234" s="8" t="n">
        <v>28.82</v>
      </c>
      <c r="I234" s="8" t="n">
        <v>22.25</v>
      </c>
      <c r="J234" s="8" t="n">
        <v>36.86</v>
      </c>
      <c r="K234" s="8" t="n">
        <v>72.27</v>
      </c>
      <c r="L234" s="8" t="n">
        <v>98.33</v>
      </c>
      <c r="M234" s="8" t="n">
        <v>23.05</v>
      </c>
      <c r="N234" s="6" t="inlineStr">
        <is>
          <t>Type I – Tropical Monsoon (PAGASA)</t>
        </is>
      </c>
      <c r="O234" s="6" t="inlineStr">
        <is>
          <t>Wet</t>
        </is>
      </c>
      <c r="P234" s="6" t="inlineStr">
        <is>
          <t>Sandy Loam</t>
        </is>
      </c>
      <c r="Q234" s="6" t="inlineStr">
        <is>
          <t>Flat / Lowland</t>
        </is>
      </c>
      <c r="R234" s="9" t="n">
        <v>30</v>
      </c>
      <c r="S234" s="6" t="inlineStr">
        <is>
          <t>Tagamusing River</t>
        </is>
      </c>
      <c r="T234" s="10" t="n">
        <v>414.96</v>
      </c>
      <c r="U234" s="10" t="n"/>
      <c r="V234" s="10" t="n"/>
      <c r="W234" s="10" t="n"/>
      <c r="X234" s="10" t="n">
        <v>4.36</v>
      </c>
      <c r="Y234" s="10" t="n">
        <v>34.88</v>
      </c>
      <c r="Z234" s="11" t="n">
        <v>8</v>
      </c>
      <c r="AA234" s="12" t="inlineStr">
        <is>
          <t>Transplanting (Pindot) or Direct Seeding (Pinaghandaan)</t>
        </is>
      </c>
      <c r="AB234" s="12" t="inlineStr">
        <is>
          <t>Conventional Tillage: 2 plowings + 2 harrowings; soil workable when moist</t>
        </is>
      </c>
      <c r="AC234" s="12" t="inlineStr">
        <is>
          <t>Intermittent irrigation (Alternate Wetting and Drying — AWD); moderate retention</t>
        </is>
      </c>
    </row>
    <row r="235" ht="21.75" customHeight="1" s="101">
      <c r="A235" s="13" t="inlineStr">
        <is>
          <t>Palay</t>
        </is>
      </c>
      <c r="B235" s="13" t="inlineStr">
        <is>
          <t>Sta. Maria Norte</t>
        </is>
      </c>
      <c r="C235" s="13" t="inlineStr">
        <is>
          <t>May</t>
        </is>
      </c>
      <c r="D235" s="13" t="inlineStr">
        <is>
          <t>2013</t>
        </is>
      </c>
      <c r="E235" s="13" t="inlineStr">
        <is>
          <t>DS 2013</t>
        </is>
      </c>
      <c r="F235" s="13" t="inlineStr">
        <is>
          <t>Harvest</t>
        </is>
      </c>
      <c r="G235" s="7" t="n">
        <v>5.24</v>
      </c>
      <c r="H235" s="8" t="n">
        <v>28.82</v>
      </c>
      <c r="I235" s="8" t="n">
        <v>22.25</v>
      </c>
      <c r="J235" s="8" t="n">
        <v>36.86</v>
      </c>
      <c r="K235" s="8" t="n">
        <v>72.27</v>
      </c>
      <c r="L235" s="8" t="n">
        <v>98.33</v>
      </c>
      <c r="M235" s="8" t="n">
        <v>23.05</v>
      </c>
      <c r="N235" s="13" t="inlineStr">
        <is>
          <t>Type I – Tropical Monsoon (PAGASA)</t>
        </is>
      </c>
      <c r="O235" s="13" t="inlineStr">
        <is>
          <t>Wet</t>
        </is>
      </c>
      <c r="P235" s="13" t="inlineStr">
        <is>
          <t>Sandy Loam</t>
        </is>
      </c>
      <c r="Q235" s="13" t="inlineStr">
        <is>
          <t>Flat / Lowland</t>
        </is>
      </c>
      <c r="R235" s="14" t="n">
        <v>30</v>
      </c>
      <c r="S235" s="13" t="inlineStr">
        <is>
          <t>Tagamusing River</t>
        </is>
      </c>
      <c r="T235" s="15" t="n">
        <v>157.08</v>
      </c>
      <c r="U235" s="15" t="n"/>
      <c r="V235" s="15" t="n"/>
      <c r="W235" s="15" t="n"/>
      <c r="X235" s="15" t="n">
        <v>6.28</v>
      </c>
      <c r="Y235" s="15" t="n">
        <v>31.75</v>
      </c>
      <c r="Z235" s="16" t="n">
        <v>5.06</v>
      </c>
      <c r="AA235" s="17" t="inlineStr">
        <is>
          <t>Transplanting (Pindot) or Direct Seeding (Pinaghandaan)</t>
        </is>
      </c>
      <c r="AB235" s="17" t="inlineStr">
        <is>
          <t>Conventional Tillage: 2 plowings + 2 harrowings; soil workable when moist</t>
        </is>
      </c>
      <c r="AC235" s="17" t="inlineStr">
        <is>
          <t>Intermittent irrigation (Alternate Wetting and Drying — AWD); moderate retention</t>
        </is>
      </c>
    </row>
    <row r="236" ht="21.75" customHeight="1" s="101">
      <c r="A236" s="6" t="inlineStr">
        <is>
          <t>Palay</t>
        </is>
      </c>
      <c r="B236" s="6" t="inlineStr">
        <is>
          <t>Bugayong</t>
        </is>
      </c>
      <c r="C236" s="6" t="inlineStr">
        <is>
          <t>May</t>
        </is>
      </c>
      <c r="D236" s="6" t="inlineStr">
        <is>
          <t>2013</t>
        </is>
      </c>
      <c r="E236" s="6" t="inlineStr">
        <is>
          <t>DS 2013</t>
        </is>
      </c>
      <c r="F236" s="6" t="inlineStr">
        <is>
          <t>Harvest</t>
        </is>
      </c>
      <c r="G236" s="7" t="n">
        <v>5.24</v>
      </c>
      <c r="H236" s="8" t="n">
        <v>28.82</v>
      </c>
      <c r="I236" s="8" t="n">
        <v>22.25</v>
      </c>
      <c r="J236" s="8" t="n">
        <v>36.86</v>
      </c>
      <c r="K236" s="8" t="n">
        <v>72.27</v>
      </c>
      <c r="L236" s="8" t="n">
        <v>98.33</v>
      </c>
      <c r="M236" s="8" t="n">
        <v>23.05</v>
      </c>
      <c r="N236" s="6" t="inlineStr">
        <is>
          <t>Type I – Tropical Monsoon (PAGASA)</t>
        </is>
      </c>
      <c r="O236" s="6" t="inlineStr">
        <is>
          <t>Wet</t>
        </is>
      </c>
      <c r="P236" s="6" t="inlineStr">
        <is>
          <t>Sandy Loam / Silty Clay Loam</t>
        </is>
      </c>
      <c r="Q236" s="6" t="inlineStr">
        <is>
          <t>Flat / Lowland</t>
        </is>
      </c>
      <c r="R236" s="9" t="n">
        <v>30</v>
      </c>
      <c r="S236" s="6" t="inlineStr">
        <is>
          <t>Aloragat River</t>
        </is>
      </c>
      <c r="T236" s="10" t="n">
        <v>346.08</v>
      </c>
      <c r="U236" s="10" t="n"/>
      <c r="V236" s="10" t="n"/>
      <c r="W236" s="10" t="n"/>
      <c r="X236" s="10" t="n">
        <v>8.199999999999999</v>
      </c>
      <c r="Y236" s="10" t="n">
        <v>24.47</v>
      </c>
      <c r="Z236" s="11" t="n">
        <v>2.98</v>
      </c>
      <c r="AA236" s="12" t="inlineStr">
        <is>
          <t>Transplanting (Pindot) — recommended; Direct Seeding possible in dry season</t>
        </is>
      </c>
      <c r="AB236" s="12" t="inlineStr">
        <is>
          <t>Conventional Tillage: 2 plowings + harrowing; puddle thoroughly for transplanting</t>
        </is>
      </c>
      <c r="AC236" s="12" t="inlineStr">
        <is>
          <t>Intermittent to continuous flooding; manage according to drainage section present</t>
        </is>
      </c>
    </row>
    <row r="237" ht="21.75" customHeight="1" s="101">
      <c r="A237" s="13" t="inlineStr">
        <is>
          <t>Palay</t>
        </is>
      </c>
      <c r="B237" s="13" t="inlineStr">
        <is>
          <t>Mangkasuy</t>
        </is>
      </c>
      <c r="C237" s="13" t="inlineStr">
        <is>
          <t>May</t>
        </is>
      </c>
      <c r="D237" s="13" t="inlineStr">
        <is>
          <t>2013</t>
        </is>
      </c>
      <c r="E237" s="13" t="inlineStr">
        <is>
          <t>DS 2013</t>
        </is>
      </c>
      <c r="F237" s="13" t="inlineStr">
        <is>
          <t>Harvest</t>
        </is>
      </c>
      <c r="G237" s="7" t="n">
        <v>5.24</v>
      </c>
      <c r="H237" s="8" t="n">
        <v>28.82</v>
      </c>
      <c r="I237" s="8" t="n">
        <v>22.25</v>
      </c>
      <c r="J237" s="8" t="n">
        <v>36.86</v>
      </c>
      <c r="K237" s="8" t="n">
        <v>72.27</v>
      </c>
      <c r="L237" s="8" t="n">
        <v>98.33</v>
      </c>
      <c r="M237" s="8" t="n">
        <v>23.05</v>
      </c>
      <c r="N237" s="13" t="inlineStr">
        <is>
          <t>Type I – Tropical Monsoon (PAGASA)</t>
        </is>
      </c>
      <c r="O237" s="13" t="inlineStr">
        <is>
          <t>Wet</t>
        </is>
      </c>
      <c r="P237" s="13" t="inlineStr">
        <is>
          <t>Sandy Loam</t>
        </is>
      </c>
      <c r="Q237" s="13" t="inlineStr">
        <is>
          <t>Flat / Lowland</t>
        </is>
      </c>
      <c r="R237" s="14" t="n">
        <v>30</v>
      </c>
      <c r="S237" s="13" t="inlineStr">
        <is>
          <t>Tagamusing River</t>
        </is>
      </c>
      <c r="T237" s="15" t="n">
        <v>802.2</v>
      </c>
      <c r="U237" s="15" t="n"/>
      <c r="V237" s="15" t="n"/>
      <c r="W237" s="15" t="n"/>
      <c r="X237" s="15" t="n">
        <v>22.9</v>
      </c>
      <c r="Y237" s="15" t="n">
        <v>113.01</v>
      </c>
      <c r="Z237" s="16" t="n">
        <v>4.93</v>
      </c>
      <c r="AA237" s="17" t="inlineStr">
        <is>
          <t>Transplanting (Pindot) or Direct Seeding (Pinaghandaan)</t>
        </is>
      </c>
      <c r="AB237" s="17" t="inlineStr">
        <is>
          <t>Conventional Tillage: 2 plowings + 2 harrowings; soil workable when moist</t>
        </is>
      </c>
      <c r="AC237" s="17" t="inlineStr">
        <is>
          <t>Intermittent irrigation (Alternate Wetting and Drying — AWD); moderate retention</t>
        </is>
      </c>
    </row>
    <row r="238" ht="21.75" customHeight="1" s="101">
      <c r="A238" s="6" t="inlineStr">
        <is>
          <t>Palay</t>
        </is>
      </c>
      <c r="B238" s="6" t="inlineStr">
        <is>
          <t>Santiago</t>
        </is>
      </c>
      <c r="C238" s="6" t="inlineStr">
        <is>
          <t>May</t>
        </is>
      </c>
      <c r="D238" s="6" t="inlineStr">
        <is>
          <t>2013</t>
        </is>
      </c>
      <c r="E238" s="6" t="inlineStr">
        <is>
          <t>DS 2013</t>
        </is>
      </c>
      <c r="F238" s="6" t="inlineStr">
        <is>
          <t>Harvest</t>
        </is>
      </c>
      <c r="G238" s="7" t="n">
        <v>5.24</v>
      </c>
      <c r="H238" s="8" t="n">
        <v>28.82</v>
      </c>
      <c r="I238" s="8" t="n">
        <v>22.25</v>
      </c>
      <c r="J238" s="8" t="n">
        <v>36.86</v>
      </c>
      <c r="K238" s="8" t="n">
        <v>72.27</v>
      </c>
      <c r="L238" s="8" t="n">
        <v>98.33</v>
      </c>
      <c r="M238" s="8" t="n">
        <v>23.05</v>
      </c>
      <c r="N238" s="6" t="inlineStr">
        <is>
          <t>Type I – Tropical Monsoon (PAGASA)</t>
        </is>
      </c>
      <c r="O238" s="6" t="inlineStr">
        <is>
          <t>Wet</t>
        </is>
      </c>
      <c r="P238" s="6" t="inlineStr">
        <is>
          <t>Silty Clay Loam</t>
        </is>
      </c>
      <c r="Q238" s="6" t="inlineStr">
        <is>
          <t>Flat / Lowland</t>
        </is>
      </c>
      <c r="R238" s="9" t="n">
        <v>30</v>
      </c>
      <c r="S238" s="6" t="inlineStr">
        <is>
          <t>—</t>
        </is>
      </c>
      <c r="T238" s="10" t="n">
        <v>283.08</v>
      </c>
      <c r="U238" s="10" t="n"/>
      <c r="V238" s="10" t="n"/>
      <c r="W238" s="10" t="n"/>
      <c r="X238" s="10" t="n">
        <v>6.59</v>
      </c>
      <c r="Y238" s="10" t="n">
        <v>35.52</v>
      </c>
      <c r="Z238" s="11" t="n">
        <v>5.39</v>
      </c>
      <c r="AA238" s="12" t="inlineStr">
        <is>
          <t>Transplanting (Pindot) — optimal for clay-loam paddy fields</t>
        </is>
      </c>
      <c r="AB238" s="12" t="inlineStr">
        <is>
          <t>Wet Tillage (Puddling): 2 plowings + thorough harrowing under flooded condition</t>
        </is>
      </c>
      <c r="AC238" s="12" t="inlineStr">
        <is>
          <t>Continuous flooding 2–5 cm depth during vegetative stage; drain 2 weeks before harvest</t>
        </is>
      </c>
    </row>
    <row r="239" ht="21.75" customHeight="1" s="101">
      <c r="A239" s="13" t="inlineStr">
        <is>
          <t>Palay</t>
        </is>
      </c>
      <c r="B239" s="13" t="inlineStr">
        <is>
          <t>Pasileng Norte</t>
        </is>
      </c>
      <c r="C239" s="13" t="inlineStr">
        <is>
          <t>May</t>
        </is>
      </c>
      <c r="D239" s="13" t="inlineStr">
        <is>
          <t>2019</t>
        </is>
      </c>
      <c r="E239" s="13" t="inlineStr">
        <is>
          <t>DS 2019</t>
        </is>
      </c>
      <c r="F239" s="13" t="inlineStr">
        <is>
          <t>Harvest</t>
        </is>
      </c>
      <c r="G239" s="7" t="n">
        <v>6.19</v>
      </c>
      <c r="H239" s="8" t="n">
        <v>28.48</v>
      </c>
      <c r="I239" s="8" t="n">
        <v>23.26</v>
      </c>
      <c r="J239" s="8" t="n">
        <v>36.04</v>
      </c>
      <c r="K239" s="8" t="n">
        <v>77.87</v>
      </c>
      <c r="L239" s="8" t="n">
        <v>98.3</v>
      </c>
      <c r="M239" s="8" t="n">
        <v>21.17</v>
      </c>
      <c r="N239" s="13" t="inlineStr">
        <is>
          <t>Type I – Tropical Monsoon (PAGASA)</t>
        </is>
      </c>
      <c r="O239" s="13" t="inlineStr">
        <is>
          <t>Wet</t>
        </is>
      </c>
      <c r="P239" s="13" t="inlineStr">
        <is>
          <t>Sandy Loam</t>
        </is>
      </c>
      <c r="Q239" s="13" t="inlineStr">
        <is>
          <t>Flat / Lowland</t>
        </is>
      </c>
      <c r="R239" s="14" t="n">
        <v>30</v>
      </c>
      <c r="S239" s="13" t="inlineStr">
        <is>
          <t>Tagamusing River</t>
        </is>
      </c>
      <c r="T239" s="15" t="n">
        <v>140.28</v>
      </c>
      <c r="U239" s="15" t="n"/>
      <c r="V239" s="15" t="n"/>
      <c r="W239" s="15" t="n"/>
      <c r="X239" s="15" t="n">
        <v>4.85</v>
      </c>
      <c r="Y239" s="15" t="n">
        <v>29.41</v>
      </c>
      <c r="Z239" s="16" t="n">
        <v>6.06</v>
      </c>
      <c r="AA239" s="17" t="inlineStr">
        <is>
          <t>Transplanting (Pindot) or Direct Seeding (Pinaghandaan)</t>
        </is>
      </c>
      <c r="AB239" s="17" t="inlineStr">
        <is>
          <t>Conventional Tillage: 2 plowings + 2 harrowings; soil workable when moist</t>
        </is>
      </c>
      <c r="AC239" s="17" t="inlineStr">
        <is>
          <t>Intermittent irrigation (Alternate Wetting and Drying — AWD); moderate retention</t>
        </is>
      </c>
    </row>
    <row r="240" ht="21.75" customHeight="1" s="101">
      <c r="A240" s="6" t="inlineStr">
        <is>
          <t>Palay</t>
        </is>
      </c>
      <c r="B240" s="6" t="inlineStr">
        <is>
          <t>Tabuyoc</t>
        </is>
      </c>
      <c r="C240" s="6" t="inlineStr">
        <is>
          <t>May</t>
        </is>
      </c>
      <c r="D240" s="6" t="inlineStr">
        <is>
          <t>2019</t>
        </is>
      </c>
      <c r="E240" s="6" t="inlineStr">
        <is>
          <t>DS 2019</t>
        </is>
      </c>
      <c r="F240" s="6" t="inlineStr">
        <is>
          <t>Harvest</t>
        </is>
      </c>
      <c r="G240" s="7" t="n">
        <v>6.19</v>
      </c>
      <c r="H240" s="8" t="n">
        <v>28.48</v>
      </c>
      <c r="I240" s="8" t="n">
        <v>23.26</v>
      </c>
      <c r="J240" s="8" t="n">
        <v>36.04</v>
      </c>
      <c r="K240" s="8" t="n">
        <v>77.87</v>
      </c>
      <c r="L240" s="8" t="n">
        <v>98.3</v>
      </c>
      <c r="M240" s="8" t="n">
        <v>21.17</v>
      </c>
      <c r="N240" s="6" t="inlineStr">
        <is>
          <t>Type I – Tropical Monsoon (PAGASA)</t>
        </is>
      </c>
      <c r="O240" s="6" t="inlineStr">
        <is>
          <t>Wet</t>
        </is>
      </c>
      <c r="P240" s="6" t="inlineStr">
        <is>
          <t>Silty Clay Loam</t>
        </is>
      </c>
      <c r="Q240" s="6" t="inlineStr">
        <is>
          <t>Flat / Lowland</t>
        </is>
      </c>
      <c r="R240" s="9" t="n">
        <v>30</v>
      </c>
      <c r="S240" s="6" t="inlineStr">
        <is>
          <t>—</t>
        </is>
      </c>
      <c r="T240" s="10" t="n">
        <v>277.2</v>
      </c>
      <c r="U240" s="10" t="n"/>
      <c r="V240" s="10" t="n"/>
      <c r="W240" s="10" t="n"/>
      <c r="X240" s="10" t="n">
        <v>12.55</v>
      </c>
      <c r="Y240" s="10" t="n">
        <v>68.22</v>
      </c>
      <c r="Z240" s="11" t="n">
        <v>5.44</v>
      </c>
      <c r="AA240" s="12" t="inlineStr">
        <is>
          <t>Transplanting (Pindot) — optimal for clay-loam paddy fields</t>
        </is>
      </c>
      <c r="AB240" s="12" t="inlineStr">
        <is>
          <t>Wet Tillage (Puddling): 2 plowings + thorough harrowing under flooded condition</t>
        </is>
      </c>
      <c r="AC240" s="12" t="inlineStr">
        <is>
          <t>Continuous flooding 2–5 cm depth during vegetative stage; drain 2 weeks before harvest</t>
        </is>
      </c>
    </row>
    <row r="241" ht="21.75" customHeight="1" s="101">
      <c r="A241" s="13" t="inlineStr">
        <is>
          <t>Palay</t>
        </is>
      </c>
      <c r="B241" s="13" t="inlineStr">
        <is>
          <t>Sumabnit</t>
        </is>
      </c>
      <c r="C241" s="13" t="inlineStr">
        <is>
          <t>May</t>
        </is>
      </c>
      <c r="D241" s="13" t="inlineStr">
        <is>
          <t>2019</t>
        </is>
      </c>
      <c r="E241" s="13" t="inlineStr">
        <is>
          <t>DS 2019</t>
        </is>
      </c>
      <c r="F241" s="13" t="inlineStr">
        <is>
          <t>Harvest</t>
        </is>
      </c>
      <c r="G241" s="7" t="n">
        <v>6.19</v>
      </c>
      <c r="H241" s="8" t="n">
        <v>28.48</v>
      </c>
      <c r="I241" s="8" t="n">
        <v>23.26</v>
      </c>
      <c r="J241" s="8" t="n">
        <v>36.04</v>
      </c>
      <c r="K241" s="8" t="n">
        <v>77.87</v>
      </c>
      <c r="L241" s="8" t="n">
        <v>98.3</v>
      </c>
      <c r="M241" s="8" t="n">
        <v>21.17</v>
      </c>
      <c r="N241" s="13" t="inlineStr">
        <is>
          <t>Type I – Tropical Monsoon (PAGASA)</t>
        </is>
      </c>
      <c r="O241" s="13" t="inlineStr">
        <is>
          <t>Wet</t>
        </is>
      </c>
      <c r="P241" s="13" t="inlineStr">
        <is>
          <t>Silty Clay Loam / Fine Sandy Loam</t>
        </is>
      </c>
      <c r="Q241" s="13" t="inlineStr">
        <is>
          <t>Flat / Lowland</t>
        </is>
      </c>
      <c r="R241" s="14" t="n">
        <v>30</v>
      </c>
      <c r="S241" s="13" t="inlineStr">
        <is>
          <t>Tagamusing River</t>
        </is>
      </c>
      <c r="T241" s="15" t="n">
        <v>406.56</v>
      </c>
      <c r="U241" s="15" t="n"/>
      <c r="V241" s="15" t="n"/>
      <c r="W241" s="15" t="n"/>
      <c r="X241" s="15" t="n">
        <v>5.45</v>
      </c>
      <c r="Y241" s="15" t="n">
        <v>28.38</v>
      </c>
      <c r="Z241" s="16" t="n">
        <v>5.21</v>
      </c>
      <c r="AA241" s="17" t="inlineStr">
        <is>
          <t>Transplanting (Pindot)</t>
        </is>
      </c>
      <c r="AB241" s="17" t="inlineStr">
        <is>
          <t>Minimum Tillage (avoid compaction; sandy structure fragile)</t>
        </is>
      </c>
      <c r="AC241" s="17" t="inlineStr">
        <is>
          <t>Continuous flooding or frequent irrigation; high percolation risk</t>
        </is>
      </c>
    </row>
    <row r="242" ht="21.75" customHeight="1" s="101">
      <c r="A242" s="6" t="inlineStr">
        <is>
          <t>Palay</t>
        </is>
      </c>
      <c r="B242" s="6" t="inlineStr">
        <is>
          <t>Capas</t>
        </is>
      </c>
      <c r="C242" s="6" t="inlineStr">
        <is>
          <t>May</t>
        </is>
      </c>
      <c r="D242" s="6" t="inlineStr">
        <is>
          <t>2019</t>
        </is>
      </c>
      <c r="E242" s="6" t="inlineStr">
        <is>
          <t>DS 2019</t>
        </is>
      </c>
      <c r="F242" s="6" t="inlineStr">
        <is>
          <t>Harvest</t>
        </is>
      </c>
      <c r="G242" s="7" t="n">
        <v>6.19</v>
      </c>
      <c r="H242" s="8" t="n">
        <v>28.48</v>
      </c>
      <c r="I242" s="8" t="n">
        <v>23.26</v>
      </c>
      <c r="J242" s="8" t="n">
        <v>36.04</v>
      </c>
      <c r="K242" s="8" t="n">
        <v>77.87</v>
      </c>
      <c r="L242" s="8" t="n">
        <v>98.3</v>
      </c>
      <c r="M242" s="8" t="n">
        <v>21.17</v>
      </c>
      <c r="N242" s="6" t="inlineStr">
        <is>
          <t>Type I – Tropical Monsoon (PAGASA)</t>
        </is>
      </c>
      <c r="O242" s="6" t="inlineStr">
        <is>
          <t>Wet</t>
        </is>
      </c>
      <c r="P242" s="6" t="inlineStr">
        <is>
          <t>Sandy Loam</t>
        </is>
      </c>
      <c r="Q242" s="6" t="inlineStr">
        <is>
          <t>Flat / Lowland</t>
        </is>
      </c>
      <c r="R242" s="9" t="n">
        <v>30</v>
      </c>
      <c r="S242" s="6" t="inlineStr">
        <is>
          <t>—</t>
        </is>
      </c>
      <c r="T242" s="10" t="n">
        <v>377.16</v>
      </c>
      <c r="U242" s="10" t="n"/>
      <c r="V242" s="10" t="n"/>
      <c r="W242" s="10" t="n"/>
      <c r="X242" s="10" t="n">
        <v>15</v>
      </c>
      <c r="Y242" s="10" t="n">
        <v>74.25</v>
      </c>
      <c r="Z242" s="11" t="n">
        <v>4.95</v>
      </c>
      <c r="AA242" s="12" t="inlineStr">
        <is>
          <t>Transplanting (Pindot) or Direct Seeding (Pinaghandaan)</t>
        </is>
      </c>
      <c r="AB242" s="12" t="inlineStr">
        <is>
          <t>Conventional Tillage: 2 plowings + 2 harrowings; soil workable when moist</t>
        </is>
      </c>
      <c r="AC242" s="12" t="inlineStr">
        <is>
          <t>Intermittent irrigation (Alternate Wetting and Drying — AWD); moderate retention</t>
        </is>
      </c>
    </row>
    <row r="243" ht="21.75" customHeight="1" s="101">
      <c r="A243" s="13" t="inlineStr">
        <is>
          <t>Palay</t>
        </is>
      </c>
      <c r="B243" s="13" t="inlineStr">
        <is>
          <t>Mangkasuy</t>
        </is>
      </c>
      <c r="C243" s="13" t="inlineStr">
        <is>
          <t>May</t>
        </is>
      </c>
      <c r="D243" s="13" t="inlineStr">
        <is>
          <t>2019</t>
        </is>
      </c>
      <c r="E243" s="13" t="inlineStr">
        <is>
          <t>DS 2019</t>
        </is>
      </c>
      <c r="F243" s="13" t="inlineStr">
        <is>
          <t>Harvest</t>
        </is>
      </c>
      <c r="G243" s="7" t="n">
        <v>6.19</v>
      </c>
      <c r="H243" s="8" t="n">
        <v>28.48</v>
      </c>
      <c r="I243" s="8" t="n">
        <v>23.26</v>
      </c>
      <c r="J243" s="8" t="n">
        <v>36.04</v>
      </c>
      <c r="K243" s="8" t="n">
        <v>77.87</v>
      </c>
      <c r="L243" s="8" t="n">
        <v>98.3</v>
      </c>
      <c r="M243" s="8" t="n">
        <v>21.17</v>
      </c>
      <c r="N243" s="13" t="inlineStr">
        <is>
          <t>Type I – Tropical Monsoon (PAGASA)</t>
        </is>
      </c>
      <c r="O243" s="13" t="inlineStr">
        <is>
          <t>Wet</t>
        </is>
      </c>
      <c r="P243" s="13" t="inlineStr">
        <is>
          <t>Sandy Loam</t>
        </is>
      </c>
      <c r="Q243" s="13" t="inlineStr">
        <is>
          <t>Flat / Lowland</t>
        </is>
      </c>
      <c r="R243" s="14" t="n">
        <v>30</v>
      </c>
      <c r="S243" s="13" t="inlineStr">
        <is>
          <t>Tagamusing River</t>
        </is>
      </c>
      <c r="T243" s="15" t="n">
        <v>802.2</v>
      </c>
      <c r="U243" s="15" t="n"/>
      <c r="V243" s="15" t="n"/>
      <c r="W243" s="15" t="n"/>
      <c r="X243" s="15" t="n">
        <v>6.4</v>
      </c>
      <c r="Y243" s="15" t="n">
        <v>34.79</v>
      </c>
      <c r="Z243" s="16" t="n">
        <v>5.44</v>
      </c>
      <c r="AA243" s="17" t="inlineStr">
        <is>
          <t>Transplanting (Pindot) or Direct Seeding (Pinaghandaan)</t>
        </is>
      </c>
      <c r="AB243" s="17" t="inlineStr">
        <is>
          <t>Conventional Tillage: 2 plowings + 2 harrowings; soil workable when moist</t>
        </is>
      </c>
      <c r="AC243" s="17" t="inlineStr">
        <is>
          <t>Intermittent irrigation (Alternate Wetting and Drying — AWD); moderate retention</t>
        </is>
      </c>
    </row>
    <row r="244" ht="21.75" customHeight="1" s="101">
      <c r="A244" s="6" t="inlineStr">
        <is>
          <t>Palay</t>
        </is>
      </c>
      <c r="B244" s="6" t="inlineStr">
        <is>
          <t>San Pablo</t>
        </is>
      </c>
      <c r="C244" s="6" t="inlineStr">
        <is>
          <t>May</t>
        </is>
      </c>
      <c r="D244" s="6" t="inlineStr">
        <is>
          <t>2019</t>
        </is>
      </c>
      <c r="E244" s="6" t="inlineStr">
        <is>
          <t>DS 2019</t>
        </is>
      </c>
      <c r="F244" s="6" t="inlineStr">
        <is>
          <t>Harvest</t>
        </is>
      </c>
      <c r="G244" s="7" t="n">
        <v>6.19</v>
      </c>
      <c r="H244" s="8" t="n">
        <v>28.48</v>
      </c>
      <c r="I244" s="8" t="n">
        <v>23.26</v>
      </c>
      <c r="J244" s="8" t="n">
        <v>36.04</v>
      </c>
      <c r="K244" s="8" t="n">
        <v>77.87</v>
      </c>
      <c r="L244" s="8" t="n">
        <v>98.3</v>
      </c>
      <c r="M244" s="8" t="n">
        <v>21.17</v>
      </c>
      <c r="N244" s="6" t="inlineStr">
        <is>
          <t>Type I – Tropical Monsoon (PAGASA)</t>
        </is>
      </c>
      <c r="O244" s="6" t="inlineStr">
        <is>
          <t>Wet</t>
        </is>
      </c>
      <c r="P244" s="6" t="inlineStr">
        <is>
          <t>Sandy Loam</t>
        </is>
      </c>
      <c r="Q244" s="6" t="inlineStr">
        <is>
          <t>Flat / Lowland</t>
        </is>
      </c>
      <c r="R244" s="9" t="n">
        <v>30</v>
      </c>
      <c r="S244" s="6" t="inlineStr">
        <is>
          <t>San Pablo Creek</t>
        </is>
      </c>
      <c r="T244" s="10" t="n">
        <v>215.04</v>
      </c>
      <c r="U244" s="10" t="n"/>
      <c r="V244" s="10" t="n"/>
      <c r="W244" s="10" t="n"/>
      <c r="X244" s="10" t="n">
        <v>7</v>
      </c>
      <c r="Y244" s="10" t="n">
        <v>31.99</v>
      </c>
      <c r="Z244" s="11" t="n">
        <v>4.57</v>
      </c>
      <c r="AA244" s="12" t="inlineStr">
        <is>
          <t>Transplanting (Pindot) or Direct Seeding (Pinaghandaan)</t>
        </is>
      </c>
      <c r="AB244" s="12" t="inlineStr">
        <is>
          <t>Conventional Tillage: 2 plowings + 2 harrowings; soil workable when moist</t>
        </is>
      </c>
      <c r="AC244" s="12" t="inlineStr">
        <is>
          <t>Intermittent irrigation (Alternate Wetting and Drying — AWD); moderate retention</t>
        </is>
      </c>
    </row>
    <row r="245" ht="21.75" customHeight="1" s="101">
      <c r="A245" s="13" t="inlineStr">
        <is>
          <t>Palay</t>
        </is>
      </c>
      <c r="B245" s="13" t="inlineStr">
        <is>
          <t>Balangobong</t>
        </is>
      </c>
      <c r="C245" s="13" t="inlineStr">
        <is>
          <t>May</t>
        </is>
      </c>
      <c r="D245" s="13" t="inlineStr">
        <is>
          <t>2019</t>
        </is>
      </c>
      <c r="E245" s="13" t="inlineStr">
        <is>
          <t>DS 2019</t>
        </is>
      </c>
      <c r="F245" s="13" t="inlineStr">
        <is>
          <t>Harvest</t>
        </is>
      </c>
      <c r="G245" s="7" t="n">
        <v>6.19</v>
      </c>
      <c r="H245" s="8" t="n">
        <v>28.48</v>
      </c>
      <c r="I245" s="8" t="n">
        <v>23.26</v>
      </c>
      <c r="J245" s="8" t="n">
        <v>36.04</v>
      </c>
      <c r="K245" s="8" t="n">
        <v>77.87</v>
      </c>
      <c r="L245" s="8" t="n">
        <v>98.3</v>
      </c>
      <c r="M245" s="8" t="n">
        <v>21.17</v>
      </c>
      <c r="N245" s="13" t="inlineStr">
        <is>
          <t>Type I – Tropical Monsoon (PAGASA)</t>
        </is>
      </c>
      <c r="O245" s="13" t="inlineStr">
        <is>
          <t>Wet</t>
        </is>
      </c>
      <c r="P245" s="13" t="inlineStr">
        <is>
          <t>Silty Clay Loam</t>
        </is>
      </c>
      <c r="Q245" s="13" t="inlineStr">
        <is>
          <t>Flat / Lowland</t>
        </is>
      </c>
      <c r="R245" s="14" t="n">
        <v>30</v>
      </c>
      <c r="S245" s="13" t="inlineStr">
        <is>
          <t>—</t>
        </is>
      </c>
      <c r="T245" s="15" t="n">
        <v>281.4</v>
      </c>
      <c r="U245" s="15" t="n"/>
      <c r="V245" s="15" t="n"/>
      <c r="W245" s="15" t="n"/>
      <c r="X245" s="15" t="n">
        <v>14</v>
      </c>
      <c r="Y245" s="15" t="n">
        <v>82.01000000000001</v>
      </c>
      <c r="Z245" s="16" t="n">
        <v>5.86</v>
      </c>
      <c r="AA245" s="17" t="inlineStr">
        <is>
          <t>Transplanting (Pindot) — optimal for clay-loam paddy fields</t>
        </is>
      </c>
      <c r="AB245" s="17" t="inlineStr">
        <is>
          <t>Wet Tillage (Puddling): 2 plowings + thorough harrowing under flooded condition</t>
        </is>
      </c>
      <c r="AC245" s="17" t="inlineStr">
        <is>
          <t>Continuous flooding 2–5 cm depth during vegetative stage; drain 2 weeks before harvest</t>
        </is>
      </c>
    </row>
    <row r="246" ht="21.75" customHeight="1" s="101">
      <c r="A246" s="6" t="inlineStr">
        <is>
          <t>Palay</t>
        </is>
      </c>
      <c r="B246" s="6" t="inlineStr">
        <is>
          <t>San Felipe Central</t>
        </is>
      </c>
      <c r="C246" s="6" t="inlineStr">
        <is>
          <t>May</t>
        </is>
      </c>
      <c r="D246" s="6" t="inlineStr">
        <is>
          <t>2019</t>
        </is>
      </c>
      <c r="E246" s="6" t="inlineStr">
        <is>
          <t>DS 2019</t>
        </is>
      </c>
      <c r="F246" s="6" t="inlineStr">
        <is>
          <t>Harvest</t>
        </is>
      </c>
      <c r="G246" s="7" t="n">
        <v>6.19</v>
      </c>
      <c r="H246" s="8" t="n">
        <v>28.48</v>
      </c>
      <c r="I246" s="8" t="n">
        <v>23.26</v>
      </c>
      <c r="J246" s="8" t="n">
        <v>36.04</v>
      </c>
      <c r="K246" s="8" t="n">
        <v>77.87</v>
      </c>
      <c r="L246" s="8" t="n">
        <v>98.3</v>
      </c>
      <c r="M246" s="8" t="n">
        <v>21.17</v>
      </c>
      <c r="N246" s="6" t="inlineStr">
        <is>
          <t>Type I – Tropical Monsoon (PAGASA)</t>
        </is>
      </c>
      <c r="O246" s="6" t="inlineStr">
        <is>
          <t>Wet</t>
        </is>
      </c>
      <c r="P246" s="6" t="inlineStr">
        <is>
          <t>Sandy Loam</t>
        </is>
      </c>
      <c r="Q246" s="6" t="inlineStr">
        <is>
          <t>Flat / Lowland</t>
        </is>
      </c>
      <c r="R246" s="9" t="n">
        <v>30</v>
      </c>
      <c r="S246" s="6" t="inlineStr">
        <is>
          <t>—</t>
        </is>
      </c>
      <c r="T246" s="10" t="n">
        <v>452.76</v>
      </c>
      <c r="U246" s="10" t="n"/>
      <c r="V246" s="10" t="n"/>
      <c r="W246" s="10" t="n"/>
      <c r="X246" s="10" t="n">
        <v>5</v>
      </c>
      <c r="Y246" s="10" t="n">
        <v>25</v>
      </c>
      <c r="Z246" s="11" t="n">
        <v>5</v>
      </c>
      <c r="AA246" s="12" t="inlineStr">
        <is>
          <t>Transplanting (Pindot) or Direct Seeding (Pinaghandaan)</t>
        </is>
      </c>
      <c r="AB246" s="12" t="inlineStr">
        <is>
          <t>Conventional Tillage: 2 plowings + 2 harrowings; soil workable when moist</t>
        </is>
      </c>
      <c r="AC246" s="12" t="inlineStr">
        <is>
          <t>Intermittent irrigation (Alternate Wetting and Drying — AWD); moderate retention</t>
        </is>
      </c>
    </row>
    <row r="247" ht="21.75" customHeight="1" s="101">
      <c r="A247" s="13" t="inlineStr">
        <is>
          <t>Palay</t>
        </is>
      </c>
      <c r="B247" s="13" t="inlineStr">
        <is>
          <t>San Felipe Sur</t>
        </is>
      </c>
      <c r="C247" s="13" t="inlineStr">
        <is>
          <t>May</t>
        </is>
      </c>
      <c r="D247" s="13" t="inlineStr">
        <is>
          <t>2019</t>
        </is>
      </c>
      <c r="E247" s="13" t="inlineStr">
        <is>
          <t>DS 2019</t>
        </is>
      </c>
      <c r="F247" s="13" t="inlineStr">
        <is>
          <t>Harvest</t>
        </is>
      </c>
      <c r="G247" s="7" t="n">
        <v>6.19</v>
      </c>
      <c r="H247" s="8" t="n">
        <v>28.48</v>
      </c>
      <c r="I247" s="8" t="n">
        <v>23.26</v>
      </c>
      <c r="J247" s="8" t="n">
        <v>36.04</v>
      </c>
      <c r="K247" s="8" t="n">
        <v>77.87</v>
      </c>
      <c r="L247" s="8" t="n">
        <v>98.3</v>
      </c>
      <c r="M247" s="8" t="n">
        <v>21.17</v>
      </c>
      <c r="N247" s="13" t="inlineStr">
        <is>
          <t>Type I – Tropical Monsoon (PAGASA)</t>
        </is>
      </c>
      <c r="O247" s="13" t="inlineStr">
        <is>
          <t>Wet</t>
        </is>
      </c>
      <c r="P247" s="13" t="inlineStr">
        <is>
          <t>Sandy Loam</t>
        </is>
      </c>
      <c r="Q247" s="13" t="inlineStr">
        <is>
          <t>Flat / Lowland</t>
        </is>
      </c>
      <c r="R247" s="14" t="n">
        <v>30</v>
      </c>
      <c r="S247" s="13" t="inlineStr">
        <is>
          <t>Tagamusing River</t>
        </is>
      </c>
      <c r="T247" s="15" t="n">
        <v>504</v>
      </c>
      <c r="U247" s="15" t="n"/>
      <c r="V247" s="15" t="n"/>
      <c r="W247" s="15" t="n"/>
      <c r="X247" s="15" t="n">
        <v>26.4</v>
      </c>
      <c r="Y247" s="15" t="n">
        <v>131.1</v>
      </c>
      <c r="Z247" s="16" t="n">
        <v>4.97</v>
      </c>
      <c r="AA247" s="17" t="inlineStr">
        <is>
          <t>Transplanting (Pindot) or Direct Seeding (Pinaghandaan)</t>
        </is>
      </c>
      <c r="AB247" s="17" t="inlineStr">
        <is>
          <t>Conventional Tillage: 2 plowings + 2 harrowings; soil workable when moist</t>
        </is>
      </c>
      <c r="AC247" s="17" t="inlineStr">
        <is>
          <t>Intermittent irrigation (Alternate Wetting and Drying — AWD); moderate retention</t>
        </is>
      </c>
    </row>
    <row r="248" ht="21.75" customHeight="1" s="101">
      <c r="A248" s="6" t="inlineStr">
        <is>
          <t>Palay</t>
        </is>
      </c>
      <c r="B248" s="6" t="inlineStr">
        <is>
          <t>Pasileng Sur</t>
        </is>
      </c>
      <c r="C248" s="6" t="inlineStr">
        <is>
          <t>May</t>
        </is>
      </c>
      <c r="D248" s="6" t="inlineStr">
        <is>
          <t>2019</t>
        </is>
      </c>
      <c r="E248" s="6" t="inlineStr">
        <is>
          <t>DS 2019</t>
        </is>
      </c>
      <c r="F248" s="6" t="inlineStr">
        <is>
          <t>Harvest</t>
        </is>
      </c>
      <c r="G248" s="7" t="n">
        <v>6.19</v>
      </c>
      <c r="H248" s="8" t="n">
        <v>28.48</v>
      </c>
      <c r="I248" s="8" t="n">
        <v>23.26</v>
      </c>
      <c r="J248" s="8" t="n">
        <v>36.04</v>
      </c>
      <c r="K248" s="8" t="n">
        <v>77.87</v>
      </c>
      <c r="L248" s="8" t="n">
        <v>98.3</v>
      </c>
      <c r="M248" s="8" t="n">
        <v>21.17</v>
      </c>
      <c r="N248" s="6" t="inlineStr">
        <is>
          <t>Type I – Tropical Monsoon (PAGASA)</t>
        </is>
      </c>
      <c r="O248" s="6" t="inlineStr">
        <is>
          <t>Wet</t>
        </is>
      </c>
      <c r="P248" s="6" t="inlineStr">
        <is>
          <t>Sandy Loam</t>
        </is>
      </c>
      <c r="Q248" s="6" t="inlineStr">
        <is>
          <t>Flat / Lowland</t>
        </is>
      </c>
      <c r="R248" s="9" t="n">
        <v>30</v>
      </c>
      <c r="S248" s="6" t="inlineStr">
        <is>
          <t>Tagamusing River</t>
        </is>
      </c>
      <c r="T248" s="10" t="n">
        <v>414.96</v>
      </c>
      <c r="U248" s="10" t="n"/>
      <c r="V248" s="10" t="n"/>
      <c r="W248" s="10" t="n"/>
      <c r="X248" s="10" t="n">
        <v>15</v>
      </c>
      <c r="Y248" s="10" t="n">
        <v>100.38</v>
      </c>
      <c r="Z248" s="11" t="n">
        <v>6.69</v>
      </c>
      <c r="AA248" s="12" t="inlineStr">
        <is>
          <t>Transplanting (Pindot) or Direct Seeding (Pinaghandaan)</t>
        </is>
      </c>
      <c r="AB248" s="12" t="inlineStr">
        <is>
          <t>Conventional Tillage: 2 plowings + 2 harrowings; soil workable when moist</t>
        </is>
      </c>
      <c r="AC248" s="12" t="inlineStr">
        <is>
          <t>Intermittent irrigation (Alternate Wetting and Drying — AWD); moderate retention</t>
        </is>
      </c>
    </row>
    <row r="249" ht="21.75" customHeight="1" s="101">
      <c r="A249" s="13" t="inlineStr">
        <is>
          <t>Palay</t>
        </is>
      </c>
      <c r="B249" s="13" t="inlineStr">
        <is>
          <t>Santiago</t>
        </is>
      </c>
      <c r="C249" s="13" t="inlineStr">
        <is>
          <t>May</t>
        </is>
      </c>
      <c r="D249" s="13" t="inlineStr">
        <is>
          <t>2019</t>
        </is>
      </c>
      <c r="E249" s="13" t="inlineStr">
        <is>
          <t>DS 2019</t>
        </is>
      </c>
      <c r="F249" s="13" t="inlineStr">
        <is>
          <t>Harvest</t>
        </is>
      </c>
      <c r="G249" s="7" t="n">
        <v>6.19</v>
      </c>
      <c r="H249" s="8" t="n">
        <v>28.48</v>
      </c>
      <c r="I249" s="8" t="n">
        <v>23.26</v>
      </c>
      <c r="J249" s="8" t="n">
        <v>36.04</v>
      </c>
      <c r="K249" s="8" t="n">
        <v>77.87</v>
      </c>
      <c r="L249" s="8" t="n">
        <v>98.3</v>
      </c>
      <c r="M249" s="8" t="n">
        <v>21.17</v>
      </c>
      <c r="N249" s="13" t="inlineStr">
        <is>
          <t>Type I – Tropical Monsoon (PAGASA)</t>
        </is>
      </c>
      <c r="O249" s="13" t="inlineStr">
        <is>
          <t>Wet</t>
        </is>
      </c>
      <c r="P249" s="13" t="inlineStr">
        <is>
          <t>Silty Clay Loam</t>
        </is>
      </c>
      <c r="Q249" s="13" t="inlineStr">
        <is>
          <t>Flat / Lowland</t>
        </is>
      </c>
      <c r="R249" s="14" t="n">
        <v>30</v>
      </c>
      <c r="S249" s="13" t="inlineStr">
        <is>
          <t>—</t>
        </is>
      </c>
      <c r="T249" s="15" t="n">
        <v>283.08</v>
      </c>
      <c r="U249" s="15" t="n"/>
      <c r="V249" s="15" t="n"/>
      <c r="W249" s="15" t="n"/>
      <c r="X249" s="15" t="n">
        <v>5.57</v>
      </c>
      <c r="Y249" s="15" t="n">
        <v>34.76</v>
      </c>
      <c r="Z249" s="16" t="n">
        <v>6.24</v>
      </c>
      <c r="AA249" s="17" t="inlineStr">
        <is>
          <t>Transplanting (Pindot) — optimal for clay-loam paddy fields</t>
        </is>
      </c>
      <c r="AB249" s="17" t="inlineStr">
        <is>
          <t>Wet Tillage (Puddling): 2 plowings + thorough harrowing under flooded condition</t>
        </is>
      </c>
      <c r="AC249" s="17" t="inlineStr">
        <is>
          <t>Continuous flooding 2–5 cm depth during vegetative stage; drain 2 weeks before harvest</t>
        </is>
      </c>
    </row>
    <row r="250" ht="21.75" customHeight="1" s="101">
      <c r="A250" s="6" t="inlineStr">
        <is>
          <t>Palay</t>
        </is>
      </c>
      <c r="B250" s="6" t="inlineStr">
        <is>
          <t>Camanggaan</t>
        </is>
      </c>
      <c r="C250" s="6" t="inlineStr">
        <is>
          <t>May</t>
        </is>
      </c>
      <c r="D250" s="6" t="inlineStr">
        <is>
          <t>2019</t>
        </is>
      </c>
      <c r="E250" s="6" t="inlineStr">
        <is>
          <t>DS 2019</t>
        </is>
      </c>
      <c r="F250" s="6" t="inlineStr">
        <is>
          <t>Harvest</t>
        </is>
      </c>
      <c r="G250" s="7" t="n">
        <v>6.19</v>
      </c>
      <c r="H250" s="8" t="n">
        <v>28.48</v>
      </c>
      <c r="I250" s="8" t="n">
        <v>23.26</v>
      </c>
      <c r="J250" s="8" t="n">
        <v>36.04</v>
      </c>
      <c r="K250" s="8" t="n">
        <v>77.87</v>
      </c>
      <c r="L250" s="8" t="n">
        <v>98.3</v>
      </c>
      <c r="M250" s="8" t="n">
        <v>21.17</v>
      </c>
      <c r="N250" s="6" t="inlineStr">
        <is>
          <t>Type I – Tropical Monsoon (PAGASA)</t>
        </is>
      </c>
      <c r="O250" s="6" t="inlineStr">
        <is>
          <t>Wet</t>
        </is>
      </c>
      <c r="P250" s="6" t="inlineStr">
        <is>
          <t>Sandy Loam</t>
        </is>
      </c>
      <c r="Q250" s="6" t="inlineStr">
        <is>
          <t>Flat / Lowland</t>
        </is>
      </c>
      <c r="R250" s="9" t="n">
        <v>30</v>
      </c>
      <c r="S250" s="6" t="inlineStr">
        <is>
          <t>—</t>
        </is>
      </c>
      <c r="T250" s="10" t="n">
        <v>244.44</v>
      </c>
      <c r="U250" s="10" t="n"/>
      <c r="V250" s="10" t="n"/>
      <c r="W250" s="10" t="n"/>
      <c r="X250" s="10" t="n">
        <v>7.15</v>
      </c>
      <c r="Y250" s="10" t="n">
        <v>18.64</v>
      </c>
      <c r="Z250" s="11" t="n">
        <v>2.61</v>
      </c>
      <c r="AA250" s="12" t="inlineStr">
        <is>
          <t>Transplanting (Pindot) or Direct Seeding (Pinaghandaan)</t>
        </is>
      </c>
      <c r="AB250" s="12" t="inlineStr">
        <is>
          <t>Conventional Tillage: 2 plowings + 2 harrowings; soil workable when moist</t>
        </is>
      </c>
      <c r="AC250" s="12" t="inlineStr">
        <is>
          <t>Intermittent irrigation (Alternate Wetting and Drying — AWD); moderate retention</t>
        </is>
      </c>
    </row>
    <row r="251" ht="21.75" customHeight="1" s="101">
      <c r="A251" s="13" t="inlineStr">
        <is>
          <t>Palay</t>
        </is>
      </c>
      <c r="B251" s="13" t="inlineStr">
        <is>
          <t>Cili</t>
        </is>
      </c>
      <c r="C251" s="13" t="inlineStr">
        <is>
          <t>May</t>
        </is>
      </c>
      <c r="D251" s="13" t="inlineStr">
        <is>
          <t>2019</t>
        </is>
      </c>
      <c r="E251" s="13" t="inlineStr">
        <is>
          <t>DS 2019</t>
        </is>
      </c>
      <c r="F251" s="13" t="inlineStr">
        <is>
          <t>Harvest</t>
        </is>
      </c>
      <c r="G251" s="7" t="n">
        <v>6.19</v>
      </c>
      <c r="H251" s="8" t="n">
        <v>28.48</v>
      </c>
      <c r="I251" s="8" t="n">
        <v>23.26</v>
      </c>
      <c r="J251" s="8" t="n">
        <v>36.04</v>
      </c>
      <c r="K251" s="8" t="n">
        <v>77.87</v>
      </c>
      <c r="L251" s="8" t="n">
        <v>98.3</v>
      </c>
      <c r="M251" s="8" t="n">
        <v>21.17</v>
      </c>
      <c r="N251" s="13" t="inlineStr">
        <is>
          <t>Type I – Tropical Monsoon (PAGASA)</t>
        </is>
      </c>
      <c r="O251" s="13" t="inlineStr">
        <is>
          <t>Wet</t>
        </is>
      </c>
      <c r="P251" s="13" t="inlineStr">
        <is>
          <t>Silty Clay Loam</t>
        </is>
      </c>
      <c r="Q251" s="13" t="inlineStr">
        <is>
          <t>Flat / Lowland</t>
        </is>
      </c>
      <c r="R251" s="14" t="n">
        <v>30</v>
      </c>
      <c r="S251" s="13" t="inlineStr">
        <is>
          <t>Alibeng River</t>
        </is>
      </c>
      <c r="T251" s="15" t="n">
        <v>264.6</v>
      </c>
      <c r="U251" s="15" t="n"/>
      <c r="V251" s="15" t="n"/>
      <c r="W251" s="15" t="n"/>
      <c r="X251" s="15" t="n">
        <v>8.81</v>
      </c>
      <c r="Y251" s="15" t="n">
        <v>23.95</v>
      </c>
      <c r="Z251" s="16" t="n">
        <v>2.72</v>
      </c>
      <c r="AA251" s="17" t="inlineStr">
        <is>
          <t>Transplanting (Pindot) — optimal for clay-loam paddy fields</t>
        </is>
      </c>
      <c r="AB251" s="17" t="inlineStr">
        <is>
          <t>Wet Tillage (Puddling): 2 plowings + thorough harrowing under flooded condition</t>
        </is>
      </c>
      <c r="AC251" s="17" t="inlineStr">
        <is>
          <t>Continuous flooding 2–5 cm depth during vegetative stage; drain 2 weeks before harvest</t>
        </is>
      </c>
    </row>
    <row r="252" ht="21.75" customHeight="1" s="101">
      <c r="A252" s="6" t="inlineStr">
        <is>
          <t>Palay</t>
        </is>
      </c>
      <c r="B252" s="6" t="inlineStr">
        <is>
          <t>Moreno</t>
        </is>
      </c>
      <c r="C252" s="6" t="inlineStr">
        <is>
          <t>May</t>
        </is>
      </c>
      <c r="D252" s="6" t="inlineStr">
        <is>
          <t>2019</t>
        </is>
      </c>
      <c r="E252" s="6" t="inlineStr">
        <is>
          <t>DS 2019</t>
        </is>
      </c>
      <c r="F252" s="6" t="inlineStr">
        <is>
          <t>Harvest</t>
        </is>
      </c>
      <c r="G252" s="7" t="n">
        <v>6.19</v>
      </c>
      <c r="H252" s="8" t="n">
        <v>28.48</v>
      </c>
      <c r="I252" s="8" t="n">
        <v>23.26</v>
      </c>
      <c r="J252" s="8" t="n">
        <v>36.04</v>
      </c>
      <c r="K252" s="8" t="n">
        <v>77.87</v>
      </c>
      <c r="L252" s="8" t="n">
        <v>98.3</v>
      </c>
      <c r="M252" s="8" t="n">
        <v>21.17</v>
      </c>
      <c r="N252" s="6" t="inlineStr">
        <is>
          <t>Type I – Tropical Monsoon (PAGASA)</t>
        </is>
      </c>
      <c r="O252" s="6" t="inlineStr">
        <is>
          <t>Wet</t>
        </is>
      </c>
      <c r="P252" s="6" t="inlineStr">
        <is>
          <t>Sandy Loam</t>
        </is>
      </c>
      <c r="Q252" s="6" t="inlineStr">
        <is>
          <t>Moderately Sloping / Highland</t>
        </is>
      </c>
      <c r="R252" s="9" t="n">
        <v>90</v>
      </c>
      <c r="S252" s="6" t="inlineStr">
        <is>
          <t>Alibeng River</t>
        </is>
      </c>
      <c r="T252" s="10" t="n">
        <v>641.76</v>
      </c>
      <c r="U252" s="10" t="n"/>
      <c r="V252" s="10" t="n"/>
      <c r="W252" s="10" t="n"/>
      <c r="X252" s="10" t="n">
        <v>3.55</v>
      </c>
      <c r="Y252" s="10" t="n">
        <v>28.4</v>
      </c>
      <c r="Z252" s="11" t="n">
        <v>8</v>
      </c>
      <c r="AA252" s="12" t="inlineStr">
        <is>
          <t>Transplanting (Pindot) or Direct Seeding (Pinaghandaan)</t>
        </is>
      </c>
      <c r="AB252" s="12" t="inlineStr">
        <is>
          <t>Conventional Tillage: 2 plowings + 2 harrowings; soil workable when moist</t>
        </is>
      </c>
      <c r="AC252" s="12" t="inlineStr">
        <is>
          <t>Intermittent irrigation (Alternate Wetting and Drying — AWD); moderate retention; terrace or bund-assisted water retention essential on slopes</t>
        </is>
      </c>
    </row>
    <row r="253" ht="21.75" customHeight="1" s="101">
      <c r="A253" s="13" t="inlineStr">
        <is>
          <t>Palay</t>
        </is>
      </c>
      <c r="B253" s="13" t="inlineStr">
        <is>
          <t>Bugayong</t>
        </is>
      </c>
      <c r="C253" s="13" t="inlineStr">
        <is>
          <t>May</t>
        </is>
      </c>
      <c r="D253" s="13" t="inlineStr">
        <is>
          <t>2019</t>
        </is>
      </c>
      <c r="E253" s="13" t="inlineStr">
        <is>
          <t>DS 2019</t>
        </is>
      </c>
      <c r="F253" s="13" t="inlineStr">
        <is>
          <t>Harvest</t>
        </is>
      </c>
      <c r="G253" s="7" t="n">
        <v>6.19</v>
      </c>
      <c r="H253" s="8" t="n">
        <v>28.48</v>
      </c>
      <c r="I253" s="8" t="n">
        <v>23.26</v>
      </c>
      <c r="J253" s="8" t="n">
        <v>36.04</v>
      </c>
      <c r="K253" s="8" t="n">
        <v>77.87</v>
      </c>
      <c r="L253" s="8" t="n">
        <v>98.3</v>
      </c>
      <c r="M253" s="8" t="n">
        <v>21.17</v>
      </c>
      <c r="N253" s="13" t="inlineStr">
        <is>
          <t>Type I – Tropical Monsoon (PAGASA)</t>
        </is>
      </c>
      <c r="O253" s="13" t="inlineStr">
        <is>
          <t>Wet</t>
        </is>
      </c>
      <c r="P253" s="13" t="inlineStr">
        <is>
          <t>Sandy Loam / Silty Clay Loam</t>
        </is>
      </c>
      <c r="Q253" s="13" t="inlineStr">
        <is>
          <t>Flat / Lowland</t>
        </is>
      </c>
      <c r="R253" s="14" t="n">
        <v>30</v>
      </c>
      <c r="S253" s="13" t="inlineStr">
        <is>
          <t>Aloragat River</t>
        </is>
      </c>
      <c r="T253" s="15" t="n">
        <v>346.08</v>
      </c>
      <c r="U253" s="15" t="n"/>
      <c r="V253" s="15" t="n"/>
      <c r="W253" s="15" t="n"/>
      <c r="X253" s="15" t="n">
        <v>7.58</v>
      </c>
      <c r="Y253" s="15" t="n">
        <v>21.83</v>
      </c>
      <c r="Z253" s="16" t="n">
        <v>2.88</v>
      </c>
      <c r="AA253" s="17" t="inlineStr">
        <is>
          <t>Transplanting (Pindot) — recommended; Direct Seeding possible in dry season</t>
        </is>
      </c>
      <c r="AB253" s="17" t="inlineStr">
        <is>
          <t>Conventional Tillage: 2 plowings + harrowing; puddle thoroughly for transplanting</t>
        </is>
      </c>
      <c r="AC253" s="17" t="inlineStr">
        <is>
          <t>Intermittent to continuous flooding; manage according to drainage section present</t>
        </is>
      </c>
    </row>
    <row r="254" ht="21.75" customHeight="1" s="101">
      <c r="A254" s="6" t="inlineStr">
        <is>
          <t>Palay</t>
        </is>
      </c>
      <c r="B254" s="6" t="inlineStr">
        <is>
          <t>Sta. Maria Norte</t>
        </is>
      </c>
      <c r="C254" s="6" t="inlineStr">
        <is>
          <t>May</t>
        </is>
      </c>
      <c r="D254" s="6" t="inlineStr">
        <is>
          <t>2019</t>
        </is>
      </c>
      <c r="E254" s="6" t="inlineStr">
        <is>
          <t>DS 2019</t>
        </is>
      </c>
      <c r="F254" s="6" t="inlineStr">
        <is>
          <t>Harvest</t>
        </is>
      </c>
      <c r="G254" s="7" t="n">
        <v>6.19</v>
      </c>
      <c r="H254" s="8" t="n">
        <v>28.48</v>
      </c>
      <c r="I254" s="8" t="n">
        <v>23.26</v>
      </c>
      <c r="J254" s="8" t="n">
        <v>36.04</v>
      </c>
      <c r="K254" s="8" t="n">
        <v>77.87</v>
      </c>
      <c r="L254" s="8" t="n">
        <v>98.3</v>
      </c>
      <c r="M254" s="8" t="n">
        <v>21.17</v>
      </c>
      <c r="N254" s="6" t="inlineStr">
        <is>
          <t>Type I – Tropical Monsoon (PAGASA)</t>
        </is>
      </c>
      <c r="O254" s="6" t="inlineStr">
        <is>
          <t>Wet</t>
        </is>
      </c>
      <c r="P254" s="6" t="inlineStr">
        <is>
          <t>Sandy Loam</t>
        </is>
      </c>
      <c r="Q254" s="6" t="inlineStr">
        <is>
          <t>Flat / Lowland</t>
        </is>
      </c>
      <c r="R254" s="9" t="n">
        <v>30</v>
      </c>
      <c r="S254" s="6" t="inlineStr">
        <is>
          <t>Tagamusing River</t>
        </is>
      </c>
      <c r="T254" s="10" t="n">
        <v>157.08</v>
      </c>
      <c r="U254" s="10" t="n"/>
      <c r="V254" s="10" t="n"/>
      <c r="W254" s="10" t="n"/>
      <c r="X254" s="10" t="n">
        <v>0.5</v>
      </c>
      <c r="Y254" s="10" t="n">
        <v>4</v>
      </c>
      <c r="Z254" s="11" t="n">
        <v>8</v>
      </c>
      <c r="AA254" s="12" t="inlineStr">
        <is>
          <t>Transplanting (Pindot) or Direct Seeding (Pinaghandaan)</t>
        </is>
      </c>
      <c r="AB254" s="12" t="inlineStr">
        <is>
          <t>Conventional Tillage: 2 plowings + 2 harrowings; soil workable when moist</t>
        </is>
      </c>
      <c r="AC254" s="12" t="inlineStr">
        <is>
          <t>Intermittent irrigation (Alternate Wetting and Drying — AWD); moderate retention</t>
        </is>
      </c>
    </row>
    <row r="255" ht="21.75" customHeight="1" s="101">
      <c r="A255" s="13" t="inlineStr">
        <is>
          <t>Palay</t>
        </is>
      </c>
      <c r="B255" s="13" t="inlineStr">
        <is>
          <t>Pasileng Norte</t>
        </is>
      </c>
      <c r="C255" s="13" t="inlineStr">
        <is>
          <t>May</t>
        </is>
      </c>
      <c r="D255" s="13" t="inlineStr">
        <is>
          <t>2020</t>
        </is>
      </c>
      <c r="E255" s="13" t="inlineStr">
        <is>
          <t>DS 2020</t>
        </is>
      </c>
      <c r="F255" s="13" t="inlineStr">
        <is>
          <t>Harvest</t>
        </is>
      </c>
      <c r="G255" s="7" t="n">
        <v>4.18</v>
      </c>
      <c r="H255" s="8" t="n">
        <v>29.28</v>
      </c>
      <c r="I255" s="8" t="n">
        <v>22.18</v>
      </c>
      <c r="J255" s="8" t="n">
        <v>38.38</v>
      </c>
      <c r="K255" s="8" t="n">
        <v>71.22</v>
      </c>
      <c r="L255" s="8" t="n">
        <v>98.29000000000001</v>
      </c>
      <c r="M255" s="8" t="n">
        <v>24.03</v>
      </c>
      <c r="N255" s="13" t="inlineStr">
        <is>
          <t>Type I – Tropical Monsoon (PAGASA)</t>
        </is>
      </c>
      <c r="O255" s="13" t="inlineStr">
        <is>
          <t>Wet</t>
        </is>
      </c>
      <c r="P255" s="13" t="inlineStr">
        <is>
          <t>Sandy Loam</t>
        </is>
      </c>
      <c r="Q255" s="13" t="inlineStr">
        <is>
          <t>Flat / Lowland</t>
        </is>
      </c>
      <c r="R255" s="14" t="n">
        <v>30</v>
      </c>
      <c r="S255" s="13" t="inlineStr">
        <is>
          <t>Tagamusing River</t>
        </is>
      </c>
      <c r="T255" s="15" t="n">
        <v>140.28</v>
      </c>
      <c r="U255" s="15" t="n"/>
      <c r="V255" s="15" t="n"/>
      <c r="W255" s="15" t="n"/>
      <c r="X255" s="15" t="n">
        <v>1.1</v>
      </c>
      <c r="Y255" s="15" t="n">
        <v>5.23</v>
      </c>
      <c r="Z255" s="16" t="n">
        <v>4.75</v>
      </c>
      <c r="AA255" s="17" t="inlineStr">
        <is>
          <t>Transplanting (Pindot) or Direct Seeding (Pinaghandaan)</t>
        </is>
      </c>
      <c r="AB255" s="17" t="inlineStr">
        <is>
          <t>Conventional Tillage: 2 plowings + 2 harrowings; soil workable when moist</t>
        </is>
      </c>
      <c r="AC255" s="17" t="inlineStr">
        <is>
          <t>Intermittent irrigation (Alternate Wetting and Drying — AWD); moderate retention</t>
        </is>
      </c>
    </row>
    <row r="256" ht="21.75" customHeight="1" s="101">
      <c r="A256" s="6" t="inlineStr">
        <is>
          <t>Palay</t>
        </is>
      </c>
      <c r="B256" s="6" t="inlineStr">
        <is>
          <t>Tabuyoc</t>
        </is>
      </c>
      <c r="C256" s="6" t="inlineStr">
        <is>
          <t>May</t>
        </is>
      </c>
      <c r="D256" s="6" t="inlineStr">
        <is>
          <t>2020</t>
        </is>
      </c>
      <c r="E256" s="6" t="inlineStr">
        <is>
          <t>DS 2020</t>
        </is>
      </c>
      <c r="F256" s="6" t="inlineStr">
        <is>
          <t>Harvest</t>
        </is>
      </c>
      <c r="G256" s="7" t="n">
        <v>4.18</v>
      </c>
      <c r="H256" s="8" t="n">
        <v>29.28</v>
      </c>
      <c r="I256" s="8" t="n">
        <v>22.18</v>
      </c>
      <c r="J256" s="8" t="n">
        <v>38.38</v>
      </c>
      <c r="K256" s="8" t="n">
        <v>71.22</v>
      </c>
      <c r="L256" s="8" t="n">
        <v>98.29000000000001</v>
      </c>
      <c r="M256" s="8" t="n">
        <v>24.03</v>
      </c>
      <c r="N256" s="6" t="inlineStr">
        <is>
          <t>Type I – Tropical Monsoon (PAGASA)</t>
        </is>
      </c>
      <c r="O256" s="6" t="inlineStr">
        <is>
          <t>Wet</t>
        </is>
      </c>
      <c r="P256" s="6" t="inlineStr">
        <is>
          <t>Silty Clay Loam</t>
        </is>
      </c>
      <c r="Q256" s="6" t="inlineStr">
        <is>
          <t>Flat / Lowland</t>
        </is>
      </c>
      <c r="R256" s="9" t="n">
        <v>30</v>
      </c>
      <c r="S256" s="6" t="inlineStr">
        <is>
          <t>—</t>
        </is>
      </c>
      <c r="T256" s="10" t="n">
        <v>277.2</v>
      </c>
      <c r="U256" s="10" t="n"/>
      <c r="V256" s="10" t="n"/>
      <c r="W256" s="10" t="n"/>
      <c r="X256" s="10" t="n">
        <v>12.56</v>
      </c>
      <c r="Y256" s="10" t="n">
        <v>40.76</v>
      </c>
      <c r="Z256" s="11" t="n">
        <v>3.25</v>
      </c>
      <c r="AA256" s="12" t="inlineStr">
        <is>
          <t>Transplanting (Pindot) — optimal for clay-loam paddy fields</t>
        </is>
      </c>
      <c r="AB256" s="12" t="inlineStr">
        <is>
          <t>Wet Tillage (Puddling): 2 plowings + thorough harrowing under flooded condition</t>
        </is>
      </c>
      <c r="AC256" s="12" t="inlineStr">
        <is>
          <t>Continuous flooding 2–5 cm depth during vegetative stage; drain 2 weeks before harvest</t>
        </is>
      </c>
    </row>
    <row r="257" ht="21.75" customHeight="1" s="101">
      <c r="A257" s="13" t="inlineStr">
        <is>
          <t>Palay</t>
        </is>
      </c>
      <c r="B257" s="13" t="inlineStr">
        <is>
          <t>Camanggaan</t>
        </is>
      </c>
      <c r="C257" s="13" t="inlineStr">
        <is>
          <t>May</t>
        </is>
      </c>
      <c r="D257" s="13" t="inlineStr">
        <is>
          <t>2020</t>
        </is>
      </c>
      <c r="E257" s="13" t="inlineStr">
        <is>
          <t>DS 2020</t>
        </is>
      </c>
      <c r="F257" s="13" t="inlineStr">
        <is>
          <t>Harvest</t>
        </is>
      </c>
      <c r="G257" s="7" t="n">
        <v>4.18</v>
      </c>
      <c r="H257" s="8" t="n">
        <v>29.28</v>
      </c>
      <c r="I257" s="8" t="n">
        <v>22.18</v>
      </c>
      <c r="J257" s="8" t="n">
        <v>38.38</v>
      </c>
      <c r="K257" s="8" t="n">
        <v>71.22</v>
      </c>
      <c r="L257" s="8" t="n">
        <v>98.29000000000001</v>
      </c>
      <c r="M257" s="8" t="n">
        <v>24.03</v>
      </c>
      <c r="N257" s="13" t="inlineStr">
        <is>
          <t>Type I – Tropical Monsoon (PAGASA)</t>
        </is>
      </c>
      <c r="O257" s="13" t="inlineStr">
        <is>
          <t>Wet</t>
        </is>
      </c>
      <c r="P257" s="13" t="inlineStr">
        <is>
          <t>Sandy Loam</t>
        </is>
      </c>
      <c r="Q257" s="13" t="inlineStr">
        <is>
          <t>Flat / Lowland</t>
        </is>
      </c>
      <c r="R257" s="14" t="n">
        <v>30</v>
      </c>
      <c r="S257" s="13" t="inlineStr">
        <is>
          <t>—</t>
        </is>
      </c>
      <c r="T257" s="15" t="n">
        <v>244.44</v>
      </c>
      <c r="U257" s="15" t="n"/>
      <c r="V257" s="15" t="n"/>
      <c r="W257" s="15" t="n"/>
      <c r="X257" s="15" t="n">
        <v>5.46</v>
      </c>
      <c r="Y257" s="15" t="n">
        <v>13.5</v>
      </c>
      <c r="Z257" s="16" t="n">
        <v>2.47</v>
      </c>
      <c r="AA257" s="17" t="inlineStr">
        <is>
          <t>Transplanting (Pindot) or Direct Seeding (Pinaghandaan)</t>
        </is>
      </c>
      <c r="AB257" s="17" t="inlineStr">
        <is>
          <t>Conventional Tillage: 2 plowings + 2 harrowings; soil workable when moist</t>
        </is>
      </c>
      <c r="AC257" s="17" t="inlineStr">
        <is>
          <t>Intermittent irrigation (Alternate Wetting and Drying — AWD); moderate retention</t>
        </is>
      </c>
    </row>
    <row r="258" ht="21.75" customHeight="1" s="101">
      <c r="A258" s="6" t="inlineStr">
        <is>
          <t>Palay</t>
        </is>
      </c>
      <c r="B258" s="6" t="inlineStr">
        <is>
          <t>Sta. Catalina</t>
        </is>
      </c>
      <c r="C258" s="6" t="inlineStr">
        <is>
          <t>May</t>
        </is>
      </c>
      <c r="D258" s="6" t="inlineStr">
        <is>
          <t>2020</t>
        </is>
      </c>
      <c r="E258" s="6" t="inlineStr">
        <is>
          <t>DS 2020</t>
        </is>
      </c>
      <c r="F258" s="6" t="inlineStr">
        <is>
          <t>Harvest</t>
        </is>
      </c>
      <c r="G258" s="7" t="n">
        <v>4.18</v>
      </c>
      <c r="H258" s="8" t="n">
        <v>29.28</v>
      </c>
      <c r="I258" s="8" t="n">
        <v>22.18</v>
      </c>
      <c r="J258" s="8" t="n">
        <v>38.38</v>
      </c>
      <c r="K258" s="8" t="n">
        <v>71.22</v>
      </c>
      <c r="L258" s="8" t="n">
        <v>98.29000000000001</v>
      </c>
      <c r="M258" s="8" t="n">
        <v>24.03</v>
      </c>
      <c r="N258" s="6" t="inlineStr">
        <is>
          <t>Type I – Tropical Monsoon (PAGASA)</t>
        </is>
      </c>
      <c r="O258" s="6" t="inlineStr">
        <is>
          <t>Wet</t>
        </is>
      </c>
      <c r="P258" s="6" t="inlineStr">
        <is>
          <t>Fine Sand / Sandy Loam</t>
        </is>
      </c>
      <c r="Q258" s="6" t="inlineStr">
        <is>
          <t>Moderately Sloping / Highland</t>
        </is>
      </c>
      <c r="R258" s="9" t="n">
        <v>90</v>
      </c>
      <c r="S258" s="6" t="inlineStr">
        <is>
          <t>—</t>
        </is>
      </c>
      <c r="T258" s="10" t="n">
        <v>709.8</v>
      </c>
      <c r="U258" s="10" t="n"/>
      <c r="V258" s="10" t="n"/>
      <c r="W258" s="10" t="n"/>
      <c r="X258" s="10" t="n">
        <v>3.19</v>
      </c>
      <c r="Y258" s="10" t="n">
        <v>25.52</v>
      </c>
      <c r="Z258" s="11" t="n">
        <v>8</v>
      </c>
      <c r="AA258" s="12" t="inlineStr">
        <is>
          <t>Transplanting (Pindot)</t>
        </is>
      </c>
      <c r="AB258" s="12" t="inlineStr">
        <is>
          <t>Minimum Tillage (avoid compaction; sandy structure fragile)</t>
        </is>
      </c>
      <c r="AC258" s="12" t="inlineStr">
        <is>
          <t>Continuous flooding or frequent irrigation; high percolation risk; terrace or bund-assisted water retention essential on slopes</t>
        </is>
      </c>
    </row>
    <row r="259" ht="21.75" customHeight="1" s="101">
      <c r="A259" s="13" t="inlineStr">
        <is>
          <t>Palay</t>
        </is>
      </c>
      <c r="B259" s="13" t="inlineStr">
        <is>
          <t>Sumabnit</t>
        </is>
      </c>
      <c r="C259" s="13" t="inlineStr">
        <is>
          <t>May</t>
        </is>
      </c>
      <c r="D259" s="13" t="inlineStr">
        <is>
          <t>2020</t>
        </is>
      </c>
      <c r="E259" s="13" t="inlineStr">
        <is>
          <t>DS 2020</t>
        </is>
      </c>
      <c r="F259" s="13" t="inlineStr">
        <is>
          <t>Harvest</t>
        </is>
      </c>
      <c r="G259" s="7" t="n">
        <v>4.18</v>
      </c>
      <c r="H259" s="8" t="n">
        <v>29.28</v>
      </c>
      <c r="I259" s="8" t="n">
        <v>22.18</v>
      </c>
      <c r="J259" s="8" t="n">
        <v>38.38</v>
      </c>
      <c r="K259" s="8" t="n">
        <v>71.22</v>
      </c>
      <c r="L259" s="8" t="n">
        <v>98.29000000000001</v>
      </c>
      <c r="M259" s="8" t="n">
        <v>24.03</v>
      </c>
      <c r="N259" s="13" t="inlineStr">
        <is>
          <t>Type I – Tropical Monsoon (PAGASA)</t>
        </is>
      </c>
      <c r="O259" s="13" t="inlineStr">
        <is>
          <t>Wet</t>
        </is>
      </c>
      <c r="P259" s="13" t="inlineStr">
        <is>
          <t>Silty Clay Loam / Fine Sandy Loam</t>
        </is>
      </c>
      <c r="Q259" s="13" t="inlineStr">
        <is>
          <t>Flat / Lowland</t>
        </is>
      </c>
      <c r="R259" s="14" t="n">
        <v>30</v>
      </c>
      <c r="S259" s="13" t="inlineStr">
        <is>
          <t>Tagamusing River</t>
        </is>
      </c>
      <c r="T259" s="15" t="n">
        <v>406.56</v>
      </c>
      <c r="U259" s="15" t="n"/>
      <c r="V259" s="15" t="n"/>
      <c r="W259" s="15" t="n"/>
      <c r="X259" s="15" t="n">
        <v>19.73</v>
      </c>
      <c r="Y259" s="15" t="n">
        <v>102.68</v>
      </c>
      <c r="Z259" s="16" t="n">
        <v>5.2</v>
      </c>
      <c r="AA259" s="17" t="inlineStr">
        <is>
          <t>Transplanting (Pindot)</t>
        </is>
      </c>
      <c r="AB259" s="17" t="inlineStr">
        <is>
          <t>Minimum Tillage (avoid compaction; sandy structure fragile)</t>
        </is>
      </c>
      <c r="AC259" s="17" t="inlineStr">
        <is>
          <t>Continuous flooding or frequent irrigation; high percolation risk</t>
        </is>
      </c>
    </row>
    <row r="260" ht="21.75" customHeight="1" s="101">
      <c r="A260" s="6" t="inlineStr">
        <is>
          <t>Palay</t>
        </is>
      </c>
      <c r="B260" s="6" t="inlineStr">
        <is>
          <t>Capas</t>
        </is>
      </c>
      <c r="C260" s="6" t="inlineStr">
        <is>
          <t>May</t>
        </is>
      </c>
      <c r="D260" s="6" t="inlineStr">
        <is>
          <t>2020</t>
        </is>
      </c>
      <c r="E260" s="6" t="inlineStr">
        <is>
          <t>DS 2020</t>
        </is>
      </c>
      <c r="F260" s="6" t="inlineStr">
        <is>
          <t>Harvest</t>
        </is>
      </c>
      <c r="G260" s="7" t="n">
        <v>4.18</v>
      </c>
      <c r="H260" s="8" t="n">
        <v>29.28</v>
      </c>
      <c r="I260" s="8" t="n">
        <v>22.18</v>
      </c>
      <c r="J260" s="8" t="n">
        <v>38.38</v>
      </c>
      <c r="K260" s="8" t="n">
        <v>71.22</v>
      </c>
      <c r="L260" s="8" t="n">
        <v>98.29000000000001</v>
      </c>
      <c r="M260" s="8" t="n">
        <v>24.03</v>
      </c>
      <c r="N260" s="6" t="inlineStr">
        <is>
          <t>Type I – Tropical Monsoon (PAGASA)</t>
        </is>
      </c>
      <c r="O260" s="6" t="inlineStr">
        <is>
          <t>Wet</t>
        </is>
      </c>
      <c r="P260" s="6" t="inlineStr">
        <is>
          <t>Sandy Loam</t>
        </is>
      </c>
      <c r="Q260" s="6" t="inlineStr">
        <is>
          <t>Flat / Lowland</t>
        </is>
      </c>
      <c r="R260" s="9" t="n">
        <v>30</v>
      </c>
      <c r="S260" s="6" t="inlineStr">
        <is>
          <t>—</t>
        </is>
      </c>
      <c r="T260" s="10" t="n">
        <v>377.16</v>
      </c>
      <c r="U260" s="10" t="n"/>
      <c r="V260" s="10" t="n"/>
      <c r="W260" s="10" t="n"/>
      <c r="X260" s="10" t="n">
        <v>7.87</v>
      </c>
      <c r="Y260" s="10" t="n">
        <v>62.96</v>
      </c>
      <c r="Z260" s="11" t="n">
        <v>8</v>
      </c>
      <c r="AA260" s="12" t="inlineStr">
        <is>
          <t>Transplanting (Pindot) or Direct Seeding (Pinaghandaan)</t>
        </is>
      </c>
      <c r="AB260" s="12" t="inlineStr">
        <is>
          <t>Conventional Tillage: 2 plowings + 2 harrowings; soil workable when moist</t>
        </is>
      </c>
      <c r="AC260" s="12" t="inlineStr">
        <is>
          <t>Intermittent irrigation (Alternate Wetting and Drying — AWD); moderate retention</t>
        </is>
      </c>
    </row>
    <row r="261" ht="21.75" customHeight="1" s="101">
      <c r="A261" s="13" t="inlineStr">
        <is>
          <t>Palay</t>
        </is>
      </c>
      <c r="B261" s="13" t="inlineStr">
        <is>
          <t>Mangkasuy</t>
        </is>
      </c>
      <c r="C261" s="13" t="inlineStr">
        <is>
          <t>May</t>
        </is>
      </c>
      <c r="D261" s="13" t="inlineStr">
        <is>
          <t>2020</t>
        </is>
      </c>
      <c r="E261" s="13" t="inlineStr">
        <is>
          <t>DS 2020</t>
        </is>
      </c>
      <c r="F261" s="13" t="inlineStr">
        <is>
          <t>Harvest</t>
        </is>
      </c>
      <c r="G261" s="7" t="n">
        <v>4.18</v>
      </c>
      <c r="H261" s="8" t="n">
        <v>29.28</v>
      </c>
      <c r="I261" s="8" t="n">
        <v>22.18</v>
      </c>
      <c r="J261" s="8" t="n">
        <v>38.38</v>
      </c>
      <c r="K261" s="8" t="n">
        <v>71.22</v>
      </c>
      <c r="L261" s="8" t="n">
        <v>98.29000000000001</v>
      </c>
      <c r="M261" s="8" t="n">
        <v>24.03</v>
      </c>
      <c r="N261" s="13" t="inlineStr">
        <is>
          <t>Type I – Tropical Monsoon (PAGASA)</t>
        </is>
      </c>
      <c r="O261" s="13" t="inlineStr">
        <is>
          <t>Wet</t>
        </is>
      </c>
      <c r="P261" s="13" t="inlineStr">
        <is>
          <t>Sandy Loam</t>
        </is>
      </c>
      <c r="Q261" s="13" t="inlineStr">
        <is>
          <t>Flat / Lowland</t>
        </is>
      </c>
      <c r="R261" s="14" t="n">
        <v>30</v>
      </c>
      <c r="S261" s="13" t="inlineStr">
        <is>
          <t>Tagamusing River</t>
        </is>
      </c>
      <c r="T261" s="15" t="n">
        <v>802.2</v>
      </c>
      <c r="U261" s="15" t="n"/>
      <c r="V261" s="15" t="n"/>
      <c r="W261" s="15" t="n"/>
      <c r="X261" s="15" t="n">
        <v>43.32</v>
      </c>
      <c r="Y261" s="15" t="n">
        <v>110.05</v>
      </c>
      <c r="Z261" s="16" t="n">
        <v>2.54</v>
      </c>
      <c r="AA261" s="17" t="inlineStr">
        <is>
          <t>Transplanting (Pindot) or Direct Seeding (Pinaghandaan)</t>
        </is>
      </c>
      <c r="AB261" s="17" t="inlineStr">
        <is>
          <t>Conventional Tillage: 2 plowings + 2 harrowings; soil workable when moist</t>
        </is>
      </c>
      <c r="AC261" s="17" t="inlineStr">
        <is>
          <t>Intermittent irrigation (Alternate Wetting and Drying — AWD); moderate retention</t>
        </is>
      </c>
    </row>
    <row r="262" ht="21.75" customHeight="1" s="101">
      <c r="A262" s="6" t="inlineStr">
        <is>
          <t>Palay</t>
        </is>
      </c>
      <c r="B262" s="6" t="inlineStr">
        <is>
          <t>San Pablo</t>
        </is>
      </c>
      <c r="C262" s="6" t="inlineStr">
        <is>
          <t>May</t>
        </is>
      </c>
      <c r="D262" s="6" t="inlineStr">
        <is>
          <t>2020</t>
        </is>
      </c>
      <c r="E262" s="6" t="inlineStr">
        <is>
          <t>DS 2020</t>
        </is>
      </c>
      <c r="F262" s="6" t="inlineStr">
        <is>
          <t>Harvest</t>
        </is>
      </c>
      <c r="G262" s="7" t="n">
        <v>4.18</v>
      </c>
      <c r="H262" s="8" t="n">
        <v>29.28</v>
      </c>
      <c r="I262" s="8" t="n">
        <v>22.18</v>
      </c>
      <c r="J262" s="8" t="n">
        <v>38.38</v>
      </c>
      <c r="K262" s="8" t="n">
        <v>71.22</v>
      </c>
      <c r="L262" s="8" t="n">
        <v>98.29000000000001</v>
      </c>
      <c r="M262" s="8" t="n">
        <v>24.03</v>
      </c>
      <c r="N262" s="6" t="inlineStr">
        <is>
          <t>Type I – Tropical Monsoon (PAGASA)</t>
        </is>
      </c>
      <c r="O262" s="6" t="inlineStr">
        <is>
          <t>Wet</t>
        </is>
      </c>
      <c r="P262" s="6" t="inlineStr">
        <is>
          <t>Sandy Loam</t>
        </is>
      </c>
      <c r="Q262" s="6" t="inlineStr">
        <is>
          <t>Flat / Lowland</t>
        </is>
      </c>
      <c r="R262" s="9" t="n">
        <v>30</v>
      </c>
      <c r="S262" s="6" t="inlineStr">
        <is>
          <t>San Pablo Creek</t>
        </is>
      </c>
      <c r="T262" s="10" t="n">
        <v>215.04</v>
      </c>
      <c r="U262" s="10" t="n"/>
      <c r="V262" s="10" t="n"/>
      <c r="W262" s="10" t="n"/>
      <c r="X262" s="10" t="n">
        <v>8.35</v>
      </c>
      <c r="Y262" s="10" t="n">
        <v>66.8</v>
      </c>
      <c r="Z262" s="11" t="n">
        <v>8</v>
      </c>
      <c r="AA262" s="12" t="inlineStr">
        <is>
          <t>Transplanting (Pindot) or Direct Seeding (Pinaghandaan)</t>
        </is>
      </c>
      <c r="AB262" s="12" t="inlineStr">
        <is>
          <t>Conventional Tillage: 2 plowings + 2 harrowings; soil workable when moist</t>
        </is>
      </c>
      <c r="AC262" s="12" t="inlineStr">
        <is>
          <t>Intermittent irrigation (Alternate Wetting and Drying — AWD); moderate retention</t>
        </is>
      </c>
    </row>
    <row r="263" ht="21.75" customHeight="1" s="101">
      <c r="A263" s="13" t="inlineStr">
        <is>
          <t>Palay</t>
        </is>
      </c>
      <c r="B263" s="13" t="inlineStr">
        <is>
          <t>Balangobong</t>
        </is>
      </c>
      <c r="C263" s="13" t="inlineStr">
        <is>
          <t>May</t>
        </is>
      </c>
      <c r="D263" s="13" t="inlineStr">
        <is>
          <t>2020</t>
        </is>
      </c>
      <c r="E263" s="13" t="inlineStr">
        <is>
          <t>DS 2020</t>
        </is>
      </c>
      <c r="F263" s="13" t="inlineStr">
        <is>
          <t>Harvest</t>
        </is>
      </c>
      <c r="G263" s="7" t="n">
        <v>4.18</v>
      </c>
      <c r="H263" s="8" t="n">
        <v>29.28</v>
      </c>
      <c r="I263" s="8" t="n">
        <v>22.18</v>
      </c>
      <c r="J263" s="8" t="n">
        <v>38.38</v>
      </c>
      <c r="K263" s="8" t="n">
        <v>71.22</v>
      </c>
      <c r="L263" s="8" t="n">
        <v>98.29000000000001</v>
      </c>
      <c r="M263" s="8" t="n">
        <v>24.03</v>
      </c>
      <c r="N263" s="13" t="inlineStr">
        <is>
          <t>Type I – Tropical Monsoon (PAGASA)</t>
        </is>
      </c>
      <c r="O263" s="13" t="inlineStr">
        <is>
          <t>Wet</t>
        </is>
      </c>
      <c r="P263" s="13" t="inlineStr">
        <is>
          <t>Silty Clay Loam</t>
        </is>
      </c>
      <c r="Q263" s="13" t="inlineStr">
        <is>
          <t>Flat / Lowland</t>
        </is>
      </c>
      <c r="R263" s="14" t="n">
        <v>30</v>
      </c>
      <c r="S263" s="13" t="inlineStr">
        <is>
          <t>—</t>
        </is>
      </c>
      <c r="T263" s="15" t="n">
        <v>281.4</v>
      </c>
      <c r="U263" s="15" t="n"/>
      <c r="V263" s="15" t="n"/>
      <c r="W263" s="15" t="n"/>
      <c r="X263" s="15" t="n">
        <v>8.220000000000001</v>
      </c>
      <c r="Y263" s="15" t="n">
        <v>65.76000000000001</v>
      </c>
      <c r="Z263" s="16" t="n">
        <v>8</v>
      </c>
      <c r="AA263" s="17" t="inlineStr">
        <is>
          <t>Transplanting (Pindot) — optimal for clay-loam paddy fields</t>
        </is>
      </c>
      <c r="AB263" s="17" t="inlineStr">
        <is>
          <t>Wet Tillage (Puddling): 2 plowings + thorough harrowing under flooded condition</t>
        </is>
      </c>
      <c r="AC263" s="17" t="inlineStr">
        <is>
          <t>Continuous flooding 2–5 cm depth during vegetative stage; drain 2 weeks before harvest</t>
        </is>
      </c>
    </row>
    <row r="264" ht="21.75" customHeight="1" s="101">
      <c r="A264" s="6" t="inlineStr">
        <is>
          <t>Palay</t>
        </is>
      </c>
      <c r="B264" s="6" t="inlineStr">
        <is>
          <t>San Felipe Central</t>
        </is>
      </c>
      <c r="C264" s="6" t="inlineStr">
        <is>
          <t>May</t>
        </is>
      </c>
      <c r="D264" s="6" t="inlineStr">
        <is>
          <t>2020</t>
        </is>
      </c>
      <c r="E264" s="6" t="inlineStr">
        <is>
          <t>DS 2020</t>
        </is>
      </c>
      <c r="F264" s="6" t="inlineStr">
        <is>
          <t>Harvest</t>
        </is>
      </c>
      <c r="G264" s="7" t="n">
        <v>4.18</v>
      </c>
      <c r="H264" s="8" t="n">
        <v>29.28</v>
      </c>
      <c r="I264" s="8" t="n">
        <v>22.18</v>
      </c>
      <c r="J264" s="8" t="n">
        <v>38.38</v>
      </c>
      <c r="K264" s="8" t="n">
        <v>71.22</v>
      </c>
      <c r="L264" s="8" t="n">
        <v>98.29000000000001</v>
      </c>
      <c r="M264" s="8" t="n">
        <v>24.03</v>
      </c>
      <c r="N264" s="6" t="inlineStr">
        <is>
          <t>Type I – Tropical Monsoon (PAGASA)</t>
        </is>
      </c>
      <c r="O264" s="6" t="inlineStr">
        <is>
          <t>Wet</t>
        </is>
      </c>
      <c r="P264" s="6" t="inlineStr">
        <is>
          <t>Sandy Loam</t>
        </is>
      </c>
      <c r="Q264" s="6" t="inlineStr">
        <is>
          <t>Flat / Lowland</t>
        </is>
      </c>
      <c r="R264" s="9" t="n">
        <v>30</v>
      </c>
      <c r="S264" s="6" t="inlineStr">
        <is>
          <t>—</t>
        </is>
      </c>
      <c r="T264" s="10" t="n">
        <v>452.76</v>
      </c>
      <c r="U264" s="10" t="n"/>
      <c r="V264" s="10" t="n"/>
      <c r="W264" s="10" t="n"/>
      <c r="X264" s="10" t="n">
        <v>5.06</v>
      </c>
      <c r="Y264" s="10" t="n">
        <v>23.91</v>
      </c>
      <c r="Z264" s="11" t="n">
        <v>4.73</v>
      </c>
      <c r="AA264" s="12" t="inlineStr">
        <is>
          <t>Transplanting (Pindot) or Direct Seeding (Pinaghandaan)</t>
        </is>
      </c>
      <c r="AB264" s="12" t="inlineStr">
        <is>
          <t>Conventional Tillage: 2 plowings + 2 harrowings; soil workable when moist</t>
        </is>
      </c>
      <c r="AC264" s="12" t="inlineStr">
        <is>
          <t>Intermittent irrigation (Alternate Wetting and Drying — AWD); moderate retention</t>
        </is>
      </c>
    </row>
    <row r="265" ht="21.75" customHeight="1" s="101">
      <c r="A265" s="13" t="inlineStr">
        <is>
          <t>Palay</t>
        </is>
      </c>
      <c r="B265" s="13" t="inlineStr">
        <is>
          <t>San Felipe Sur</t>
        </is>
      </c>
      <c r="C265" s="13" t="inlineStr">
        <is>
          <t>May</t>
        </is>
      </c>
      <c r="D265" s="13" t="inlineStr">
        <is>
          <t>2020</t>
        </is>
      </c>
      <c r="E265" s="13" t="inlineStr">
        <is>
          <t>DS 2020</t>
        </is>
      </c>
      <c r="F265" s="13" t="inlineStr">
        <is>
          <t>Harvest</t>
        </is>
      </c>
      <c r="G265" s="7" t="n">
        <v>4.18</v>
      </c>
      <c r="H265" s="8" t="n">
        <v>29.28</v>
      </c>
      <c r="I265" s="8" t="n">
        <v>22.18</v>
      </c>
      <c r="J265" s="8" t="n">
        <v>38.38</v>
      </c>
      <c r="K265" s="8" t="n">
        <v>71.22</v>
      </c>
      <c r="L265" s="8" t="n">
        <v>98.29000000000001</v>
      </c>
      <c r="M265" s="8" t="n">
        <v>24.03</v>
      </c>
      <c r="N265" s="13" t="inlineStr">
        <is>
          <t>Type I – Tropical Monsoon (PAGASA)</t>
        </is>
      </c>
      <c r="O265" s="13" t="inlineStr">
        <is>
          <t>Wet</t>
        </is>
      </c>
      <c r="P265" s="13" t="inlineStr">
        <is>
          <t>Sandy Loam</t>
        </is>
      </c>
      <c r="Q265" s="13" t="inlineStr">
        <is>
          <t>Flat / Lowland</t>
        </is>
      </c>
      <c r="R265" s="14" t="n">
        <v>30</v>
      </c>
      <c r="S265" s="13" t="inlineStr">
        <is>
          <t>Tagamusing River</t>
        </is>
      </c>
      <c r="T265" s="15" t="n">
        <v>504</v>
      </c>
      <c r="U265" s="15" t="n"/>
      <c r="V265" s="15" t="n"/>
      <c r="W265" s="15" t="n"/>
      <c r="X265" s="15" t="n">
        <v>6.05</v>
      </c>
      <c r="Y265" s="15" t="n">
        <v>48.4</v>
      </c>
      <c r="Z265" s="16" t="n">
        <v>8</v>
      </c>
      <c r="AA265" s="17" t="inlineStr">
        <is>
          <t>Transplanting (Pindot) or Direct Seeding (Pinaghandaan)</t>
        </is>
      </c>
      <c r="AB265" s="17" t="inlineStr">
        <is>
          <t>Conventional Tillage: 2 plowings + 2 harrowings; soil workable when moist</t>
        </is>
      </c>
      <c r="AC265" s="17" t="inlineStr">
        <is>
          <t>Intermittent irrigation (Alternate Wetting and Drying — AWD); moderate retention</t>
        </is>
      </c>
    </row>
    <row r="266" ht="21.75" customHeight="1" s="101">
      <c r="A266" s="6" t="inlineStr">
        <is>
          <t>Palay</t>
        </is>
      </c>
      <c r="B266" s="6" t="inlineStr">
        <is>
          <t>Pasileng Sur</t>
        </is>
      </c>
      <c r="C266" s="6" t="inlineStr">
        <is>
          <t>May</t>
        </is>
      </c>
      <c r="D266" s="6" t="inlineStr">
        <is>
          <t>2020</t>
        </is>
      </c>
      <c r="E266" s="6" t="inlineStr">
        <is>
          <t>DS 2020</t>
        </is>
      </c>
      <c r="F266" s="6" t="inlineStr">
        <is>
          <t>Harvest</t>
        </is>
      </c>
      <c r="G266" s="7" t="n">
        <v>4.18</v>
      </c>
      <c r="H266" s="8" t="n">
        <v>29.28</v>
      </c>
      <c r="I266" s="8" t="n">
        <v>22.18</v>
      </c>
      <c r="J266" s="8" t="n">
        <v>38.38</v>
      </c>
      <c r="K266" s="8" t="n">
        <v>71.22</v>
      </c>
      <c r="L266" s="8" t="n">
        <v>98.29000000000001</v>
      </c>
      <c r="M266" s="8" t="n">
        <v>24.03</v>
      </c>
      <c r="N266" s="6" t="inlineStr">
        <is>
          <t>Type I – Tropical Monsoon (PAGASA)</t>
        </is>
      </c>
      <c r="O266" s="6" t="inlineStr">
        <is>
          <t>Wet</t>
        </is>
      </c>
      <c r="P266" s="6" t="inlineStr">
        <is>
          <t>Sandy Loam</t>
        </is>
      </c>
      <c r="Q266" s="6" t="inlineStr">
        <is>
          <t>Flat / Lowland</t>
        </is>
      </c>
      <c r="R266" s="9" t="n">
        <v>30</v>
      </c>
      <c r="S266" s="6" t="inlineStr">
        <is>
          <t>Tagamusing River</t>
        </is>
      </c>
      <c r="T266" s="10" t="n">
        <v>414.96</v>
      </c>
      <c r="U266" s="10" t="n"/>
      <c r="V266" s="10" t="n"/>
      <c r="W266" s="10" t="n"/>
      <c r="X266" s="10" t="n">
        <v>6.89</v>
      </c>
      <c r="Y266" s="10" t="n">
        <v>30.26</v>
      </c>
      <c r="Z266" s="11" t="n">
        <v>4.39</v>
      </c>
      <c r="AA266" s="12" t="inlineStr">
        <is>
          <t>Transplanting (Pindot) or Direct Seeding (Pinaghandaan)</t>
        </is>
      </c>
      <c r="AB266" s="12" t="inlineStr">
        <is>
          <t>Conventional Tillage: 2 plowings + 2 harrowings; soil workable when moist</t>
        </is>
      </c>
      <c r="AC266" s="12" t="inlineStr">
        <is>
          <t>Intermittent irrigation (Alternate Wetting and Drying — AWD); moderate retention</t>
        </is>
      </c>
    </row>
    <row r="267" ht="21.75" customHeight="1" s="101">
      <c r="A267" s="13" t="inlineStr">
        <is>
          <t>Palay</t>
        </is>
      </c>
      <c r="B267" s="13" t="inlineStr">
        <is>
          <t>Bugayong</t>
        </is>
      </c>
      <c r="C267" s="13" t="inlineStr">
        <is>
          <t>May</t>
        </is>
      </c>
      <c r="D267" s="13" t="inlineStr">
        <is>
          <t>2020</t>
        </is>
      </c>
      <c r="E267" s="13" t="inlineStr">
        <is>
          <t>DS 2020</t>
        </is>
      </c>
      <c r="F267" s="13" t="inlineStr">
        <is>
          <t>Harvest</t>
        </is>
      </c>
      <c r="G267" s="7" t="n">
        <v>4.18</v>
      </c>
      <c r="H267" s="8" t="n">
        <v>29.28</v>
      </c>
      <c r="I267" s="8" t="n">
        <v>22.18</v>
      </c>
      <c r="J267" s="8" t="n">
        <v>38.38</v>
      </c>
      <c r="K267" s="8" t="n">
        <v>71.22</v>
      </c>
      <c r="L267" s="8" t="n">
        <v>98.29000000000001</v>
      </c>
      <c r="M267" s="8" t="n">
        <v>24.03</v>
      </c>
      <c r="N267" s="13" t="inlineStr">
        <is>
          <t>Type I – Tropical Monsoon (PAGASA)</t>
        </is>
      </c>
      <c r="O267" s="13" t="inlineStr">
        <is>
          <t>Wet</t>
        </is>
      </c>
      <c r="P267" s="13" t="inlineStr">
        <is>
          <t>Sandy Loam / Silty Clay Loam</t>
        </is>
      </c>
      <c r="Q267" s="13" t="inlineStr">
        <is>
          <t>Flat / Lowland</t>
        </is>
      </c>
      <c r="R267" s="14" t="n">
        <v>30</v>
      </c>
      <c r="S267" s="13" t="inlineStr">
        <is>
          <t>Aloragat River</t>
        </is>
      </c>
      <c r="T267" s="15" t="n">
        <v>346.08</v>
      </c>
      <c r="U267" s="15" t="n"/>
      <c r="V267" s="15" t="n"/>
      <c r="W267" s="15" t="n"/>
      <c r="X267" s="15" t="n">
        <v>4.12</v>
      </c>
      <c r="Y267" s="15" t="n">
        <v>16.46</v>
      </c>
      <c r="Z267" s="16" t="n">
        <v>4</v>
      </c>
      <c r="AA267" s="17" t="inlineStr">
        <is>
          <t>Transplanting (Pindot) — recommended; Direct Seeding possible in dry season</t>
        </is>
      </c>
      <c r="AB267" s="17" t="inlineStr">
        <is>
          <t>Conventional Tillage: 2 plowings + harrowing; puddle thoroughly for transplanting</t>
        </is>
      </c>
      <c r="AC267" s="17" t="inlineStr">
        <is>
          <t>Intermittent to continuous flooding; manage according to drainage section present</t>
        </is>
      </c>
    </row>
    <row r="268" ht="21.75" customHeight="1" s="101">
      <c r="A268" s="6" t="inlineStr">
        <is>
          <t>Palay</t>
        </is>
      </c>
      <c r="B268" s="6" t="inlineStr">
        <is>
          <t>Santiago</t>
        </is>
      </c>
      <c r="C268" s="6" t="inlineStr">
        <is>
          <t>May</t>
        </is>
      </c>
      <c r="D268" s="6" t="inlineStr">
        <is>
          <t>2020</t>
        </is>
      </c>
      <c r="E268" s="6" t="inlineStr">
        <is>
          <t>DS 2020</t>
        </is>
      </c>
      <c r="F268" s="6" t="inlineStr">
        <is>
          <t>Harvest</t>
        </is>
      </c>
      <c r="G268" s="7" t="n">
        <v>4.18</v>
      </c>
      <c r="H268" s="8" t="n">
        <v>29.28</v>
      </c>
      <c r="I268" s="8" t="n">
        <v>22.18</v>
      </c>
      <c r="J268" s="8" t="n">
        <v>38.38</v>
      </c>
      <c r="K268" s="8" t="n">
        <v>71.22</v>
      </c>
      <c r="L268" s="8" t="n">
        <v>98.29000000000001</v>
      </c>
      <c r="M268" s="8" t="n">
        <v>24.03</v>
      </c>
      <c r="N268" s="6" t="inlineStr">
        <is>
          <t>Type I – Tropical Monsoon (PAGASA)</t>
        </is>
      </c>
      <c r="O268" s="6" t="inlineStr">
        <is>
          <t>Wet</t>
        </is>
      </c>
      <c r="P268" s="6" t="inlineStr">
        <is>
          <t>Silty Clay Loam</t>
        </is>
      </c>
      <c r="Q268" s="6" t="inlineStr">
        <is>
          <t>Flat / Lowland</t>
        </is>
      </c>
      <c r="R268" s="9" t="n">
        <v>30</v>
      </c>
      <c r="S268" s="6" t="inlineStr">
        <is>
          <t>—</t>
        </is>
      </c>
      <c r="T268" s="10" t="n">
        <v>283.08</v>
      </c>
      <c r="U268" s="10" t="n"/>
      <c r="V268" s="10" t="n"/>
      <c r="W268" s="10" t="n"/>
      <c r="X268" s="10" t="n">
        <v>4.39</v>
      </c>
      <c r="Y268" s="10" t="n">
        <v>31.59</v>
      </c>
      <c r="Z268" s="11" t="n">
        <v>7.2</v>
      </c>
      <c r="AA268" s="12" t="inlineStr">
        <is>
          <t>Transplanting (Pindot) — optimal for clay-loam paddy fields</t>
        </is>
      </c>
      <c r="AB268" s="12" t="inlineStr">
        <is>
          <t>Wet Tillage (Puddling): 2 plowings + thorough harrowing under flooded condition</t>
        </is>
      </c>
      <c r="AC268" s="12" t="inlineStr">
        <is>
          <t>Continuous flooding 2–5 cm depth during vegetative stage; drain 2 weeks before harvest</t>
        </is>
      </c>
    </row>
    <row r="269" ht="21.75" customHeight="1" s="101">
      <c r="A269" s="13" t="inlineStr">
        <is>
          <t>Palay</t>
        </is>
      </c>
      <c r="B269" s="13" t="inlineStr">
        <is>
          <t>Pasileng Norte</t>
        </is>
      </c>
      <c r="C269" s="13" t="inlineStr">
        <is>
          <t>May</t>
        </is>
      </c>
      <c r="D269" s="13" t="inlineStr">
        <is>
          <t>2022</t>
        </is>
      </c>
      <c r="E269" s="13" t="inlineStr">
        <is>
          <t>DS 2022</t>
        </is>
      </c>
      <c r="F269" s="13" t="inlineStr">
        <is>
          <t>Harvest</t>
        </is>
      </c>
      <c r="G269" s="7" t="n">
        <v>7.75</v>
      </c>
      <c r="H269" s="8" t="n">
        <v>28.52</v>
      </c>
      <c r="I269" s="8" t="n">
        <v>22.41</v>
      </c>
      <c r="J269" s="8" t="n">
        <v>37.39</v>
      </c>
      <c r="K269" s="8" t="n">
        <v>76.47</v>
      </c>
      <c r="L269" s="8" t="n">
        <v>98.2</v>
      </c>
      <c r="M269" s="8" t="n">
        <v>21.19</v>
      </c>
      <c r="N269" s="13" t="inlineStr">
        <is>
          <t>Type I – Tropical Monsoon (PAGASA)</t>
        </is>
      </c>
      <c r="O269" s="13" t="inlineStr">
        <is>
          <t>Wet</t>
        </is>
      </c>
      <c r="P269" s="13" t="inlineStr">
        <is>
          <t>Sandy Loam</t>
        </is>
      </c>
      <c r="Q269" s="13" t="inlineStr">
        <is>
          <t>Flat / Lowland</t>
        </is>
      </c>
      <c r="R269" s="14" t="n">
        <v>30</v>
      </c>
      <c r="S269" s="13" t="inlineStr">
        <is>
          <t>Tagamusing River</t>
        </is>
      </c>
      <c r="T269" s="15" t="n">
        <v>140.28</v>
      </c>
      <c r="U269" s="15" t="n"/>
      <c r="V269" s="15" t="n"/>
      <c r="W269" s="15" t="n"/>
      <c r="X269" s="15" t="n">
        <v>75</v>
      </c>
      <c r="Y269" s="15" t="n">
        <v>397.92</v>
      </c>
      <c r="Z269" s="16" t="n">
        <v>5.31</v>
      </c>
      <c r="AA269" s="17" t="inlineStr">
        <is>
          <t>Transplanting (Pindot) or Direct Seeding (Pinaghandaan)</t>
        </is>
      </c>
      <c r="AB269" s="17" t="inlineStr">
        <is>
          <t>Conventional Tillage: 2 plowings + 2 harrowings; soil workable when moist</t>
        </is>
      </c>
      <c r="AC269" s="17" t="inlineStr">
        <is>
          <t>Intermittent irrigation (Alternate Wetting and Drying — AWD); moderate retention</t>
        </is>
      </c>
    </row>
    <row r="270" ht="21.75" customHeight="1" s="101">
      <c r="A270" s="6" t="inlineStr">
        <is>
          <t>Palay</t>
        </is>
      </c>
      <c r="B270" s="6" t="inlineStr">
        <is>
          <t>Tabuyoc</t>
        </is>
      </c>
      <c r="C270" s="6" t="inlineStr">
        <is>
          <t>May</t>
        </is>
      </c>
      <c r="D270" s="6" t="inlineStr">
        <is>
          <t>2022</t>
        </is>
      </c>
      <c r="E270" s="6" t="inlineStr">
        <is>
          <t>DS 2022</t>
        </is>
      </c>
      <c r="F270" s="6" t="inlineStr">
        <is>
          <t>Harvest</t>
        </is>
      </c>
      <c r="G270" s="7" t="n">
        <v>7.75</v>
      </c>
      <c r="H270" s="8" t="n">
        <v>28.52</v>
      </c>
      <c r="I270" s="8" t="n">
        <v>22.41</v>
      </c>
      <c r="J270" s="8" t="n">
        <v>37.39</v>
      </c>
      <c r="K270" s="8" t="n">
        <v>76.47</v>
      </c>
      <c r="L270" s="8" t="n">
        <v>98.2</v>
      </c>
      <c r="M270" s="8" t="n">
        <v>21.19</v>
      </c>
      <c r="N270" s="6" t="inlineStr">
        <is>
          <t>Type I – Tropical Monsoon (PAGASA)</t>
        </is>
      </c>
      <c r="O270" s="6" t="inlineStr">
        <is>
          <t>Wet</t>
        </is>
      </c>
      <c r="P270" s="6" t="inlineStr">
        <is>
          <t>Silty Clay Loam</t>
        </is>
      </c>
      <c r="Q270" s="6" t="inlineStr">
        <is>
          <t>Flat / Lowland</t>
        </is>
      </c>
      <c r="R270" s="9" t="n">
        <v>30</v>
      </c>
      <c r="S270" s="6" t="inlineStr">
        <is>
          <t>—</t>
        </is>
      </c>
      <c r="T270" s="10" t="n">
        <v>277.2</v>
      </c>
      <c r="U270" s="10" t="n"/>
      <c r="V270" s="10" t="n"/>
      <c r="W270" s="10" t="n"/>
      <c r="X270" s="10" t="n">
        <v>130</v>
      </c>
      <c r="Y270" s="10" t="n">
        <v>724.9400000000001</v>
      </c>
      <c r="Z270" s="11" t="n">
        <v>5.58</v>
      </c>
      <c r="AA270" s="12" t="inlineStr">
        <is>
          <t>Transplanting (Pindot) — optimal for clay-loam paddy fields</t>
        </is>
      </c>
      <c r="AB270" s="12" t="inlineStr">
        <is>
          <t>Wet Tillage (Puddling): 2 plowings + thorough harrowing under flooded condition</t>
        </is>
      </c>
      <c r="AC270" s="12" t="inlineStr">
        <is>
          <t>Continuous flooding 2–5 cm depth during vegetative stage; drain 2 weeks before harvest</t>
        </is>
      </c>
    </row>
    <row r="271" ht="21.75" customHeight="1" s="101">
      <c r="A271" s="13" t="inlineStr">
        <is>
          <t>Palay</t>
        </is>
      </c>
      <c r="B271" s="13" t="inlineStr">
        <is>
          <t>Camanggaan</t>
        </is>
      </c>
      <c r="C271" s="13" t="inlineStr">
        <is>
          <t>May</t>
        </is>
      </c>
      <c r="D271" s="13" t="inlineStr">
        <is>
          <t>2022</t>
        </is>
      </c>
      <c r="E271" s="13" t="inlineStr">
        <is>
          <t>DS 2022</t>
        </is>
      </c>
      <c r="F271" s="13" t="inlineStr">
        <is>
          <t>Harvest</t>
        </is>
      </c>
      <c r="G271" s="7" t="n">
        <v>7.75</v>
      </c>
      <c r="H271" s="8" t="n">
        <v>28.52</v>
      </c>
      <c r="I271" s="8" t="n">
        <v>22.41</v>
      </c>
      <c r="J271" s="8" t="n">
        <v>37.39</v>
      </c>
      <c r="K271" s="8" t="n">
        <v>76.47</v>
      </c>
      <c r="L271" s="8" t="n">
        <v>98.2</v>
      </c>
      <c r="M271" s="8" t="n">
        <v>21.19</v>
      </c>
      <c r="N271" s="13" t="inlineStr">
        <is>
          <t>Type I – Tropical Monsoon (PAGASA)</t>
        </is>
      </c>
      <c r="O271" s="13" t="inlineStr">
        <is>
          <t>Wet</t>
        </is>
      </c>
      <c r="P271" s="13" t="inlineStr">
        <is>
          <t>Sandy Loam</t>
        </is>
      </c>
      <c r="Q271" s="13" t="inlineStr">
        <is>
          <t>Flat / Lowland</t>
        </is>
      </c>
      <c r="R271" s="14" t="n">
        <v>30</v>
      </c>
      <c r="S271" s="13" t="inlineStr">
        <is>
          <t>—</t>
        </is>
      </c>
      <c r="T271" s="15" t="n">
        <v>244.44</v>
      </c>
      <c r="U271" s="15" t="n"/>
      <c r="V271" s="15" t="n"/>
      <c r="W271" s="15" t="n"/>
      <c r="X271" s="15" t="n">
        <v>9.66</v>
      </c>
      <c r="Y271" s="15" t="n">
        <v>23.18</v>
      </c>
      <c r="Z271" s="16" t="n">
        <v>2.4</v>
      </c>
      <c r="AA271" s="17" t="inlineStr">
        <is>
          <t>Transplanting (Pindot) or Direct Seeding (Pinaghandaan)</t>
        </is>
      </c>
      <c r="AB271" s="17" t="inlineStr">
        <is>
          <t>Conventional Tillage: 2 plowings + 2 harrowings; soil workable when moist</t>
        </is>
      </c>
      <c r="AC271" s="17" t="inlineStr">
        <is>
          <t>Intermittent irrigation (Alternate Wetting and Drying — AWD); moderate retention</t>
        </is>
      </c>
    </row>
    <row r="272" ht="21.75" customHeight="1" s="101">
      <c r="A272" s="6" t="inlineStr">
        <is>
          <t>Palay</t>
        </is>
      </c>
      <c r="B272" s="6" t="inlineStr">
        <is>
          <t>Sta. Catalina</t>
        </is>
      </c>
      <c r="C272" s="6" t="inlineStr">
        <is>
          <t>May</t>
        </is>
      </c>
      <c r="D272" s="6" t="inlineStr">
        <is>
          <t>2022</t>
        </is>
      </c>
      <c r="E272" s="6" t="inlineStr">
        <is>
          <t>DS 2022</t>
        </is>
      </c>
      <c r="F272" s="6" t="inlineStr">
        <is>
          <t>Harvest</t>
        </is>
      </c>
      <c r="G272" s="7" t="n">
        <v>7.75</v>
      </c>
      <c r="H272" s="8" t="n">
        <v>28.52</v>
      </c>
      <c r="I272" s="8" t="n">
        <v>22.41</v>
      </c>
      <c r="J272" s="8" t="n">
        <v>37.39</v>
      </c>
      <c r="K272" s="8" t="n">
        <v>76.47</v>
      </c>
      <c r="L272" s="8" t="n">
        <v>98.2</v>
      </c>
      <c r="M272" s="8" t="n">
        <v>21.19</v>
      </c>
      <c r="N272" s="6" t="inlineStr">
        <is>
          <t>Type I – Tropical Monsoon (PAGASA)</t>
        </is>
      </c>
      <c r="O272" s="6" t="inlineStr">
        <is>
          <t>Wet</t>
        </is>
      </c>
      <c r="P272" s="6" t="inlineStr">
        <is>
          <t>Fine Sand / Sandy Loam</t>
        </is>
      </c>
      <c r="Q272" s="6" t="inlineStr">
        <is>
          <t>Moderately Sloping / Highland</t>
        </is>
      </c>
      <c r="R272" s="9" t="n">
        <v>90</v>
      </c>
      <c r="S272" s="6" t="inlineStr">
        <is>
          <t>—</t>
        </is>
      </c>
      <c r="T272" s="10" t="n">
        <v>709.8</v>
      </c>
      <c r="U272" s="10" t="n"/>
      <c r="V272" s="10" t="n"/>
      <c r="W272" s="10" t="n"/>
      <c r="X272" s="10" t="n">
        <v>9</v>
      </c>
      <c r="Y272" s="10" t="n">
        <v>33.61</v>
      </c>
      <c r="Z272" s="11" t="n">
        <v>3.73</v>
      </c>
      <c r="AA272" s="12" t="inlineStr">
        <is>
          <t>Transplanting (Pindot)</t>
        </is>
      </c>
      <c r="AB272" s="12" t="inlineStr">
        <is>
          <t>Minimum Tillage (avoid compaction; sandy structure fragile)</t>
        </is>
      </c>
      <c r="AC272" s="12" t="inlineStr">
        <is>
          <t>Continuous flooding or frequent irrigation; high percolation risk; terrace or bund-assisted water retention essential on slopes</t>
        </is>
      </c>
    </row>
    <row r="273" ht="21.75" customHeight="1" s="101">
      <c r="A273" s="13" t="inlineStr">
        <is>
          <t>Palay</t>
        </is>
      </c>
      <c r="B273" s="13" t="inlineStr">
        <is>
          <t>Sumabnit</t>
        </is>
      </c>
      <c r="C273" s="13" t="inlineStr">
        <is>
          <t>May</t>
        </is>
      </c>
      <c r="D273" s="13" t="inlineStr">
        <is>
          <t>2022</t>
        </is>
      </c>
      <c r="E273" s="13" t="inlineStr">
        <is>
          <t>DS 2022</t>
        </is>
      </c>
      <c r="F273" s="13" t="inlineStr">
        <is>
          <t>Harvest</t>
        </is>
      </c>
      <c r="G273" s="7" t="n">
        <v>7.75</v>
      </c>
      <c r="H273" s="8" t="n">
        <v>28.52</v>
      </c>
      <c r="I273" s="8" t="n">
        <v>22.41</v>
      </c>
      <c r="J273" s="8" t="n">
        <v>37.39</v>
      </c>
      <c r="K273" s="8" t="n">
        <v>76.47</v>
      </c>
      <c r="L273" s="8" t="n">
        <v>98.2</v>
      </c>
      <c r="M273" s="8" t="n">
        <v>21.19</v>
      </c>
      <c r="N273" s="13" t="inlineStr">
        <is>
          <t>Type I – Tropical Monsoon (PAGASA)</t>
        </is>
      </c>
      <c r="O273" s="13" t="inlineStr">
        <is>
          <t>Wet</t>
        </is>
      </c>
      <c r="P273" s="13" t="inlineStr">
        <is>
          <t>Silty Clay Loam / Fine Sandy Loam</t>
        </is>
      </c>
      <c r="Q273" s="13" t="inlineStr">
        <is>
          <t>Flat / Lowland</t>
        </is>
      </c>
      <c r="R273" s="14" t="n">
        <v>30</v>
      </c>
      <c r="S273" s="13" t="inlineStr">
        <is>
          <t>Tagamusing River</t>
        </is>
      </c>
      <c r="T273" s="15" t="n">
        <v>406.56</v>
      </c>
      <c r="U273" s="15" t="n"/>
      <c r="V273" s="15" t="n"/>
      <c r="W273" s="15" t="n"/>
      <c r="X273" s="15" t="n">
        <v>72</v>
      </c>
      <c r="Y273" s="15" t="n">
        <v>358.04</v>
      </c>
      <c r="Z273" s="16" t="n">
        <v>4.97</v>
      </c>
      <c r="AA273" s="17" t="inlineStr">
        <is>
          <t>Transplanting (Pindot)</t>
        </is>
      </c>
      <c r="AB273" s="17" t="inlineStr">
        <is>
          <t>Minimum Tillage (avoid compaction; sandy structure fragile)</t>
        </is>
      </c>
      <c r="AC273" s="17" t="inlineStr">
        <is>
          <t>Continuous flooding or frequent irrigation; high percolation risk</t>
        </is>
      </c>
    </row>
    <row r="274" ht="21.75" customHeight="1" s="101">
      <c r="A274" s="6" t="inlineStr">
        <is>
          <t>Palay</t>
        </is>
      </c>
      <c r="B274" s="6" t="inlineStr">
        <is>
          <t>Capas</t>
        </is>
      </c>
      <c r="C274" s="6" t="inlineStr">
        <is>
          <t>May</t>
        </is>
      </c>
      <c r="D274" s="6" t="inlineStr">
        <is>
          <t>2022</t>
        </is>
      </c>
      <c r="E274" s="6" t="inlineStr">
        <is>
          <t>DS 2022</t>
        </is>
      </c>
      <c r="F274" s="6" t="inlineStr">
        <is>
          <t>Harvest</t>
        </is>
      </c>
      <c r="G274" s="7" t="n">
        <v>7.75</v>
      </c>
      <c r="H274" s="8" t="n">
        <v>28.52</v>
      </c>
      <c r="I274" s="8" t="n">
        <v>22.41</v>
      </c>
      <c r="J274" s="8" t="n">
        <v>37.39</v>
      </c>
      <c r="K274" s="8" t="n">
        <v>76.47</v>
      </c>
      <c r="L274" s="8" t="n">
        <v>98.2</v>
      </c>
      <c r="M274" s="8" t="n">
        <v>21.19</v>
      </c>
      <c r="N274" s="6" t="inlineStr">
        <is>
          <t>Type I – Tropical Monsoon (PAGASA)</t>
        </is>
      </c>
      <c r="O274" s="6" t="inlineStr">
        <is>
          <t>Wet</t>
        </is>
      </c>
      <c r="P274" s="6" t="inlineStr">
        <is>
          <t>Sandy Loam</t>
        </is>
      </c>
      <c r="Q274" s="6" t="inlineStr">
        <is>
          <t>Flat / Lowland</t>
        </is>
      </c>
      <c r="R274" s="9" t="n">
        <v>30</v>
      </c>
      <c r="S274" s="6" t="inlineStr">
        <is>
          <t>—</t>
        </is>
      </c>
      <c r="T274" s="10" t="n">
        <v>377.16</v>
      </c>
      <c r="U274" s="10" t="n"/>
      <c r="V274" s="10" t="n"/>
      <c r="W274" s="10" t="n"/>
      <c r="X274" s="10" t="n">
        <v>105</v>
      </c>
      <c r="Y274" s="10" t="n">
        <v>576.4400000000001</v>
      </c>
      <c r="Z274" s="11" t="n">
        <v>5.49</v>
      </c>
      <c r="AA274" s="12" t="inlineStr">
        <is>
          <t>Transplanting (Pindot) or Direct Seeding (Pinaghandaan)</t>
        </is>
      </c>
      <c r="AB274" s="12" t="inlineStr">
        <is>
          <t>Conventional Tillage: 2 plowings + 2 harrowings; soil workable when moist</t>
        </is>
      </c>
      <c r="AC274" s="12" t="inlineStr">
        <is>
          <t>Intermittent irrigation (Alternate Wetting and Drying — AWD); moderate retention</t>
        </is>
      </c>
    </row>
    <row r="275" ht="21.75" customHeight="1" s="101">
      <c r="A275" s="13" t="inlineStr">
        <is>
          <t>Palay</t>
        </is>
      </c>
      <c r="B275" s="13" t="inlineStr">
        <is>
          <t>Mangkasuy</t>
        </is>
      </c>
      <c r="C275" s="13" t="inlineStr">
        <is>
          <t>May</t>
        </is>
      </c>
      <c r="D275" s="13" t="inlineStr">
        <is>
          <t>2022</t>
        </is>
      </c>
      <c r="E275" s="13" t="inlineStr">
        <is>
          <t>DS 2022</t>
        </is>
      </c>
      <c r="F275" s="13" t="inlineStr">
        <is>
          <t>Harvest</t>
        </is>
      </c>
      <c r="G275" s="7" t="n">
        <v>7.75</v>
      </c>
      <c r="H275" s="8" t="n">
        <v>28.52</v>
      </c>
      <c r="I275" s="8" t="n">
        <v>22.41</v>
      </c>
      <c r="J275" s="8" t="n">
        <v>37.39</v>
      </c>
      <c r="K275" s="8" t="n">
        <v>76.47</v>
      </c>
      <c r="L275" s="8" t="n">
        <v>98.2</v>
      </c>
      <c r="M275" s="8" t="n">
        <v>21.19</v>
      </c>
      <c r="N275" s="13" t="inlineStr">
        <is>
          <t>Type I – Tropical Monsoon (PAGASA)</t>
        </is>
      </c>
      <c r="O275" s="13" t="inlineStr">
        <is>
          <t>Wet</t>
        </is>
      </c>
      <c r="P275" s="13" t="inlineStr">
        <is>
          <t>Sandy Loam</t>
        </is>
      </c>
      <c r="Q275" s="13" t="inlineStr">
        <is>
          <t>Flat / Lowland</t>
        </is>
      </c>
      <c r="R275" s="14" t="n">
        <v>30</v>
      </c>
      <c r="S275" s="13" t="inlineStr">
        <is>
          <t>Tagamusing River</t>
        </is>
      </c>
      <c r="T275" s="15" t="n">
        <v>802.2</v>
      </c>
      <c r="U275" s="15" t="n"/>
      <c r="V275" s="15" t="n"/>
      <c r="W275" s="15" t="n"/>
      <c r="X275" s="15" t="n">
        <v>50</v>
      </c>
      <c r="Y275" s="15" t="n">
        <v>279.34</v>
      </c>
      <c r="Z275" s="16" t="n">
        <v>5.59</v>
      </c>
      <c r="AA275" s="17" t="inlineStr">
        <is>
          <t>Transplanting (Pindot) or Direct Seeding (Pinaghandaan)</t>
        </is>
      </c>
      <c r="AB275" s="17" t="inlineStr">
        <is>
          <t>Conventional Tillage: 2 plowings + 2 harrowings; soil workable when moist</t>
        </is>
      </c>
      <c r="AC275" s="17" t="inlineStr">
        <is>
          <t>Intermittent irrigation (Alternate Wetting and Drying — AWD); moderate retention</t>
        </is>
      </c>
    </row>
    <row r="276" ht="21.75" customHeight="1" s="101">
      <c r="A276" s="6" t="inlineStr">
        <is>
          <t>Palay</t>
        </is>
      </c>
      <c r="B276" s="6" t="inlineStr">
        <is>
          <t>San Pablo</t>
        </is>
      </c>
      <c r="C276" s="6" t="inlineStr">
        <is>
          <t>May</t>
        </is>
      </c>
      <c r="D276" s="6" t="inlineStr">
        <is>
          <t>2022</t>
        </is>
      </c>
      <c r="E276" s="6" t="inlineStr">
        <is>
          <t>DS 2022</t>
        </is>
      </c>
      <c r="F276" s="6" t="inlineStr">
        <is>
          <t>Harvest</t>
        </is>
      </c>
      <c r="G276" s="7" t="n">
        <v>7.75</v>
      </c>
      <c r="H276" s="8" t="n">
        <v>28.52</v>
      </c>
      <c r="I276" s="8" t="n">
        <v>22.41</v>
      </c>
      <c r="J276" s="8" t="n">
        <v>37.39</v>
      </c>
      <c r="K276" s="8" t="n">
        <v>76.47</v>
      </c>
      <c r="L276" s="8" t="n">
        <v>98.2</v>
      </c>
      <c r="M276" s="8" t="n">
        <v>21.19</v>
      </c>
      <c r="N276" s="6" t="inlineStr">
        <is>
          <t>Type I – Tropical Monsoon (PAGASA)</t>
        </is>
      </c>
      <c r="O276" s="6" t="inlineStr">
        <is>
          <t>Wet</t>
        </is>
      </c>
      <c r="P276" s="6" t="inlineStr">
        <is>
          <t>Sandy Loam</t>
        </is>
      </c>
      <c r="Q276" s="6" t="inlineStr">
        <is>
          <t>Flat / Lowland</t>
        </is>
      </c>
      <c r="R276" s="9" t="n">
        <v>30</v>
      </c>
      <c r="S276" s="6" t="inlineStr">
        <is>
          <t>San Pablo Creek</t>
        </is>
      </c>
      <c r="T276" s="10" t="n">
        <v>215.04</v>
      </c>
      <c r="U276" s="10" t="n"/>
      <c r="V276" s="10" t="n"/>
      <c r="W276" s="10" t="n"/>
      <c r="X276" s="10" t="n">
        <v>103</v>
      </c>
      <c r="Y276" s="10" t="n">
        <v>607.49</v>
      </c>
      <c r="Z276" s="11" t="n">
        <v>5.9</v>
      </c>
      <c r="AA276" s="12" t="inlineStr">
        <is>
          <t>Transplanting (Pindot) or Direct Seeding (Pinaghandaan)</t>
        </is>
      </c>
      <c r="AB276" s="12" t="inlineStr">
        <is>
          <t>Conventional Tillage: 2 plowings + 2 harrowings; soil workable when moist</t>
        </is>
      </c>
      <c r="AC276" s="12" t="inlineStr">
        <is>
          <t>Intermittent irrigation (Alternate Wetting and Drying — AWD); moderate retention</t>
        </is>
      </c>
    </row>
    <row r="277" ht="21.75" customHeight="1" s="101">
      <c r="A277" s="13" t="inlineStr">
        <is>
          <t>Palay</t>
        </is>
      </c>
      <c r="B277" s="13" t="inlineStr">
        <is>
          <t>Balangobong</t>
        </is>
      </c>
      <c r="C277" s="13" t="inlineStr">
        <is>
          <t>May</t>
        </is>
      </c>
      <c r="D277" s="13" t="inlineStr">
        <is>
          <t>2022</t>
        </is>
      </c>
      <c r="E277" s="13" t="inlineStr">
        <is>
          <t>DS 2022</t>
        </is>
      </c>
      <c r="F277" s="13" t="inlineStr">
        <is>
          <t>Harvest</t>
        </is>
      </c>
      <c r="G277" s="7" t="n">
        <v>7.75</v>
      </c>
      <c r="H277" s="8" t="n">
        <v>28.52</v>
      </c>
      <c r="I277" s="8" t="n">
        <v>22.41</v>
      </c>
      <c r="J277" s="8" t="n">
        <v>37.39</v>
      </c>
      <c r="K277" s="8" t="n">
        <v>76.47</v>
      </c>
      <c r="L277" s="8" t="n">
        <v>98.2</v>
      </c>
      <c r="M277" s="8" t="n">
        <v>21.19</v>
      </c>
      <c r="N277" s="13" t="inlineStr">
        <is>
          <t>Type I – Tropical Monsoon (PAGASA)</t>
        </is>
      </c>
      <c r="O277" s="13" t="inlineStr">
        <is>
          <t>Wet</t>
        </is>
      </c>
      <c r="P277" s="13" t="inlineStr">
        <is>
          <t>Silty Clay Loam</t>
        </is>
      </c>
      <c r="Q277" s="13" t="inlineStr">
        <is>
          <t>Flat / Lowland</t>
        </is>
      </c>
      <c r="R277" s="14" t="n">
        <v>30</v>
      </c>
      <c r="S277" s="13" t="inlineStr">
        <is>
          <t>—</t>
        </is>
      </c>
      <c r="T277" s="15" t="n">
        <v>281.4</v>
      </c>
      <c r="U277" s="15" t="n"/>
      <c r="V277" s="15" t="n"/>
      <c r="W277" s="15" t="n"/>
      <c r="X277" s="15" t="n">
        <v>110</v>
      </c>
      <c r="Y277" s="15" t="n">
        <v>569.35</v>
      </c>
      <c r="Z277" s="16" t="n">
        <v>5.18</v>
      </c>
      <c r="AA277" s="17" t="inlineStr">
        <is>
          <t>Transplanting (Pindot) — optimal for clay-loam paddy fields</t>
        </is>
      </c>
      <c r="AB277" s="17" t="inlineStr">
        <is>
          <t>Wet Tillage (Puddling): 2 plowings + thorough harrowing under flooded condition</t>
        </is>
      </c>
      <c r="AC277" s="17" t="inlineStr">
        <is>
          <t>Continuous flooding 2–5 cm depth during vegetative stage; drain 2 weeks before harvest</t>
        </is>
      </c>
    </row>
    <row r="278" ht="21.75" customHeight="1" s="101">
      <c r="A278" s="6" t="inlineStr">
        <is>
          <t>Palay</t>
        </is>
      </c>
      <c r="B278" s="6" t="inlineStr">
        <is>
          <t>San Felipe Central</t>
        </is>
      </c>
      <c r="C278" s="6" t="inlineStr">
        <is>
          <t>May</t>
        </is>
      </c>
      <c r="D278" s="6" t="inlineStr">
        <is>
          <t>2022</t>
        </is>
      </c>
      <c r="E278" s="6" t="inlineStr">
        <is>
          <t>DS 2022</t>
        </is>
      </c>
      <c r="F278" s="6" t="inlineStr">
        <is>
          <t>Harvest</t>
        </is>
      </c>
      <c r="G278" s="7" t="n">
        <v>7.75</v>
      </c>
      <c r="H278" s="8" t="n">
        <v>28.52</v>
      </c>
      <c r="I278" s="8" t="n">
        <v>22.41</v>
      </c>
      <c r="J278" s="8" t="n">
        <v>37.39</v>
      </c>
      <c r="K278" s="8" t="n">
        <v>76.47</v>
      </c>
      <c r="L278" s="8" t="n">
        <v>98.2</v>
      </c>
      <c r="M278" s="8" t="n">
        <v>21.19</v>
      </c>
      <c r="N278" s="6" t="inlineStr">
        <is>
          <t>Type I – Tropical Monsoon (PAGASA)</t>
        </is>
      </c>
      <c r="O278" s="6" t="inlineStr">
        <is>
          <t>Wet</t>
        </is>
      </c>
      <c r="P278" s="6" t="inlineStr">
        <is>
          <t>Sandy Loam</t>
        </is>
      </c>
      <c r="Q278" s="6" t="inlineStr">
        <is>
          <t>Flat / Lowland</t>
        </is>
      </c>
      <c r="R278" s="9" t="n">
        <v>30</v>
      </c>
      <c r="S278" s="6" t="inlineStr">
        <is>
          <t>—</t>
        </is>
      </c>
      <c r="T278" s="10" t="n">
        <v>452.76</v>
      </c>
      <c r="U278" s="10" t="n"/>
      <c r="V278" s="10" t="n"/>
      <c r="W278" s="10" t="n"/>
      <c r="X278" s="10" t="n">
        <v>100</v>
      </c>
      <c r="Y278" s="10" t="n">
        <v>516.55</v>
      </c>
      <c r="Z278" s="11" t="n">
        <v>5.17</v>
      </c>
      <c r="AA278" s="12" t="inlineStr">
        <is>
          <t>Transplanting (Pindot) or Direct Seeding (Pinaghandaan)</t>
        </is>
      </c>
      <c r="AB278" s="12" t="inlineStr">
        <is>
          <t>Conventional Tillage: 2 plowings + 2 harrowings; soil workable when moist</t>
        </is>
      </c>
      <c r="AC278" s="12" t="inlineStr">
        <is>
          <t>Intermittent irrigation (Alternate Wetting and Drying — AWD); moderate retention</t>
        </is>
      </c>
    </row>
    <row r="279" ht="21.75" customHeight="1" s="101">
      <c r="A279" s="13" t="inlineStr">
        <is>
          <t>Palay</t>
        </is>
      </c>
      <c r="B279" s="13" t="inlineStr">
        <is>
          <t>San Felipe Sur</t>
        </is>
      </c>
      <c r="C279" s="13" t="inlineStr">
        <is>
          <t>May</t>
        </is>
      </c>
      <c r="D279" s="13" t="inlineStr">
        <is>
          <t>2022</t>
        </is>
      </c>
      <c r="E279" s="13" t="inlineStr">
        <is>
          <t>DS 2022</t>
        </is>
      </c>
      <c r="F279" s="13" t="inlineStr">
        <is>
          <t>Harvest</t>
        </is>
      </c>
      <c r="G279" s="7" t="n">
        <v>7.75</v>
      </c>
      <c r="H279" s="8" t="n">
        <v>28.52</v>
      </c>
      <c r="I279" s="8" t="n">
        <v>22.41</v>
      </c>
      <c r="J279" s="8" t="n">
        <v>37.39</v>
      </c>
      <c r="K279" s="8" t="n">
        <v>76.47</v>
      </c>
      <c r="L279" s="8" t="n">
        <v>98.2</v>
      </c>
      <c r="M279" s="8" t="n">
        <v>21.19</v>
      </c>
      <c r="N279" s="13" t="inlineStr">
        <is>
          <t>Type I – Tropical Monsoon (PAGASA)</t>
        </is>
      </c>
      <c r="O279" s="13" t="inlineStr">
        <is>
          <t>Wet</t>
        </is>
      </c>
      <c r="P279" s="13" t="inlineStr">
        <is>
          <t>Sandy Loam</t>
        </is>
      </c>
      <c r="Q279" s="13" t="inlineStr">
        <is>
          <t>Flat / Lowland</t>
        </is>
      </c>
      <c r="R279" s="14" t="n">
        <v>30</v>
      </c>
      <c r="S279" s="13" t="inlineStr">
        <is>
          <t>Tagamusing River</t>
        </is>
      </c>
      <c r="T279" s="15" t="n">
        <v>504</v>
      </c>
      <c r="U279" s="15" t="n"/>
      <c r="V279" s="15" t="n"/>
      <c r="W279" s="15" t="n"/>
      <c r="X279" s="15" t="n">
        <v>115</v>
      </c>
      <c r="Y279" s="15" t="n">
        <v>615.52</v>
      </c>
      <c r="Z279" s="16" t="n">
        <v>5.35</v>
      </c>
      <c r="AA279" s="17" t="inlineStr">
        <is>
          <t>Transplanting (Pindot) or Direct Seeding (Pinaghandaan)</t>
        </is>
      </c>
      <c r="AB279" s="17" t="inlineStr">
        <is>
          <t>Conventional Tillage: 2 plowings + 2 harrowings; soil workable when moist</t>
        </is>
      </c>
      <c r="AC279" s="17" t="inlineStr">
        <is>
          <t>Intermittent irrigation (Alternate Wetting and Drying — AWD); moderate retention</t>
        </is>
      </c>
    </row>
    <row r="280" ht="21.75" customHeight="1" s="101">
      <c r="A280" s="6" t="inlineStr">
        <is>
          <t>Palay</t>
        </is>
      </c>
      <c r="B280" s="6" t="inlineStr">
        <is>
          <t>Pasileng Sur</t>
        </is>
      </c>
      <c r="C280" s="6" t="inlineStr">
        <is>
          <t>May</t>
        </is>
      </c>
      <c r="D280" s="6" t="inlineStr">
        <is>
          <t>2022</t>
        </is>
      </c>
      <c r="E280" s="6" t="inlineStr">
        <is>
          <t>DS 2022</t>
        </is>
      </c>
      <c r="F280" s="6" t="inlineStr">
        <is>
          <t>Harvest</t>
        </is>
      </c>
      <c r="G280" s="7" t="n">
        <v>7.75</v>
      </c>
      <c r="H280" s="8" t="n">
        <v>28.52</v>
      </c>
      <c r="I280" s="8" t="n">
        <v>22.41</v>
      </c>
      <c r="J280" s="8" t="n">
        <v>37.39</v>
      </c>
      <c r="K280" s="8" t="n">
        <v>76.47</v>
      </c>
      <c r="L280" s="8" t="n">
        <v>98.2</v>
      </c>
      <c r="M280" s="8" t="n">
        <v>21.19</v>
      </c>
      <c r="N280" s="6" t="inlineStr">
        <is>
          <t>Type I – Tropical Monsoon (PAGASA)</t>
        </is>
      </c>
      <c r="O280" s="6" t="inlineStr">
        <is>
          <t>Wet</t>
        </is>
      </c>
      <c r="P280" s="6" t="inlineStr">
        <is>
          <t>Sandy Loam</t>
        </is>
      </c>
      <c r="Q280" s="6" t="inlineStr">
        <is>
          <t>Flat / Lowland</t>
        </is>
      </c>
      <c r="R280" s="9" t="n">
        <v>30</v>
      </c>
      <c r="S280" s="6" t="inlineStr">
        <is>
          <t>Tagamusing River</t>
        </is>
      </c>
      <c r="T280" s="10" t="n">
        <v>414.96</v>
      </c>
      <c r="U280" s="10" t="n"/>
      <c r="V280" s="10" t="n"/>
      <c r="W280" s="10" t="n"/>
      <c r="X280" s="10" t="n">
        <v>120</v>
      </c>
      <c r="Y280" s="10" t="n">
        <v>649.12</v>
      </c>
      <c r="Z280" s="11" t="n">
        <v>5.41</v>
      </c>
      <c r="AA280" s="12" t="inlineStr">
        <is>
          <t>Transplanting (Pindot) or Direct Seeding (Pinaghandaan)</t>
        </is>
      </c>
      <c r="AB280" s="12" t="inlineStr">
        <is>
          <t>Conventional Tillage: 2 plowings + 2 harrowings; soil workable when moist</t>
        </is>
      </c>
      <c r="AC280" s="12" t="inlineStr">
        <is>
          <t>Intermittent irrigation (Alternate Wetting and Drying — AWD); moderate retention</t>
        </is>
      </c>
    </row>
    <row r="281" ht="21.75" customHeight="1" s="101">
      <c r="A281" s="13" t="inlineStr">
        <is>
          <t>Palay</t>
        </is>
      </c>
      <c r="B281" s="13" t="inlineStr">
        <is>
          <t>Bugayong</t>
        </is>
      </c>
      <c r="C281" s="13" t="inlineStr">
        <is>
          <t>May</t>
        </is>
      </c>
      <c r="D281" s="13" t="inlineStr">
        <is>
          <t>2022</t>
        </is>
      </c>
      <c r="E281" s="13" t="inlineStr">
        <is>
          <t>DS 2022</t>
        </is>
      </c>
      <c r="F281" s="13" t="inlineStr">
        <is>
          <t>Harvest</t>
        </is>
      </c>
      <c r="G281" s="7" t="n">
        <v>7.75</v>
      </c>
      <c r="H281" s="8" t="n">
        <v>28.52</v>
      </c>
      <c r="I281" s="8" t="n">
        <v>22.41</v>
      </c>
      <c r="J281" s="8" t="n">
        <v>37.39</v>
      </c>
      <c r="K281" s="8" t="n">
        <v>76.47</v>
      </c>
      <c r="L281" s="8" t="n">
        <v>98.2</v>
      </c>
      <c r="M281" s="8" t="n">
        <v>21.19</v>
      </c>
      <c r="N281" s="13" t="inlineStr">
        <is>
          <t>Type I – Tropical Monsoon (PAGASA)</t>
        </is>
      </c>
      <c r="O281" s="13" t="inlineStr">
        <is>
          <t>Wet</t>
        </is>
      </c>
      <c r="P281" s="13" t="inlineStr">
        <is>
          <t>Sandy Loam / Silty Clay Loam</t>
        </is>
      </c>
      <c r="Q281" s="13" t="inlineStr">
        <is>
          <t>Flat / Lowland</t>
        </is>
      </c>
      <c r="R281" s="14" t="n">
        <v>30</v>
      </c>
      <c r="S281" s="13" t="inlineStr">
        <is>
          <t>Aloragat River</t>
        </is>
      </c>
      <c r="T281" s="15" t="n">
        <v>346.08</v>
      </c>
      <c r="U281" s="15" t="n"/>
      <c r="V281" s="15" t="n"/>
      <c r="W281" s="15" t="n"/>
      <c r="X281" s="15" t="n">
        <v>2</v>
      </c>
      <c r="Y281" s="15" t="n">
        <v>6.77</v>
      </c>
      <c r="Z281" s="16" t="n">
        <v>3.38</v>
      </c>
      <c r="AA281" s="17" t="inlineStr">
        <is>
          <t>Transplanting (Pindot) — recommended; Direct Seeding possible in dry season</t>
        </is>
      </c>
      <c r="AB281" s="17" t="inlineStr">
        <is>
          <t>Conventional Tillage: 2 plowings + harrowing; puddle thoroughly for transplanting</t>
        </is>
      </c>
      <c r="AC281" s="17" t="inlineStr">
        <is>
          <t>Intermittent to continuous flooding; manage according to drainage section present</t>
        </is>
      </c>
    </row>
    <row r="282" ht="21.75" customHeight="1" s="101">
      <c r="A282" s="6" t="inlineStr">
        <is>
          <t>Palay</t>
        </is>
      </c>
      <c r="B282" s="6" t="inlineStr">
        <is>
          <t>Santiago</t>
        </is>
      </c>
      <c r="C282" s="6" t="inlineStr">
        <is>
          <t>May</t>
        </is>
      </c>
      <c r="D282" s="6" t="inlineStr">
        <is>
          <t>2022</t>
        </is>
      </c>
      <c r="E282" s="6" t="inlineStr">
        <is>
          <t>DS 2022</t>
        </is>
      </c>
      <c r="F282" s="6" t="inlineStr">
        <is>
          <t>Harvest</t>
        </is>
      </c>
      <c r="G282" s="7" t="n">
        <v>7.75</v>
      </c>
      <c r="H282" s="8" t="n">
        <v>28.52</v>
      </c>
      <c r="I282" s="8" t="n">
        <v>22.41</v>
      </c>
      <c r="J282" s="8" t="n">
        <v>37.39</v>
      </c>
      <c r="K282" s="8" t="n">
        <v>76.47</v>
      </c>
      <c r="L282" s="8" t="n">
        <v>98.2</v>
      </c>
      <c r="M282" s="8" t="n">
        <v>21.19</v>
      </c>
      <c r="N282" s="6" t="inlineStr">
        <is>
          <t>Type I – Tropical Monsoon (PAGASA)</t>
        </is>
      </c>
      <c r="O282" s="6" t="inlineStr">
        <is>
          <t>Wet</t>
        </is>
      </c>
      <c r="P282" s="6" t="inlineStr">
        <is>
          <t>Silty Clay Loam</t>
        </is>
      </c>
      <c r="Q282" s="6" t="inlineStr">
        <is>
          <t>Flat / Lowland</t>
        </is>
      </c>
      <c r="R282" s="9" t="n">
        <v>30</v>
      </c>
      <c r="S282" s="6" t="inlineStr">
        <is>
          <t>—</t>
        </is>
      </c>
      <c r="T282" s="10" t="n">
        <v>283.08</v>
      </c>
      <c r="U282" s="10" t="n"/>
      <c r="V282" s="10" t="n"/>
      <c r="W282" s="10" t="n"/>
      <c r="X282" s="10" t="n">
        <v>18</v>
      </c>
      <c r="Y282" s="10" t="n">
        <v>103.91</v>
      </c>
      <c r="Z282" s="11" t="n">
        <v>5.77</v>
      </c>
      <c r="AA282" s="12" t="inlineStr">
        <is>
          <t>Transplanting (Pindot) — optimal for clay-loam paddy fields</t>
        </is>
      </c>
      <c r="AB282" s="12" t="inlineStr">
        <is>
          <t>Wet Tillage (Puddling): 2 plowings + thorough harrowing under flooded condition</t>
        </is>
      </c>
      <c r="AC282" s="12" t="inlineStr">
        <is>
          <t>Continuous flooding 2–5 cm depth during vegetative stage; drain 2 weeks before harvest</t>
        </is>
      </c>
    </row>
    <row r="283" ht="21.75" customHeight="1" s="101">
      <c r="A283" s="13" t="inlineStr">
        <is>
          <t>Palay</t>
        </is>
      </c>
      <c r="B283" s="13" t="inlineStr">
        <is>
          <t>Pasileng Norte</t>
        </is>
      </c>
      <c r="C283" s="13" t="inlineStr">
        <is>
          <t>June</t>
        </is>
      </c>
      <c r="D283" s="13" t="inlineStr">
        <is>
          <t>2015</t>
        </is>
      </c>
      <c r="E283" s="13" t="inlineStr">
        <is>
          <t>WS 2015</t>
        </is>
      </c>
      <c r="F283" s="13" t="inlineStr">
        <is>
          <t>Planting</t>
        </is>
      </c>
      <c r="G283" s="7" t="n">
        <v>7.21</v>
      </c>
      <c r="H283" s="8" t="n">
        <v>28.46</v>
      </c>
      <c r="I283" s="8" t="n">
        <v>23.39</v>
      </c>
      <c r="J283" s="8" t="n">
        <v>37.03</v>
      </c>
      <c r="K283" s="8" t="n">
        <v>76.02</v>
      </c>
      <c r="L283" s="8" t="n">
        <v>98.26000000000001</v>
      </c>
      <c r="M283" s="8" t="n">
        <v>22.25</v>
      </c>
      <c r="N283" s="13" t="inlineStr">
        <is>
          <t>Type I – Tropical Monsoon (PAGASA)</t>
        </is>
      </c>
      <c r="O283" s="13" t="inlineStr">
        <is>
          <t>Wet</t>
        </is>
      </c>
      <c r="P283" s="13" t="inlineStr">
        <is>
          <t>Sandy Loam</t>
        </is>
      </c>
      <c r="Q283" s="13" t="inlineStr">
        <is>
          <t>Flat / Lowland</t>
        </is>
      </c>
      <c r="R283" s="14" t="n">
        <v>30</v>
      </c>
      <c r="S283" s="13" t="inlineStr">
        <is>
          <t>Tagamusing River</t>
        </is>
      </c>
      <c r="T283" s="15" t="n">
        <v>140.28</v>
      </c>
      <c r="U283" s="15" t="n">
        <v>2</v>
      </c>
      <c r="V283" s="15" t="n">
        <v>19.81</v>
      </c>
      <c r="W283" s="15" t="n">
        <v>81</v>
      </c>
      <c r="X283" s="15" t="n"/>
      <c r="Y283" s="15" t="n"/>
      <c r="Z283" s="16" t="n"/>
      <c r="AA283" s="17" t="inlineStr">
        <is>
          <t>Transplanting (Pindot) or Direct Seeding (Pinaghandaan)</t>
        </is>
      </c>
      <c r="AB283" s="17" t="inlineStr">
        <is>
          <t>Conventional Tillage: 2 plowings + 2 harrowings; soil workable when moist</t>
        </is>
      </c>
      <c r="AC283" s="17" t="inlineStr">
        <is>
          <t>Intermittent irrigation (Alternate Wetting and Drying — AWD); moderate retention</t>
        </is>
      </c>
    </row>
    <row r="284" ht="21.75" customHeight="1" s="101">
      <c r="A284" s="6" t="inlineStr">
        <is>
          <t>Palay</t>
        </is>
      </c>
      <c r="B284" s="6" t="inlineStr">
        <is>
          <t>Tabuyoc</t>
        </is>
      </c>
      <c r="C284" s="6" t="inlineStr">
        <is>
          <t>June</t>
        </is>
      </c>
      <c r="D284" s="6" t="inlineStr">
        <is>
          <t>2015</t>
        </is>
      </c>
      <c r="E284" s="6" t="inlineStr">
        <is>
          <t>WS 2015</t>
        </is>
      </c>
      <c r="F284" s="6" t="inlineStr">
        <is>
          <t>Planting</t>
        </is>
      </c>
      <c r="G284" s="7" t="n">
        <v>7.21</v>
      </c>
      <c r="H284" s="8" t="n">
        <v>28.46</v>
      </c>
      <c r="I284" s="8" t="n">
        <v>23.39</v>
      </c>
      <c r="J284" s="8" t="n">
        <v>37.03</v>
      </c>
      <c r="K284" s="8" t="n">
        <v>76.02</v>
      </c>
      <c r="L284" s="8" t="n">
        <v>98.26000000000001</v>
      </c>
      <c r="M284" s="8" t="n">
        <v>22.25</v>
      </c>
      <c r="N284" s="6" t="inlineStr">
        <is>
          <t>Type I – Tropical Monsoon (PAGASA)</t>
        </is>
      </c>
      <c r="O284" s="6" t="inlineStr">
        <is>
          <t>Wet</t>
        </is>
      </c>
      <c r="P284" s="6" t="inlineStr">
        <is>
          <t>Silty Clay Loam</t>
        </is>
      </c>
      <c r="Q284" s="6" t="inlineStr">
        <is>
          <t>Flat / Lowland</t>
        </is>
      </c>
      <c r="R284" s="9" t="n">
        <v>30</v>
      </c>
      <c r="S284" s="6" t="inlineStr">
        <is>
          <t>—</t>
        </is>
      </c>
      <c r="T284" s="10" t="n">
        <v>277.2</v>
      </c>
      <c r="U284" s="10" t="n">
        <v>130.4</v>
      </c>
      <c r="V284" s="10" t="n">
        <v>5</v>
      </c>
      <c r="W284" s="10" t="n">
        <v>139</v>
      </c>
      <c r="X284" s="10" t="n"/>
      <c r="Y284" s="10" t="n"/>
      <c r="Z284" s="11" t="n"/>
      <c r="AA284" s="12" t="inlineStr">
        <is>
          <t>Transplanting (Pindot) — optimal for clay-loam paddy fields</t>
        </is>
      </c>
      <c r="AB284" s="12" t="inlineStr">
        <is>
          <t>Wet Tillage (Puddling): 2 plowings + thorough harrowing under flooded condition</t>
        </is>
      </c>
      <c r="AC284" s="12" t="inlineStr">
        <is>
          <t>Continuous flooding 2–5 cm depth during vegetative stage; drain 2 weeks before harvest</t>
        </is>
      </c>
    </row>
    <row r="285" ht="21.75" customHeight="1" s="101">
      <c r="A285" s="13" t="inlineStr">
        <is>
          <t>Palay</t>
        </is>
      </c>
      <c r="B285" s="13" t="inlineStr">
        <is>
          <t>Bued</t>
        </is>
      </c>
      <c r="C285" s="13" t="inlineStr">
        <is>
          <t>June</t>
        </is>
      </c>
      <c r="D285" s="13" t="inlineStr">
        <is>
          <t>2015</t>
        </is>
      </c>
      <c r="E285" s="13" t="inlineStr">
        <is>
          <t>WS 2015</t>
        </is>
      </c>
      <c r="F285" s="13" t="inlineStr">
        <is>
          <t>Planting</t>
        </is>
      </c>
      <c r="G285" s="7" t="n">
        <v>7.21</v>
      </c>
      <c r="H285" s="8" t="n">
        <v>28.46</v>
      </c>
      <c r="I285" s="8" t="n">
        <v>23.39</v>
      </c>
      <c r="J285" s="8" t="n">
        <v>37.03</v>
      </c>
      <c r="K285" s="8" t="n">
        <v>76.02</v>
      </c>
      <c r="L285" s="8" t="n">
        <v>98.26000000000001</v>
      </c>
      <c r="M285" s="8" t="n">
        <v>22.25</v>
      </c>
      <c r="N285" s="13" t="inlineStr">
        <is>
          <t>Type I – Tropical Monsoon (PAGASA)</t>
        </is>
      </c>
      <c r="O285" s="13" t="inlineStr">
        <is>
          <t>Wet</t>
        </is>
      </c>
      <c r="P285" s="13" t="inlineStr">
        <is>
          <t>Silty Clay Loam</t>
        </is>
      </c>
      <c r="Q285" s="13" t="inlineStr">
        <is>
          <t>Flat / Lowland</t>
        </is>
      </c>
      <c r="R285" s="14" t="n">
        <v>30</v>
      </c>
      <c r="S285" s="13" t="inlineStr">
        <is>
          <t>Tagamusing River</t>
        </is>
      </c>
      <c r="T285" s="15" t="n">
        <v>210.84</v>
      </c>
      <c r="U285" s="15" t="n">
        <v>50.8</v>
      </c>
      <c r="V285" s="15" t="n">
        <v>20</v>
      </c>
      <c r="W285" s="15" t="n">
        <v>94</v>
      </c>
      <c r="X285" s="15" t="n"/>
      <c r="Y285" s="15" t="n"/>
      <c r="Z285" s="16" t="n"/>
      <c r="AA285" s="17" t="inlineStr">
        <is>
          <t>Transplanting (Pindot) — optimal for clay-loam paddy fields</t>
        </is>
      </c>
      <c r="AB285" s="17" t="inlineStr">
        <is>
          <t>Wet Tillage (Puddling): 2 plowings + thorough harrowing under flooded condition</t>
        </is>
      </c>
      <c r="AC285" s="17" t="inlineStr">
        <is>
          <t>Continuous flooding 2–5 cm depth during vegetative stage; drain 2 weeks before harvest</t>
        </is>
      </c>
    </row>
    <row r="286" ht="21.75" customHeight="1" s="101">
      <c r="A286" s="6" t="inlineStr">
        <is>
          <t>Palay</t>
        </is>
      </c>
      <c r="B286" s="6" t="inlineStr">
        <is>
          <t>Dumayat</t>
        </is>
      </c>
      <c r="C286" s="6" t="inlineStr">
        <is>
          <t>June</t>
        </is>
      </c>
      <c r="D286" s="6" t="inlineStr">
        <is>
          <t>2015</t>
        </is>
      </c>
      <c r="E286" s="6" t="inlineStr">
        <is>
          <t>WS 2015</t>
        </is>
      </c>
      <c r="F286" s="6" t="inlineStr">
        <is>
          <t>Planting</t>
        </is>
      </c>
      <c r="G286" s="7" t="n">
        <v>7.21</v>
      </c>
      <c r="H286" s="8" t="n">
        <v>28.46</v>
      </c>
      <c r="I286" s="8" t="n">
        <v>23.39</v>
      </c>
      <c r="J286" s="8" t="n">
        <v>37.03</v>
      </c>
      <c r="K286" s="8" t="n">
        <v>76.02</v>
      </c>
      <c r="L286" s="8" t="n">
        <v>98.26000000000001</v>
      </c>
      <c r="M286" s="8" t="n">
        <v>22.25</v>
      </c>
      <c r="N286" s="6" t="inlineStr">
        <is>
          <t>Type I – Tropical Monsoon (PAGASA)</t>
        </is>
      </c>
      <c r="O286" s="6" t="inlineStr">
        <is>
          <t>Wet</t>
        </is>
      </c>
      <c r="P286" s="6" t="inlineStr">
        <is>
          <t>Silty Clay Loam</t>
        </is>
      </c>
      <c r="Q286" s="6" t="inlineStr">
        <is>
          <t>Flat / Lowland</t>
        </is>
      </c>
      <c r="R286" s="9" t="n">
        <v>30</v>
      </c>
      <c r="S286" s="6" t="inlineStr">
        <is>
          <t>—</t>
        </is>
      </c>
      <c r="T286" s="10" t="n">
        <v>266.28</v>
      </c>
      <c r="U286" s="10" t="n">
        <v>42.88</v>
      </c>
      <c r="V286" s="10" t="n">
        <v>16</v>
      </c>
      <c r="W286" s="10" t="n">
        <v>86</v>
      </c>
      <c r="X286" s="10" t="n"/>
      <c r="Y286" s="10" t="n"/>
      <c r="Z286" s="11" t="n"/>
      <c r="AA286" s="12" t="inlineStr">
        <is>
          <t>Transplanting (Pindot) — optimal for clay-loam paddy fields</t>
        </is>
      </c>
      <c r="AB286" s="12" t="inlineStr">
        <is>
          <t>Wet Tillage (Puddling): 2 plowings + thorough harrowing under flooded condition</t>
        </is>
      </c>
      <c r="AC286" s="12" t="inlineStr">
        <is>
          <t>Continuous flooding 2–5 cm depth during vegetative stage; drain 2 weeks before harvest</t>
        </is>
      </c>
    </row>
    <row r="287" ht="21.75" customHeight="1" s="101">
      <c r="A287" s="13" t="inlineStr">
        <is>
          <t>Palay</t>
        </is>
      </c>
      <c r="B287" s="13" t="inlineStr">
        <is>
          <t>Camanggaan</t>
        </is>
      </c>
      <c r="C287" s="13" t="inlineStr">
        <is>
          <t>June</t>
        </is>
      </c>
      <c r="D287" s="13" t="inlineStr">
        <is>
          <t>2015</t>
        </is>
      </c>
      <c r="E287" s="13" t="inlineStr">
        <is>
          <t>WS 2015</t>
        </is>
      </c>
      <c r="F287" s="13" t="inlineStr">
        <is>
          <t>Planting</t>
        </is>
      </c>
      <c r="G287" s="7" t="n">
        <v>7.21</v>
      </c>
      <c r="H287" s="8" t="n">
        <v>28.46</v>
      </c>
      <c r="I287" s="8" t="n">
        <v>23.39</v>
      </c>
      <c r="J287" s="8" t="n">
        <v>37.03</v>
      </c>
      <c r="K287" s="8" t="n">
        <v>76.02</v>
      </c>
      <c r="L287" s="8" t="n">
        <v>98.26000000000001</v>
      </c>
      <c r="M287" s="8" t="n">
        <v>22.25</v>
      </c>
      <c r="N287" s="13" t="inlineStr">
        <is>
          <t>Type I – Tropical Monsoon (PAGASA)</t>
        </is>
      </c>
      <c r="O287" s="13" t="inlineStr">
        <is>
          <t>Wet</t>
        </is>
      </c>
      <c r="P287" s="13" t="inlineStr">
        <is>
          <t>Sandy Loam</t>
        </is>
      </c>
      <c r="Q287" s="13" t="inlineStr">
        <is>
          <t>Flat / Lowland</t>
        </is>
      </c>
      <c r="R287" s="14" t="n">
        <v>30</v>
      </c>
      <c r="S287" s="13" t="inlineStr">
        <is>
          <t>—</t>
        </is>
      </c>
      <c r="T287" s="15" t="n">
        <v>244.44</v>
      </c>
      <c r="U287" s="15" t="n">
        <v>24.5</v>
      </c>
      <c r="V287" s="15" t="n">
        <v>38</v>
      </c>
      <c r="W287" s="15" t="n">
        <v>87</v>
      </c>
      <c r="X287" s="15" t="n"/>
      <c r="Y287" s="15" t="n"/>
      <c r="Z287" s="16" t="n"/>
      <c r="AA287" s="17" t="inlineStr">
        <is>
          <t>Transplanting (Pindot) or Direct Seeding (Pinaghandaan)</t>
        </is>
      </c>
      <c r="AB287" s="17" t="inlineStr">
        <is>
          <t>Conventional Tillage: 2 plowings + 2 harrowings; soil workable when moist</t>
        </is>
      </c>
      <c r="AC287" s="17" t="inlineStr">
        <is>
          <t>Intermittent irrigation (Alternate Wetting and Drying — AWD); moderate retention</t>
        </is>
      </c>
    </row>
    <row r="288" ht="21.75" customHeight="1" s="101">
      <c r="A288" s="6" t="inlineStr">
        <is>
          <t>Palay</t>
        </is>
      </c>
      <c r="B288" s="6" t="inlineStr">
        <is>
          <t>Vacante</t>
        </is>
      </c>
      <c r="C288" s="6" t="inlineStr">
        <is>
          <t>June</t>
        </is>
      </c>
      <c r="D288" s="6" t="inlineStr">
        <is>
          <t>2015</t>
        </is>
      </c>
      <c r="E288" s="6" t="inlineStr">
        <is>
          <t>WS 2015</t>
        </is>
      </c>
      <c r="F288" s="6" t="inlineStr">
        <is>
          <t>Planting</t>
        </is>
      </c>
      <c r="G288" s="7" t="n">
        <v>7.21</v>
      </c>
      <c r="H288" s="8" t="n">
        <v>28.46</v>
      </c>
      <c r="I288" s="8" t="n">
        <v>23.39</v>
      </c>
      <c r="J288" s="8" t="n">
        <v>37.03</v>
      </c>
      <c r="K288" s="8" t="n">
        <v>76.02</v>
      </c>
      <c r="L288" s="8" t="n">
        <v>98.26000000000001</v>
      </c>
      <c r="M288" s="8" t="n">
        <v>22.25</v>
      </c>
      <c r="N288" s="6" t="inlineStr">
        <is>
          <t>Type I – Tropical Monsoon (PAGASA)</t>
        </is>
      </c>
      <c r="O288" s="6" t="inlineStr">
        <is>
          <t>Wet</t>
        </is>
      </c>
      <c r="P288" s="6" t="inlineStr">
        <is>
          <t>Silty Clay Loam</t>
        </is>
      </c>
      <c r="Q288" s="6" t="inlineStr">
        <is>
          <t>Flat / Lowland</t>
        </is>
      </c>
      <c r="R288" s="9" t="n">
        <v>30</v>
      </c>
      <c r="S288" s="6" t="inlineStr">
        <is>
          <t>Aloragat River</t>
        </is>
      </c>
      <c r="T288" s="10" t="n">
        <v>484.68</v>
      </c>
      <c r="U288" s="10" t="n">
        <v>24.5</v>
      </c>
      <c r="V288" s="10" t="n">
        <v>47</v>
      </c>
      <c r="W288" s="10" t="n">
        <v>109</v>
      </c>
      <c r="X288" s="10" t="n"/>
      <c r="Y288" s="10" t="n"/>
      <c r="Z288" s="11" t="n"/>
      <c r="AA288" s="12" t="inlineStr">
        <is>
          <t>Transplanting (Pindot) — optimal for clay-loam paddy fields</t>
        </is>
      </c>
      <c r="AB288" s="12" t="inlineStr">
        <is>
          <t>Wet Tillage (Puddling): 2 plowings + thorough harrowing under flooded condition</t>
        </is>
      </c>
      <c r="AC288" s="12" t="inlineStr">
        <is>
          <t>Continuous flooding 2–5 cm depth during vegetative stage; drain 2 weeks before harvest</t>
        </is>
      </c>
    </row>
    <row r="289" ht="21.75" customHeight="1" s="101">
      <c r="A289" s="13" t="inlineStr">
        <is>
          <t>Palay</t>
        </is>
      </c>
      <c r="B289" s="13" t="inlineStr">
        <is>
          <t>Sta. Catalina</t>
        </is>
      </c>
      <c r="C289" s="13" t="inlineStr">
        <is>
          <t>June</t>
        </is>
      </c>
      <c r="D289" s="13" t="inlineStr">
        <is>
          <t>2015</t>
        </is>
      </c>
      <c r="E289" s="13" t="inlineStr">
        <is>
          <t>WS 2015</t>
        </is>
      </c>
      <c r="F289" s="13" t="inlineStr">
        <is>
          <t>Planting</t>
        </is>
      </c>
      <c r="G289" s="7" t="n">
        <v>7.21</v>
      </c>
      <c r="H289" s="8" t="n">
        <v>28.46</v>
      </c>
      <c r="I289" s="8" t="n">
        <v>23.39</v>
      </c>
      <c r="J289" s="8" t="n">
        <v>37.03</v>
      </c>
      <c r="K289" s="8" t="n">
        <v>76.02</v>
      </c>
      <c r="L289" s="8" t="n">
        <v>98.26000000000001</v>
      </c>
      <c r="M289" s="8" t="n">
        <v>22.25</v>
      </c>
      <c r="N289" s="13" t="inlineStr">
        <is>
          <t>Type I – Tropical Monsoon (PAGASA)</t>
        </is>
      </c>
      <c r="O289" s="13" t="inlineStr">
        <is>
          <t>Wet</t>
        </is>
      </c>
      <c r="P289" s="13" t="inlineStr">
        <is>
          <t>Fine Sand / Sandy Loam</t>
        </is>
      </c>
      <c r="Q289" s="13" t="inlineStr">
        <is>
          <t>Moderately Sloping / Highland</t>
        </is>
      </c>
      <c r="R289" s="14" t="n">
        <v>90</v>
      </c>
      <c r="S289" s="13" t="inlineStr">
        <is>
          <t>—</t>
        </is>
      </c>
      <c r="T289" s="15" t="n">
        <v>709.8</v>
      </c>
      <c r="U289" s="15" t="n">
        <v>65.5</v>
      </c>
      <c r="V289" s="15" t="n">
        <v>130</v>
      </c>
      <c r="W289" s="15" t="n">
        <v>229</v>
      </c>
      <c r="X289" s="15" t="n"/>
      <c r="Y289" s="15" t="n"/>
      <c r="Z289" s="16" t="n"/>
      <c r="AA289" s="17" t="inlineStr">
        <is>
          <t>Transplanting (Pindot)</t>
        </is>
      </c>
      <c r="AB289" s="17" t="inlineStr">
        <is>
          <t>Minimum Tillage (avoid compaction; sandy structure fragile)</t>
        </is>
      </c>
      <c r="AC289" s="17" t="inlineStr">
        <is>
          <t>Continuous flooding or frequent irrigation; high percolation risk; terrace or bund-assisted water retention essential on slopes</t>
        </is>
      </c>
    </row>
    <row r="290" ht="21.75" customHeight="1" s="101">
      <c r="A290" s="6" t="inlineStr">
        <is>
          <t>Palay</t>
        </is>
      </c>
      <c r="B290" s="6" t="inlineStr">
        <is>
          <t>Moreno</t>
        </is>
      </c>
      <c r="C290" s="6" t="inlineStr">
        <is>
          <t>June</t>
        </is>
      </c>
      <c r="D290" s="6" t="inlineStr">
        <is>
          <t>2015</t>
        </is>
      </c>
      <c r="E290" s="6" t="inlineStr">
        <is>
          <t>WS 2015</t>
        </is>
      </c>
      <c r="F290" s="6" t="inlineStr">
        <is>
          <t>Planting</t>
        </is>
      </c>
      <c r="G290" s="7" t="n">
        <v>7.21</v>
      </c>
      <c r="H290" s="8" t="n">
        <v>28.46</v>
      </c>
      <c r="I290" s="8" t="n">
        <v>23.39</v>
      </c>
      <c r="J290" s="8" t="n">
        <v>37.03</v>
      </c>
      <c r="K290" s="8" t="n">
        <v>76.02</v>
      </c>
      <c r="L290" s="8" t="n">
        <v>98.26000000000001</v>
      </c>
      <c r="M290" s="8" t="n">
        <v>22.25</v>
      </c>
      <c r="N290" s="6" t="inlineStr">
        <is>
          <t>Type I – Tropical Monsoon (PAGASA)</t>
        </is>
      </c>
      <c r="O290" s="6" t="inlineStr">
        <is>
          <t>Wet</t>
        </is>
      </c>
      <c r="P290" s="6" t="inlineStr">
        <is>
          <t>Sandy Loam</t>
        </is>
      </c>
      <c r="Q290" s="6" t="inlineStr">
        <is>
          <t>Moderately Sloping / Highland</t>
        </is>
      </c>
      <c r="R290" s="9" t="n">
        <v>90</v>
      </c>
      <c r="S290" s="6" t="inlineStr">
        <is>
          <t>Alibeng River</t>
        </is>
      </c>
      <c r="T290" s="10" t="n">
        <v>641.76</v>
      </c>
      <c r="U290" s="10" t="n">
        <v>65.5</v>
      </c>
      <c r="V290" s="10" t="n">
        <v>79</v>
      </c>
      <c r="W290" s="10" t="n">
        <v>164</v>
      </c>
      <c r="X290" s="10" t="n"/>
      <c r="Y290" s="10" t="n"/>
      <c r="Z290" s="11" t="n"/>
      <c r="AA290" s="12" t="inlineStr">
        <is>
          <t>Transplanting (Pindot) or Direct Seeding (Pinaghandaan)</t>
        </is>
      </c>
      <c r="AB290" s="12" t="inlineStr">
        <is>
          <t>Conventional Tillage: 2 plowings + 2 harrowings; soil workable when moist</t>
        </is>
      </c>
      <c r="AC290" s="12" t="inlineStr">
        <is>
          <t>Intermittent irrigation (Alternate Wetting and Drying — AWD); moderate retention; terrace or bund-assisted water retention essential on slopes</t>
        </is>
      </c>
    </row>
    <row r="291" ht="21.75" customHeight="1" s="101">
      <c r="A291" s="13" t="inlineStr">
        <is>
          <t>Palay</t>
        </is>
      </c>
      <c r="B291" s="13" t="inlineStr">
        <is>
          <t>Cili</t>
        </is>
      </c>
      <c r="C291" s="13" t="inlineStr">
        <is>
          <t>June</t>
        </is>
      </c>
      <c r="D291" s="13" t="inlineStr">
        <is>
          <t>2015</t>
        </is>
      </c>
      <c r="E291" s="13" t="inlineStr">
        <is>
          <t>WS 2015</t>
        </is>
      </c>
      <c r="F291" s="13" t="inlineStr">
        <is>
          <t>Planting</t>
        </is>
      </c>
      <c r="G291" s="7" t="n">
        <v>7.21</v>
      </c>
      <c r="H291" s="8" t="n">
        <v>28.46</v>
      </c>
      <c r="I291" s="8" t="n">
        <v>23.39</v>
      </c>
      <c r="J291" s="8" t="n">
        <v>37.03</v>
      </c>
      <c r="K291" s="8" t="n">
        <v>76.02</v>
      </c>
      <c r="L291" s="8" t="n">
        <v>98.26000000000001</v>
      </c>
      <c r="M291" s="8" t="n">
        <v>22.25</v>
      </c>
      <c r="N291" s="13" t="inlineStr">
        <is>
          <t>Type I – Tropical Monsoon (PAGASA)</t>
        </is>
      </c>
      <c r="O291" s="13" t="inlineStr">
        <is>
          <t>Wet</t>
        </is>
      </c>
      <c r="P291" s="13" t="inlineStr">
        <is>
          <t>Silty Clay Loam</t>
        </is>
      </c>
      <c r="Q291" s="13" t="inlineStr">
        <is>
          <t>Flat / Lowland</t>
        </is>
      </c>
      <c r="R291" s="14" t="n">
        <v>30</v>
      </c>
      <c r="S291" s="13" t="inlineStr">
        <is>
          <t>Alibeng River</t>
        </is>
      </c>
      <c r="T291" s="15" t="n">
        <v>264.6</v>
      </c>
      <c r="U291" s="15" t="n">
        <v>35.21</v>
      </c>
      <c r="V291" s="15" t="n">
        <v>75</v>
      </c>
      <c r="W291" s="15" t="n">
        <v>168</v>
      </c>
      <c r="X291" s="15" t="n"/>
      <c r="Y291" s="15" t="n"/>
      <c r="Z291" s="16" t="n"/>
      <c r="AA291" s="17" t="inlineStr">
        <is>
          <t>Transplanting (Pindot) — optimal for clay-loam paddy fields</t>
        </is>
      </c>
      <c r="AB291" s="17" t="inlineStr">
        <is>
          <t>Wet Tillage (Puddling): 2 plowings + thorough harrowing under flooded condition</t>
        </is>
      </c>
      <c r="AC291" s="17" t="inlineStr">
        <is>
          <t>Continuous flooding 2–5 cm depth during vegetative stage; drain 2 weeks before harvest</t>
        </is>
      </c>
    </row>
    <row r="292" ht="21.75" customHeight="1" s="101">
      <c r="A292" s="6" t="inlineStr">
        <is>
          <t>Palay</t>
        </is>
      </c>
      <c r="B292" s="6" t="inlineStr">
        <is>
          <t>Linmansangan</t>
        </is>
      </c>
      <c r="C292" s="6" t="inlineStr">
        <is>
          <t>June</t>
        </is>
      </c>
      <c r="D292" s="6" t="inlineStr">
        <is>
          <t>2015</t>
        </is>
      </c>
      <c r="E292" s="6" t="inlineStr">
        <is>
          <t>WS 2015</t>
        </is>
      </c>
      <c r="F292" s="6" t="inlineStr">
        <is>
          <t>Planting</t>
        </is>
      </c>
      <c r="G292" s="7" t="n">
        <v>7.21</v>
      </c>
      <c r="H292" s="8" t="n">
        <v>28.46</v>
      </c>
      <c r="I292" s="8" t="n">
        <v>23.39</v>
      </c>
      <c r="J292" s="8" t="n">
        <v>37.03</v>
      </c>
      <c r="K292" s="8" t="n">
        <v>76.02</v>
      </c>
      <c r="L292" s="8" t="n">
        <v>98.26000000000001</v>
      </c>
      <c r="M292" s="8" t="n">
        <v>22.25</v>
      </c>
      <c r="N292" s="6" t="inlineStr">
        <is>
          <t>Type I – Tropical Monsoon (PAGASA)</t>
        </is>
      </c>
      <c r="O292" s="6" t="inlineStr">
        <is>
          <t>Wet</t>
        </is>
      </c>
      <c r="P292" s="6" t="inlineStr">
        <is>
          <t>Silty Clay Loam</t>
        </is>
      </c>
      <c r="Q292" s="6" t="inlineStr">
        <is>
          <t>Flat / Lowland</t>
        </is>
      </c>
      <c r="R292" s="9" t="n">
        <v>30</v>
      </c>
      <c r="S292" s="6" t="inlineStr">
        <is>
          <t>—</t>
        </is>
      </c>
      <c r="T292" s="10" t="n">
        <v>492.24</v>
      </c>
      <c r="U292" s="10" t="n">
        <v>65.5</v>
      </c>
      <c r="V292" s="10" t="n">
        <v>83</v>
      </c>
      <c r="W292" s="10" t="n">
        <v>216</v>
      </c>
      <c r="X292" s="10" t="n"/>
      <c r="Y292" s="10" t="n"/>
      <c r="Z292" s="11" t="n"/>
      <c r="AA292" s="12" t="inlineStr">
        <is>
          <t>Transplanting (Pindot) — optimal for clay-loam paddy fields</t>
        </is>
      </c>
      <c r="AB292" s="12" t="inlineStr">
        <is>
          <t>Wet Tillage (Puddling): 2 plowings + thorough harrowing under flooded condition</t>
        </is>
      </c>
      <c r="AC292" s="12" t="inlineStr">
        <is>
          <t>Continuous flooding 2–5 cm depth during vegetative stage; drain 2 weeks before harvest</t>
        </is>
      </c>
    </row>
    <row r="293" ht="21.75" customHeight="1" s="101">
      <c r="A293" s="13" t="inlineStr">
        <is>
          <t>Palay</t>
        </is>
      </c>
      <c r="B293" s="13" t="inlineStr">
        <is>
          <t>Sumabnit</t>
        </is>
      </c>
      <c r="C293" s="13" t="inlineStr">
        <is>
          <t>June</t>
        </is>
      </c>
      <c r="D293" s="13" t="inlineStr">
        <is>
          <t>2015</t>
        </is>
      </c>
      <c r="E293" s="13" t="inlineStr">
        <is>
          <t>WS 2015</t>
        </is>
      </c>
      <c r="F293" s="13" t="inlineStr">
        <is>
          <t>Planting</t>
        </is>
      </c>
      <c r="G293" s="7" t="n">
        <v>7.21</v>
      </c>
      <c r="H293" s="8" t="n">
        <v>28.46</v>
      </c>
      <c r="I293" s="8" t="n">
        <v>23.39</v>
      </c>
      <c r="J293" s="8" t="n">
        <v>37.03</v>
      </c>
      <c r="K293" s="8" t="n">
        <v>76.02</v>
      </c>
      <c r="L293" s="8" t="n">
        <v>98.26000000000001</v>
      </c>
      <c r="M293" s="8" t="n">
        <v>22.25</v>
      </c>
      <c r="N293" s="13" t="inlineStr">
        <is>
          <t>Type I – Tropical Monsoon (PAGASA)</t>
        </is>
      </c>
      <c r="O293" s="13" t="inlineStr">
        <is>
          <t>Wet</t>
        </is>
      </c>
      <c r="P293" s="13" t="inlineStr">
        <is>
          <t>Silty Clay Loam / Fine Sandy Loam</t>
        </is>
      </c>
      <c r="Q293" s="13" t="inlineStr">
        <is>
          <t>Flat / Lowland</t>
        </is>
      </c>
      <c r="R293" s="14" t="n">
        <v>30</v>
      </c>
      <c r="S293" s="13" t="inlineStr">
        <is>
          <t>Tagamusing River</t>
        </is>
      </c>
      <c r="T293" s="15" t="n">
        <v>406.56</v>
      </c>
      <c r="U293" s="15" t="n">
        <v>130.4</v>
      </c>
      <c r="V293" s="15" t="n">
        <v>71</v>
      </c>
      <c r="W293" s="15" t="n">
        <v>257</v>
      </c>
      <c r="X293" s="15" t="n"/>
      <c r="Y293" s="15" t="n"/>
      <c r="Z293" s="16" t="n"/>
      <c r="AA293" s="17" t="inlineStr">
        <is>
          <t>Transplanting (Pindot)</t>
        </is>
      </c>
      <c r="AB293" s="17" t="inlineStr">
        <is>
          <t>Minimum Tillage (avoid compaction; sandy structure fragile)</t>
        </is>
      </c>
      <c r="AC293" s="17" t="inlineStr">
        <is>
          <t>Continuous flooding or frequent irrigation; high percolation risk</t>
        </is>
      </c>
    </row>
    <row r="294" ht="21.75" customHeight="1" s="101">
      <c r="A294" s="6" t="inlineStr">
        <is>
          <t>Palay</t>
        </is>
      </c>
      <c r="B294" s="6" t="inlineStr">
        <is>
          <t>Capas</t>
        </is>
      </c>
      <c r="C294" s="6" t="inlineStr">
        <is>
          <t>June</t>
        </is>
      </c>
      <c r="D294" s="6" t="inlineStr">
        <is>
          <t>2015</t>
        </is>
      </c>
      <c r="E294" s="6" t="inlineStr">
        <is>
          <t>WS 2015</t>
        </is>
      </c>
      <c r="F294" s="6" t="inlineStr">
        <is>
          <t>Planting</t>
        </is>
      </c>
      <c r="G294" s="7" t="n">
        <v>7.21</v>
      </c>
      <c r="H294" s="8" t="n">
        <v>28.46</v>
      </c>
      <c r="I294" s="8" t="n">
        <v>23.39</v>
      </c>
      <c r="J294" s="8" t="n">
        <v>37.03</v>
      </c>
      <c r="K294" s="8" t="n">
        <v>76.02</v>
      </c>
      <c r="L294" s="8" t="n">
        <v>98.26000000000001</v>
      </c>
      <c r="M294" s="8" t="n">
        <v>22.25</v>
      </c>
      <c r="N294" s="6" t="inlineStr">
        <is>
          <t>Type I – Tropical Monsoon (PAGASA)</t>
        </is>
      </c>
      <c r="O294" s="6" t="inlineStr">
        <is>
          <t>Wet</t>
        </is>
      </c>
      <c r="P294" s="6" t="inlineStr">
        <is>
          <t>Sandy Loam</t>
        </is>
      </c>
      <c r="Q294" s="6" t="inlineStr">
        <is>
          <t>Flat / Lowland</t>
        </is>
      </c>
      <c r="R294" s="9" t="n">
        <v>30</v>
      </c>
      <c r="S294" s="6" t="inlineStr">
        <is>
          <t>—</t>
        </is>
      </c>
      <c r="T294" s="10" t="n">
        <v>377.16</v>
      </c>
      <c r="U294" s="10" t="n">
        <v>3</v>
      </c>
      <c r="V294" s="10" t="n">
        <v>91</v>
      </c>
      <c r="W294" s="10" t="n">
        <v>303</v>
      </c>
      <c r="X294" s="10" t="n"/>
      <c r="Y294" s="10" t="n"/>
      <c r="Z294" s="11" t="n"/>
      <c r="AA294" s="12" t="inlineStr">
        <is>
          <t>Transplanting (Pindot) or Direct Seeding (Pinaghandaan)</t>
        </is>
      </c>
      <c r="AB294" s="12" t="inlineStr">
        <is>
          <t>Conventional Tillage: 2 plowings + 2 harrowings; soil workable when moist</t>
        </is>
      </c>
      <c r="AC294" s="12" t="inlineStr">
        <is>
          <t>Intermittent irrigation (Alternate Wetting and Drying — AWD); moderate retention</t>
        </is>
      </c>
    </row>
    <row r="295" ht="21.75" customHeight="1" s="101">
      <c r="A295" s="13" t="inlineStr">
        <is>
          <t>Palay</t>
        </is>
      </c>
      <c r="B295" s="13" t="inlineStr">
        <is>
          <t>Mangkasuy</t>
        </is>
      </c>
      <c r="C295" s="13" t="inlineStr">
        <is>
          <t>June</t>
        </is>
      </c>
      <c r="D295" s="13" t="inlineStr">
        <is>
          <t>2015</t>
        </is>
      </c>
      <c r="E295" s="13" t="inlineStr">
        <is>
          <t>WS 2015</t>
        </is>
      </c>
      <c r="F295" s="13" t="inlineStr">
        <is>
          <t>Planting</t>
        </is>
      </c>
      <c r="G295" s="7" t="n">
        <v>7.21</v>
      </c>
      <c r="H295" s="8" t="n">
        <v>28.46</v>
      </c>
      <c r="I295" s="8" t="n">
        <v>23.39</v>
      </c>
      <c r="J295" s="8" t="n">
        <v>37.03</v>
      </c>
      <c r="K295" s="8" t="n">
        <v>76.02</v>
      </c>
      <c r="L295" s="8" t="n">
        <v>98.26000000000001</v>
      </c>
      <c r="M295" s="8" t="n">
        <v>22.25</v>
      </c>
      <c r="N295" s="13" t="inlineStr">
        <is>
          <t>Type I – Tropical Monsoon (PAGASA)</t>
        </is>
      </c>
      <c r="O295" s="13" t="inlineStr">
        <is>
          <t>Wet</t>
        </is>
      </c>
      <c r="P295" s="13" t="inlineStr">
        <is>
          <t>Sandy Loam</t>
        </is>
      </c>
      <c r="Q295" s="13" t="inlineStr">
        <is>
          <t>Flat / Lowland</t>
        </is>
      </c>
      <c r="R295" s="14" t="n">
        <v>30</v>
      </c>
      <c r="S295" s="13" t="inlineStr">
        <is>
          <t>Tagamusing River</t>
        </is>
      </c>
      <c r="T295" s="15" t="n">
        <v>802.2</v>
      </c>
      <c r="U295" s="15" t="n">
        <v>5</v>
      </c>
      <c r="V295" s="15" t="n">
        <v>158</v>
      </c>
      <c r="W295" s="15" t="n">
        <v>352</v>
      </c>
      <c r="X295" s="15" t="n"/>
      <c r="Y295" s="15" t="n"/>
      <c r="Z295" s="16" t="n"/>
      <c r="AA295" s="17" t="inlineStr">
        <is>
          <t>Transplanting (Pindot) or Direct Seeding (Pinaghandaan)</t>
        </is>
      </c>
      <c r="AB295" s="17" t="inlineStr">
        <is>
          <t>Conventional Tillage: 2 plowings + 2 harrowings; soil workable when moist</t>
        </is>
      </c>
      <c r="AC295" s="17" t="inlineStr">
        <is>
          <t>Intermittent irrigation (Alternate Wetting and Drying — AWD); moderate retention</t>
        </is>
      </c>
    </row>
    <row r="296" ht="21.75" customHeight="1" s="101">
      <c r="A296" s="6" t="inlineStr">
        <is>
          <t>Palay</t>
        </is>
      </c>
      <c r="B296" s="6" t="inlineStr">
        <is>
          <t>San Pablo</t>
        </is>
      </c>
      <c r="C296" s="6" t="inlineStr">
        <is>
          <t>June</t>
        </is>
      </c>
      <c r="D296" s="6" t="inlineStr">
        <is>
          <t>2015</t>
        </is>
      </c>
      <c r="E296" s="6" t="inlineStr">
        <is>
          <t>WS 2015</t>
        </is>
      </c>
      <c r="F296" s="6" t="inlineStr">
        <is>
          <t>Planting</t>
        </is>
      </c>
      <c r="G296" s="7" t="n">
        <v>7.21</v>
      </c>
      <c r="H296" s="8" t="n">
        <v>28.46</v>
      </c>
      <c r="I296" s="8" t="n">
        <v>23.39</v>
      </c>
      <c r="J296" s="8" t="n">
        <v>37.03</v>
      </c>
      <c r="K296" s="8" t="n">
        <v>76.02</v>
      </c>
      <c r="L296" s="8" t="n">
        <v>98.26000000000001</v>
      </c>
      <c r="M296" s="8" t="n">
        <v>22.25</v>
      </c>
      <c r="N296" s="6" t="inlineStr">
        <is>
          <t>Type I – Tropical Monsoon (PAGASA)</t>
        </is>
      </c>
      <c r="O296" s="6" t="inlineStr">
        <is>
          <t>Wet</t>
        </is>
      </c>
      <c r="P296" s="6" t="inlineStr">
        <is>
          <t>Sandy Loam</t>
        </is>
      </c>
      <c r="Q296" s="6" t="inlineStr">
        <is>
          <t>Flat / Lowland</t>
        </is>
      </c>
      <c r="R296" s="9" t="n">
        <v>30</v>
      </c>
      <c r="S296" s="6" t="inlineStr">
        <is>
          <t>San Pablo Creek</t>
        </is>
      </c>
      <c r="T296" s="10" t="n">
        <v>215.04</v>
      </c>
      <c r="U296" s="10" t="n">
        <v>5</v>
      </c>
      <c r="V296" s="10" t="n">
        <v>19</v>
      </c>
      <c r="W296" s="10" t="n">
        <v>134</v>
      </c>
      <c r="X296" s="10" t="n"/>
      <c r="Y296" s="10" t="n"/>
      <c r="Z296" s="11" t="n"/>
      <c r="AA296" s="12" t="inlineStr">
        <is>
          <t>Transplanting (Pindot) or Direct Seeding (Pinaghandaan)</t>
        </is>
      </c>
      <c r="AB296" s="12" t="inlineStr">
        <is>
          <t>Conventional Tillage: 2 plowings + 2 harrowings; soil workable when moist</t>
        </is>
      </c>
      <c r="AC296" s="12" t="inlineStr">
        <is>
          <t>Intermittent irrigation (Alternate Wetting and Drying — AWD); moderate retention</t>
        </is>
      </c>
    </row>
    <row r="297" ht="21.75" customHeight="1" s="101">
      <c r="A297" s="13" t="inlineStr">
        <is>
          <t>Palay</t>
        </is>
      </c>
      <c r="B297" s="13" t="inlineStr">
        <is>
          <t>Balangobong</t>
        </is>
      </c>
      <c r="C297" s="13" t="inlineStr">
        <is>
          <t>June</t>
        </is>
      </c>
      <c r="D297" s="13" t="inlineStr">
        <is>
          <t>2015</t>
        </is>
      </c>
      <c r="E297" s="13" t="inlineStr">
        <is>
          <t>WS 2015</t>
        </is>
      </c>
      <c r="F297" s="13" t="inlineStr">
        <is>
          <t>Planting</t>
        </is>
      </c>
      <c r="G297" s="7" t="n">
        <v>7.21</v>
      </c>
      <c r="H297" s="8" t="n">
        <v>28.46</v>
      </c>
      <c r="I297" s="8" t="n">
        <v>23.39</v>
      </c>
      <c r="J297" s="8" t="n">
        <v>37.03</v>
      </c>
      <c r="K297" s="8" t="n">
        <v>76.02</v>
      </c>
      <c r="L297" s="8" t="n">
        <v>98.26000000000001</v>
      </c>
      <c r="M297" s="8" t="n">
        <v>22.25</v>
      </c>
      <c r="N297" s="13" t="inlineStr">
        <is>
          <t>Type I – Tropical Monsoon (PAGASA)</t>
        </is>
      </c>
      <c r="O297" s="13" t="inlineStr">
        <is>
          <t>Wet</t>
        </is>
      </c>
      <c r="P297" s="13" t="inlineStr">
        <is>
          <t>Silty Clay Loam</t>
        </is>
      </c>
      <c r="Q297" s="13" t="inlineStr">
        <is>
          <t>Flat / Lowland</t>
        </is>
      </c>
      <c r="R297" s="14" t="n">
        <v>30</v>
      </c>
      <c r="S297" s="13" t="inlineStr">
        <is>
          <t>—</t>
        </is>
      </c>
      <c r="T297" s="15" t="n">
        <v>281.4</v>
      </c>
      <c r="U297" s="15" t="n">
        <v>10</v>
      </c>
      <c r="V297" s="15" t="n">
        <v>10</v>
      </c>
      <c r="W297" s="15" t="n">
        <v>135</v>
      </c>
      <c r="X297" s="15" t="n"/>
      <c r="Y297" s="15" t="n"/>
      <c r="Z297" s="16" t="n"/>
      <c r="AA297" s="17" t="inlineStr">
        <is>
          <t>Transplanting (Pindot) — optimal for clay-loam paddy fields</t>
        </is>
      </c>
      <c r="AB297" s="17" t="inlineStr">
        <is>
          <t>Wet Tillage (Puddling): 2 plowings + thorough harrowing under flooded condition</t>
        </is>
      </c>
      <c r="AC297" s="17" t="inlineStr">
        <is>
          <t>Continuous flooding 2–5 cm depth during vegetative stage; drain 2 weeks before harvest</t>
        </is>
      </c>
    </row>
    <row r="298" ht="21.75" customHeight="1" s="101">
      <c r="A298" s="6" t="inlineStr">
        <is>
          <t>Palay</t>
        </is>
      </c>
      <c r="B298" s="6" t="inlineStr">
        <is>
          <t>San Felipe Central</t>
        </is>
      </c>
      <c r="C298" s="6" t="inlineStr">
        <is>
          <t>June</t>
        </is>
      </c>
      <c r="D298" s="6" t="inlineStr">
        <is>
          <t>2015</t>
        </is>
      </c>
      <c r="E298" s="6" t="inlineStr">
        <is>
          <t>WS 2015</t>
        </is>
      </c>
      <c r="F298" s="6" t="inlineStr">
        <is>
          <t>Planting</t>
        </is>
      </c>
      <c r="G298" s="7" t="n">
        <v>7.21</v>
      </c>
      <c r="H298" s="8" t="n">
        <v>28.46</v>
      </c>
      <c r="I298" s="8" t="n">
        <v>23.39</v>
      </c>
      <c r="J298" s="8" t="n">
        <v>37.03</v>
      </c>
      <c r="K298" s="8" t="n">
        <v>76.02</v>
      </c>
      <c r="L298" s="8" t="n">
        <v>98.26000000000001</v>
      </c>
      <c r="M298" s="8" t="n">
        <v>22.25</v>
      </c>
      <c r="N298" s="6" t="inlineStr">
        <is>
          <t>Type I – Tropical Monsoon (PAGASA)</t>
        </is>
      </c>
      <c r="O298" s="6" t="inlineStr">
        <is>
          <t>Wet</t>
        </is>
      </c>
      <c r="P298" s="6" t="inlineStr">
        <is>
          <t>Sandy Loam</t>
        </is>
      </c>
      <c r="Q298" s="6" t="inlineStr">
        <is>
          <t>Flat / Lowland</t>
        </is>
      </c>
      <c r="R298" s="9" t="n">
        <v>30</v>
      </c>
      <c r="S298" s="6" t="inlineStr">
        <is>
          <t>—</t>
        </is>
      </c>
      <c r="T298" s="10" t="n">
        <v>452.76</v>
      </c>
      <c r="U298" s="10" t="n">
        <v>5</v>
      </c>
      <c r="V298" s="10" t="n">
        <v>39</v>
      </c>
      <c r="W298" s="10" t="n">
        <v>179</v>
      </c>
      <c r="X298" s="10" t="n"/>
      <c r="Y298" s="10" t="n"/>
      <c r="Z298" s="11" t="n"/>
      <c r="AA298" s="12" t="inlineStr">
        <is>
          <t>Transplanting (Pindot) or Direct Seeding (Pinaghandaan)</t>
        </is>
      </c>
      <c r="AB298" s="12" t="inlineStr">
        <is>
          <t>Conventional Tillage: 2 plowings + 2 harrowings; soil workable when moist</t>
        </is>
      </c>
      <c r="AC298" s="12" t="inlineStr">
        <is>
          <t>Intermittent irrigation (Alternate Wetting and Drying — AWD); moderate retention</t>
        </is>
      </c>
    </row>
    <row r="299" ht="21.75" customHeight="1" s="101">
      <c r="A299" s="13" t="inlineStr">
        <is>
          <t>Palay</t>
        </is>
      </c>
      <c r="B299" s="13" t="inlineStr">
        <is>
          <t>San Felipe Sur</t>
        </is>
      </c>
      <c r="C299" s="13" t="inlineStr">
        <is>
          <t>June</t>
        </is>
      </c>
      <c r="D299" s="13" t="inlineStr">
        <is>
          <t>2015</t>
        </is>
      </c>
      <c r="E299" s="13" t="inlineStr">
        <is>
          <t>WS 2015</t>
        </is>
      </c>
      <c r="F299" s="13" t="inlineStr">
        <is>
          <t>Planting</t>
        </is>
      </c>
      <c r="G299" s="7" t="n">
        <v>7.21</v>
      </c>
      <c r="H299" s="8" t="n">
        <v>28.46</v>
      </c>
      <c r="I299" s="8" t="n">
        <v>23.39</v>
      </c>
      <c r="J299" s="8" t="n">
        <v>37.03</v>
      </c>
      <c r="K299" s="8" t="n">
        <v>76.02</v>
      </c>
      <c r="L299" s="8" t="n">
        <v>98.26000000000001</v>
      </c>
      <c r="M299" s="8" t="n">
        <v>22.25</v>
      </c>
      <c r="N299" s="13" t="inlineStr">
        <is>
          <t>Type I – Tropical Monsoon (PAGASA)</t>
        </is>
      </c>
      <c r="O299" s="13" t="inlineStr">
        <is>
          <t>Wet</t>
        </is>
      </c>
      <c r="P299" s="13" t="inlineStr">
        <is>
          <t>Sandy Loam</t>
        </is>
      </c>
      <c r="Q299" s="13" t="inlineStr">
        <is>
          <t>Flat / Lowland</t>
        </is>
      </c>
      <c r="R299" s="14" t="n">
        <v>30</v>
      </c>
      <c r="S299" s="13" t="inlineStr">
        <is>
          <t>Tagamusing River</t>
        </is>
      </c>
      <c r="T299" s="15" t="n">
        <v>504</v>
      </c>
      <c r="U299" s="15" t="n">
        <v>5</v>
      </c>
      <c r="V299" s="15" t="n">
        <v>27</v>
      </c>
      <c r="W299" s="15" t="n">
        <v>178</v>
      </c>
      <c r="X299" s="15" t="n"/>
      <c r="Y299" s="15" t="n"/>
      <c r="Z299" s="16" t="n"/>
      <c r="AA299" s="17" t="inlineStr">
        <is>
          <t>Transplanting (Pindot) or Direct Seeding (Pinaghandaan)</t>
        </is>
      </c>
      <c r="AB299" s="17" t="inlineStr">
        <is>
          <t>Conventional Tillage: 2 plowings + 2 harrowings; soil workable when moist</t>
        </is>
      </c>
      <c r="AC299" s="17" t="inlineStr">
        <is>
          <t>Intermittent irrigation (Alternate Wetting and Drying — AWD); moderate retention</t>
        </is>
      </c>
    </row>
    <row r="300" ht="21.75" customHeight="1" s="101">
      <c r="A300" s="6" t="inlineStr">
        <is>
          <t>Palay</t>
        </is>
      </c>
      <c r="B300" s="6" t="inlineStr">
        <is>
          <t>Pasileng Sur</t>
        </is>
      </c>
      <c r="C300" s="6" t="inlineStr">
        <is>
          <t>June</t>
        </is>
      </c>
      <c r="D300" s="6" t="inlineStr">
        <is>
          <t>2015</t>
        </is>
      </c>
      <c r="E300" s="6" t="inlineStr">
        <is>
          <t>WS 2015</t>
        </is>
      </c>
      <c r="F300" s="6" t="inlineStr">
        <is>
          <t>Planting</t>
        </is>
      </c>
      <c r="G300" s="7" t="n">
        <v>7.21</v>
      </c>
      <c r="H300" s="8" t="n">
        <v>28.46</v>
      </c>
      <c r="I300" s="8" t="n">
        <v>23.39</v>
      </c>
      <c r="J300" s="8" t="n">
        <v>37.03</v>
      </c>
      <c r="K300" s="8" t="n">
        <v>76.02</v>
      </c>
      <c r="L300" s="8" t="n">
        <v>98.26000000000001</v>
      </c>
      <c r="M300" s="8" t="n">
        <v>22.25</v>
      </c>
      <c r="N300" s="6" t="inlineStr">
        <is>
          <t>Type I – Tropical Monsoon (PAGASA)</t>
        </is>
      </c>
      <c r="O300" s="6" t="inlineStr">
        <is>
          <t>Wet</t>
        </is>
      </c>
      <c r="P300" s="6" t="inlineStr">
        <is>
          <t>Sandy Loam</t>
        </is>
      </c>
      <c r="Q300" s="6" t="inlineStr">
        <is>
          <t>Flat / Lowland</t>
        </is>
      </c>
      <c r="R300" s="9" t="n">
        <v>30</v>
      </c>
      <c r="S300" s="6" t="inlineStr">
        <is>
          <t>Tagamusing River</t>
        </is>
      </c>
      <c r="T300" s="10" t="n">
        <v>414.96</v>
      </c>
      <c r="U300" s="10" t="n">
        <v>10</v>
      </c>
      <c r="V300" s="10" t="n">
        <v>15</v>
      </c>
      <c r="W300" s="10" t="n">
        <v>180</v>
      </c>
      <c r="X300" s="10" t="n"/>
      <c r="Y300" s="10" t="n"/>
      <c r="Z300" s="11" t="n"/>
      <c r="AA300" s="12" t="inlineStr">
        <is>
          <t>Transplanting (Pindot) or Direct Seeding (Pinaghandaan)</t>
        </is>
      </c>
      <c r="AB300" s="12" t="inlineStr">
        <is>
          <t>Conventional Tillage: 2 plowings + 2 harrowings; soil workable when moist</t>
        </is>
      </c>
      <c r="AC300" s="12" t="inlineStr">
        <is>
          <t>Intermittent irrigation (Alternate Wetting and Drying — AWD); moderate retention</t>
        </is>
      </c>
    </row>
    <row r="301" ht="21.75" customHeight="1" s="101">
      <c r="A301" s="13" t="inlineStr">
        <is>
          <t>Palay</t>
        </is>
      </c>
      <c r="B301" s="13" t="inlineStr">
        <is>
          <t>Sta. Maria Norte</t>
        </is>
      </c>
      <c r="C301" s="13" t="inlineStr">
        <is>
          <t>June</t>
        </is>
      </c>
      <c r="D301" s="13" t="inlineStr">
        <is>
          <t>2015</t>
        </is>
      </c>
      <c r="E301" s="13" t="inlineStr">
        <is>
          <t>WS 2015</t>
        </is>
      </c>
      <c r="F301" s="13" t="inlineStr">
        <is>
          <t>Planting</t>
        </is>
      </c>
      <c r="G301" s="7" t="n">
        <v>7.21</v>
      </c>
      <c r="H301" s="8" t="n">
        <v>28.46</v>
      </c>
      <c r="I301" s="8" t="n">
        <v>23.39</v>
      </c>
      <c r="J301" s="8" t="n">
        <v>37.03</v>
      </c>
      <c r="K301" s="8" t="n">
        <v>76.02</v>
      </c>
      <c r="L301" s="8" t="n">
        <v>98.26000000000001</v>
      </c>
      <c r="M301" s="8" t="n">
        <v>22.25</v>
      </c>
      <c r="N301" s="13" t="inlineStr">
        <is>
          <t>Type I – Tropical Monsoon (PAGASA)</t>
        </is>
      </c>
      <c r="O301" s="13" t="inlineStr">
        <is>
          <t>Wet</t>
        </is>
      </c>
      <c r="P301" s="13" t="inlineStr">
        <is>
          <t>Sandy Loam</t>
        </is>
      </c>
      <c r="Q301" s="13" t="inlineStr">
        <is>
          <t>Flat / Lowland</t>
        </is>
      </c>
      <c r="R301" s="14" t="n">
        <v>30</v>
      </c>
      <c r="S301" s="13" t="inlineStr">
        <is>
          <t>Tagamusing River</t>
        </is>
      </c>
      <c r="T301" s="15" t="n">
        <v>157.08</v>
      </c>
      <c r="U301" s="15" t="n">
        <v>26.92</v>
      </c>
      <c r="V301" s="15" t="n">
        <v>28</v>
      </c>
      <c r="W301" s="15" t="n">
        <v>68</v>
      </c>
      <c r="X301" s="15" t="n"/>
      <c r="Y301" s="15" t="n"/>
      <c r="Z301" s="16" t="n"/>
      <c r="AA301" s="17" t="inlineStr">
        <is>
          <t>Transplanting (Pindot) or Direct Seeding (Pinaghandaan)</t>
        </is>
      </c>
      <c r="AB301" s="17" t="inlineStr">
        <is>
          <t>Conventional Tillage: 2 plowings + 2 harrowings; soil workable when moist</t>
        </is>
      </c>
      <c r="AC301" s="17" t="inlineStr">
        <is>
          <t>Intermittent irrigation (Alternate Wetting and Drying — AWD); moderate retention</t>
        </is>
      </c>
    </row>
    <row r="302" ht="21.75" customHeight="1" s="101">
      <c r="A302" s="6" t="inlineStr">
        <is>
          <t>Palay</t>
        </is>
      </c>
      <c r="B302" s="6" t="inlineStr">
        <is>
          <t>Bugayong</t>
        </is>
      </c>
      <c r="C302" s="6" t="inlineStr">
        <is>
          <t>June</t>
        </is>
      </c>
      <c r="D302" s="6" t="inlineStr">
        <is>
          <t>2015</t>
        </is>
      </c>
      <c r="E302" s="6" t="inlineStr">
        <is>
          <t>WS 2015</t>
        </is>
      </c>
      <c r="F302" s="6" t="inlineStr">
        <is>
          <t>Planting</t>
        </is>
      </c>
      <c r="G302" s="7" t="n">
        <v>7.21</v>
      </c>
      <c r="H302" s="8" t="n">
        <v>28.46</v>
      </c>
      <c r="I302" s="8" t="n">
        <v>23.39</v>
      </c>
      <c r="J302" s="8" t="n">
        <v>37.03</v>
      </c>
      <c r="K302" s="8" t="n">
        <v>76.02</v>
      </c>
      <c r="L302" s="8" t="n">
        <v>98.26000000000001</v>
      </c>
      <c r="M302" s="8" t="n">
        <v>22.25</v>
      </c>
      <c r="N302" s="6" t="inlineStr">
        <is>
          <t>Type I – Tropical Monsoon (PAGASA)</t>
        </is>
      </c>
      <c r="O302" s="6" t="inlineStr">
        <is>
          <t>Wet</t>
        </is>
      </c>
      <c r="P302" s="6" t="inlineStr">
        <is>
          <t>Sandy Loam / Silty Clay Loam</t>
        </is>
      </c>
      <c r="Q302" s="6" t="inlineStr">
        <is>
          <t>Flat / Lowland</t>
        </is>
      </c>
      <c r="R302" s="9" t="n">
        <v>30</v>
      </c>
      <c r="S302" s="6" t="inlineStr">
        <is>
          <t>Aloragat River</t>
        </is>
      </c>
      <c r="T302" s="10" t="n">
        <v>346.08</v>
      </c>
      <c r="U302" s="10" t="n">
        <v>24.5</v>
      </c>
      <c r="V302" s="10" t="n">
        <v>31</v>
      </c>
      <c r="W302" s="10" t="n">
        <v>78</v>
      </c>
      <c r="X302" s="10" t="n"/>
      <c r="Y302" s="10" t="n"/>
      <c r="Z302" s="11" t="n"/>
      <c r="AA302" s="12" t="inlineStr">
        <is>
          <t>Transplanting (Pindot) — recommended; Direct Seeding possible in dry season</t>
        </is>
      </c>
      <c r="AB302" s="12" t="inlineStr">
        <is>
          <t>Conventional Tillage: 2 plowings + harrowing; puddle thoroughly for transplanting</t>
        </is>
      </c>
      <c r="AC302" s="12" t="inlineStr">
        <is>
          <t>Intermittent to continuous flooding; manage according to drainage section present</t>
        </is>
      </c>
    </row>
    <row r="303" ht="21.75" customHeight="1" s="101">
      <c r="A303" s="13" t="inlineStr">
        <is>
          <t>Palay</t>
        </is>
      </c>
      <c r="B303" s="13" t="inlineStr">
        <is>
          <t>Santiago</t>
        </is>
      </c>
      <c r="C303" s="13" t="inlineStr">
        <is>
          <t>June</t>
        </is>
      </c>
      <c r="D303" s="13" t="inlineStr">
        <is>
          <t>2015</t>
        </is>
      </c>
      <c r="E303" s="13" t="inlineStr">
        <is>
          <t>WS 2015</t>
        </is>
      </c>
      <c r="F303" s="13" t="inlineStr">
        <is>
          <t>Planting</t>
        </is>
      </c>
      <c r="G303" s="7" t="n">
        <v>7.21</v>
      </c>
      <c r="H303" s="8" t="n">
        <v>28.46</v>
      </c>
      <c r="I303" s="8" t="n">
        <v>23.39</v>
      </c>
      <c r="J303" s="8" t="n">
        <v>37.03</v>
      </c>
      <c r="K303" s="8" t="n">
        <v>76.02</v>
      </c>
      <c r="L303" s="8" t="n">
        <v>98.26000000000001</v>
      </c>
      <c r="M303" s="8" t="n">
        <v>22.25</v>
      </c>
      <c r="N303" s="13" t="inlineStr">
        <is>
          <t>Type I – Tropical Monsoon (PAGASA)</t>
        </is>
      </c>
      <c r="O303" s="13" t="inlineStr">
        <is>
          <t>Wet</t>
        </is>
      </c>
      <c r="P303" s="13" t="inlineStr">
        <is>
          <t>Silty Clay Loam</t>
        </is>
      </c>
      <c r="Q303" s="13" t="inlineStr">
        <is>
          <t>Flat / Lowland</t>
        </is>
      </c>
      <c r="R303" s="14" t="n">
        <v>30</v>
      </c>
      <c r="S303" s="13" t="inlineStr">
        <is>
          <t>—</t>
        </is>
      </c>
      <c r="T303" s="15" t="n">
        <v>283.08</v>
      </c>
      <c r="U303" s="15" t="n">
        <v>130.4</v>
      </c>
      <c r="V303" s="15" t="n">
        <v>84</v>
      </c>
      <c r="W303" s="15" t="n">
        <v>251</v>
      </c>
      <c r="X303" s="15" t="n"/>
      <c r="Y303" s="15" t="n"/>
      <c r="Z303" s="16" t="n"/>
      <c r="AA303" s="17" t="inlineStr">
        <is>
          <t>Transplanting (Pindot) — optimal for clay-loam paddy fields</t>
        </is>
      </c>
      <c r="AB303" s="17" t="inlineStr">
        <is>
          <t>Wet Tillage (Puddling): 2 plowings + thorough harrowing under flooded condition</t>
        </is>
      </c>
      <c r="AC303" s="17" t="inlineStr">
        <is>
          <t>Continuous flooding 2–5 cm depth during vegetative stage; drain 2 weeks before harvest</t>
        </is>
      </c>
    </row>
    <row r="304" ht="21.75" customHeight="1" s="101">
      <c r="A304" s="6" t="inlineStr">
        <is>
          <t>Palay</t>
        </is>
      </c>
      <c r="B304" s="6" t="inlineStr">
        <is>
          <t>Pasileng Norte</t>
        </is>
      </c>
      <c r="C304" s="6" t="inlineStr">
        <is>
          <t>June</t>
        </is>
      </c>
      <c r="D304" s="6" t="inlineStr">
        <is>
          <t>2016</t>
        </is>
      </c>
      <c r="E304" s="6" t="inlineStr">
        <is>
          <t>WS 2016</t>
        </is>
      </c>
      <c r="F304" s="6" t="inlineStr">
        <is>
          <t>Planting</t>
        </is>
      </c>
      <c r="G304" s="7" t="n">
        <v>6.97</v>
      </c>
      <c r="H304" s="8" t="n">
        <v>27.43</v>
      </c>
      <c r="I304" s="8" t="n">
        <v>23.57</v>
      </c>
      <c r="J304" s="8" t="n">
        <v>33.6</v>
      </c>
      <c r="K304" s="8" t="n">
        <v>81.41</v>
      </c>
      <c r="L304" s="8" t="n">
        <v>98.33</v>
      </c>
      <c r="M304" s="8" t="n">
        <v>20.67</v>
      </c>
      <c r="N304" s="6" t="inlineStr">
        <is>
          <t>Type I – Tropical Monsoon (PAGASA)</t>
        </is>
      </c>
      <c r="O304" s="6" t="inlineStr">
        <is>
          <t>Wet</t>
        </is>
      </c>
      <c r="P304" s="6" t="inlineStr">
        <is>
          <t>Sandy Loam</t>
        </is>
      </c>
      <c r="Q304" s="6" t="inlineStr">
        <is>
          <t>Flat / Lowland</t>
        </is>
      </c>
      <c r="R304" s="9" t="n">
        <v>30</v>
      </c>
      <c r="S304" s="6" t="inlineStr">
        <is>
          <t>Tagamusing River</t>
        </is>
      </c>
      <c r="T304" s="10" t="n">
        <v>140.28</v>
      </c>
      <c r="U304" s="10" t="n">
        <v>78.34999999999999</v>
      </c>
      <c r="V304" s="10" t="n">
        <v>2.65</v>
      </c>
      <c r="W304" s="10" t="n">
        <v>81</v>
      </c>
      <c r="X304" s="10" t="n"/>
      <c r="Y304" s="10" t="n"/>
      <c r="Z304" s="11" t="n"/>
      <c r="AA304" s="12" t="inlineStr">
        <is>
          <t>Transplanting (Pindot) or Direct Seeding (Pinaghandaan)</t>
        </is>
      </c>
      <c r="AB304" s="12" t="inlineStr">
        <is>
          <t>Conventional Tillage: 2 plowings + 2 harrowings; soil workable when moist</t>
        </is>
      </c>
      <c r="AC304" s="12" t="inlineStr">
        <is>
          <t>Intermittent irrigation (Alternate Wetting and Drying — AWD); moderate retention</t>
        </is>
      </c>
    </row>
    <row r="305" ht="21.75" customHeight="1" s="101">
      <c r="A305" s="13" t="inlineStr">
        <is>
          <t>Palay</t>
        </is>
      </c>
      <c r="B305" s="13" t="inlineStr">
        <is>
          <t>Tabuyoc</t>
        </is>
      </c>
      <c r="C305" s="13" t="inlineStr">
        <is>
          <t>June</t>
        </is>
      </c>
      <c r="D305" s="13" t="inlineStr">
        <is>
          <t>2016</t>
        </is>
      </c>
      <c r="E305" s="13" t="inlineStr">
        <is>
          <t>WS 2016</t>
        </is>
      </c>
      <c r="F305" s="13" t="inlineStr">
        <is>
          <t>Planting</t>
        </is>
      </c>
      <c r="G305" s="7" t="n">
        <v>6.97</v>
      </c>
      <c r="H305" s="8" t="n">
        <v>27.43</v>
      </c>
      <c r="I305" s="8" t="n">
        <v>23.57</v>
      </c>
      <c r="J305" s="8" t="n">
        <v>33.6</v>
      </c>
      <c r="K305" s="8" t="n">
        <v>81.41</v>
      </c>
      <c r="L305" s="8" t="n">
        <v>98.33</v>
      </c>
      <c r="M305" s="8" t="n">
        <v>20.67</v>
      </c>
      <c r="N305" s="13" t="inlineStr">
        <is>
          <t>Type I – Tropical Monsoon (PAGASA)</t>
        </is>
      </c>
      <c r="O305" s="13" t="inlineStr">
        <is>
          <t>Wet</t>
        </is>
      </c>
      <c r="P305" s="13" t="inlineStr">
        <is>
          <t>Silty Clay Loam</t>
        </is>
      </c>
      <c r="Q305" s="13" t="inlineStr">
        <is>
          <t>Flat / Lowland</t>
        </is>
      </c>
      <c r="R305" s="14" t="n">
        <v>30</v>
      </c>
      <c r="S305" s="13" t="inlineStr">
        <is>
          <t>—</t>
        </is>
      </c>
      <c r="T305" s="15" t="n">
        <v>277.2</v>
      </c>
      <c r="U305" s="15" t="n">
        <v>134</v>
      </c>
      <c r="V305" s="15" t="n">
        <v>5</v>
      </c>
      <c r="W305" s="15" t="n">
        <v>139</v>
      </c>
      <c r="X305" s="15" t="n"/>
      <c r="Y305" s="15" t="n"/>
      <c r="Z305" s="16" t="n"/>
      <c r="AA305" s="17" t="inlineStr">
        <is>
          <t>Transplanting (Pindot) — optimal for clay-loam paddy fields</t>
        </is>
      </c>
      <c r="AB305" s="17" t="inlineStr">
        <is>
          <t>Wet Tillage (Puddling): 2 plowings + thorough harrowing under flooded condition</t>
        </is>
      </c>
      <c r="AC305" s="17" t="inlineStr">
        <is>
          <t>Continuous flooding 2–5 cm depth during vegetative stage; drain 2 weeks before harvest</t>
        </is>
      </c>
    </row>
    <row r="306" ht="21.75" customHeight="1" s="101">
      <c r="A306" s="6" t="inlineStr">
        <is>
          <t>Palay</t>
        </is>
      </c>
      <c r="B306" s="6" t="inlineStr">
        <is>
          <t>Bued</t>
        </is>
      </c>
      <c r="C306" s="6" t="inlineStr">
        <is>
          <t>June</t>
        </is>
      </c>
      <c r="D306" s="6" t="inlineStr">
        <is>
          <t>2016</t>
        </is>
      </c>
      <c r="E306" s="6" t="inlineStr">
        <is>
          <t>WS 2016</t>
        </is>
      </c>
      <c r="F306" s="6" t="inlineStr">
        <is>
          <t>Planting</t>
        </is>
      </c>
      <c r="G306" s="7" t="n">
        <v>6.97</v>
      </c>
      <c r="H306" s="8" t="n">
        <v>27.43</v>
      </c>
      <c r="I306" s="8" t="n">
        <v>23.57</v>
      </c>
      <c r="J306" s="8" t="n">
        <v>33.6</v>
      </c>
      <c r="K306" s="8" t="n">
        <v>81.41</v>
      </c>
      <c r="L306" s="8" t="n">
        <v>98.33</v>
      </c>
      <c r="M306" s="8" t="n">
        <v>20.67</v>
      </c>
      <c r="N306" s="6" t="inlineStr">
        <is>
          <t>Type I – Tropical Monsoon (PAGASA)</t>
        </is>
      </c>
      <c r="O306" s="6" t="inlineStr">
        <is>
          <t>Wet</t>
        </is>
      </c>
      <c r="P306" s="6" t="inlineStr">
        <is>
          <t>Silty Clay Loam</t>
        </is>
      </c>
      <c r="Q306" s="6" t="inlineStr">
        <is>
          <t>Flat / Lowland</t>
        </is>
      </c>
      <c r="R306" s="9" t="n">
        <v>30</v>
      </c>
      <c r="S306" s="6" t="inlineStr">
        <is>
          <t>Tagamusing River</t>
        </is>
      </c>
      <c r="T306" s="10" t="n">
        <v>210.84</v>
      </c>
      <c r="U306" s="10" t="n">
        <v>56.5</v>
      </c>
      <c r="V306" s="10" t="n">
        <v>37.5</v>
      </c>
      <c r="W306" s="10" t="n">
        <v>94</v>
      </c>
      <c r="X306" s="10" t="n"/>
      <c r="Y306" s="10" t="n"/>
      <c r="Z306" s="11" t="n"/>
      <c r="AA306" s="12" t="inlineStr">
        <is>
          <t>Transplanting (Pindot) — optimal for clay-loam paddy fields</t>
        </is>
      </c>
      <c r="AB306" s="12" t="inlineStr">
        <is>
          <t>Wet Tillage (Puddling): 2 plowings + thorough harrowing under flooded condition</t>
        </is>
      </c>
      <c r="AC306" s="12" t="inlineStr">
        <is>
          <t>Continuous flooding 2–5 cm depth during vegetative stage; drain 2 weeks before harvest</t>
        </is>
      </c>
    </row>
    <row r="307" ht="21.75" customHeight="1" s="101">
      <c r="A307" s="13" t="inlineStr">
        <is>
          <t>Palay</t>
        </is>
      </c>
      <c r="B307" s="13" t="inlineStr">
        <is>
          <t>Dumayat</t>
        </is>
      </c>
      <c r="C307" s="13" t="inlineStr">
        <is>
          <t>June</t>
        </is>
      </c>
      <c r="D307" s="13" t="inlineStr">
        <is>
          <t>2016</t>
        </is>
      </c>
      <c r="E307" s="13" t="inlineStr">
        <is>
          <t>WS 2016</t>
        </is>
      </c>
      <c r="F307" s="13" t="inlineStr">
        <is>
          <t>Planting</t>
        </is>
      </c>
      <c r="G307" s="7" t="n">
        <v>6.97</v>
      </c>
      <c r="H307" s="8" t="n">
        <v>27.43</v>
      </c>
      <c r="I307" s="8" t="n">
        <v>23.57</v>
      </c>
      <c r="J307" s="8" t="n">
        <v>33.6</v>
      </c>
      <c r="K307" s="8" t="n">
        <v>81.41</v>
      </c>
      <c r="L307" s="8" t="n">
        <v>98.33</v>
      </c>
      <c r="M307" s="8" t="n">
        <v>20.67</v>
      </c>
      <c r="N307" s="13" t="inlineStr">
        <is>
          <t>Type I – Tropical Monsoon (PAGASA)</t>
        </is>
      </c>
      <c r="O307" s="13" t="inlineStr">
        <is>
          <t>Wet</t>
        </is>
      </c>
      <c r="P307" s="13" t="inlineStr">
        <is>
          <t>Silty Clay Loam</t>
        </is>
      </c>
      <c r="Q307" s="13" t="inlineStr">
        <is>
          <t>Flat / Lowland</t>
        </is>
      </c>
      <c r="R307" s="14" t="n">
        <v>30</v>
      </c>
      <c r="S307" s="13" t="inlineStr">
        <is>
          <t>—</t>
        </is>
      </c>
      <c r="T307" s="15" t="n">
        <v>266.28</v>
      </c>
      <c r="U307" s="15" t="n">
        <v>56</v>
      </c>
      <c r="V307" s="15" t="n">
        <v>30</v>
      </c>
      <c r="W307" s="15" t="n">
        <v>86</v>
      </c>
      <c r="X307" s="15" t="n"/>
      <c r="Y307" s="15" t="n"/>
      <c r="Z307" s="16" t="n"/>
      <c r="AA307" s="17" t="inlineStr">
        <is>
          <t>Transplanting (Pindot) — optimal for clay-loam paddy fields</t>
        </is>
      </c>
      <c r="AB307" s="17" t="inlineStr">
        <is>
          <t>Wet Tillage (Puddling): 2 plowings + thorough harrowing under flooded condition</t>
        </is>
      </c>
      <c r="AC307" s="17" t="inlineStr">
        <is>
          <t>Continuous flooding 2–5 cm depth during vegetative stage; drain 2 weeks before harvest</t>
        </is>
      </c>
    </row>
    <row r="308" ht="21.75" customHeight="1" s="101">
      <c r="A308" s="6" t="inlineStr">
        <is>
          <t>Palay</t>
        </is>
      </c>
      <c r="B308" s="6" t="inlineStr">
        <is>
          <t>Camanggaan</t>
        </is>
      </c>
      <c r="C308" s="6" t="inlineStr">
        <is>
          <t>June</t>
        </is>
      </c>
      <c r="D308" s="6" t="inlineStr">
        <is>
          <t>2016</t>
        </is>
      </c>
      <c r="E308" s="6" t="inlineStr">
        <is>
          <t>WS 2016</t>
        </is>
      </c>
      <c r="F308" s="6" t="inlineStr">
        <is>
          <t>Planting</t>
        </is>
      </c>
      <c r="G308" s="7" t="n">
        <v>6.97</v>
      </c>
      <c r="H308" s="8" t="n">
        <v>27.43</v>
      </c>
      <c r="I308" s="8" t="n">
        <v>23.57</v>
      </c>
      <c r="J308" s="8" t="n">
        <v>33.6</v>
      </c>
      <c r="K308" s="8" t="n">
        <v>81.41</v>
      </c>
      <c r="L308" s="8" t="n">
        <v>98.33</v>
      </c>
      <c r="M308" s="8" t="n">
        <v>20.67</v>
      </c>
      <c r="N308" s="6" t="inlineStr">
        <is>
          <t>Type I – Tropical Monsoon (PAGASA)</t>
        </is>
      </c>
      <c r="O308" s="6" t="inlineStr">
        <is>
          <t>Wet</t>
        </is>
      </c>
      <c r="P308" s="6" t="inlineStr">
        <is>
          <t>Sandy Loam</t>
        </is>
      </c>
      <c r="Q308" s="6" t="inlineStr">
        <is>
          <t>Flat / Lowland</t>
        </is>
      </c>
      <c r="R308" s="9" t="n">
        <v>30</v>
      </c>
      <c r="S308" s="6" t="inlineStr">
        <is>
          <t>—</t>
        </is>
      </c>
      <c r="T308" s="10" t="n">
        <v>244.44</v>
      </c>
      <c r="U308" s="10" t="n">
        <v>19</v>
      </c>
      <c r="V308" s="10" t="n">
        <v>68</v>
      </c>
      <c r="W308" s="10" t="n">
        <v>87</v>
      </c>
      <c r="X308" s="10" t="n"/>
      <c r="Y308" s="10" t="n"/>
      <c r="Z308" s="11" t="n"/>
      <c r="AA308" s="12" t="inlineStr">
        <is>
          <t>Transplanting (Pindot) or Direct Seeding (Pinaghandaan)</t>
        </is>
      </c>
      <c r="AB308" s="12" t="inlineStr">
        <is>
          <t>Conventional Tillage: 2 plowings + 2 harrowings; soil workable when moist</t>
        </is>
      </c>
      <c r="AC308" s="12" t="inlineStr">
        <is>
          <t>Intermittent irrigation (Alternate Wetting and Drying — AWD); moderate retention</t>
        </is>
      </c>
    </row>
    <row r="309" ht="21.75" customHeight="1" s="101">
      <c r="A309" s="13" t="inlineStr">
        <is>
          <t>Palay</t>
        </is>
      </c>
      <c r="B309" s="13" t="inlineStr">
        <is>
          <t>Vacante</t>
        </is>
      </c>
      <c r="C309" s="13" t="inlineStr">
        <is>
          <t>June</t>
        </is>
      </c>
      <c r="D309" s="13" t="inlineStr">
        <is>
          <t>2016</t>
        </is>
      </c>
      <c r="E309" s="13" t="inlineStr">
        <is>
          <t>WS 2016</t>
        </is>
      </c>
      <c r="F309" s="13" t="inlineStr">
        <is>
          <t>Planting</t>
        </is>
      </c>
      <c r="G309" s="7" t="n">
        <v>6.97</v>
      </c>
      <c r="H309" s="8" t="n">
        <v>27.43</v>
      </c>
      <c r="I309" s="8" t="n">
        <v>23.57</v>
      </c>
      <c r="J309" s="8" t="n">
        <v>33.6</v>
      </c>
      <c r="K309" s="8" t="n">
        <v>81.41</v>
      </c>
      <c r="L309" s="8" t="n">
        <v>98.33</v>
      </c>
      <c r="M309" s="8" t="n">
        <v>20.67</v>
      </c>
      <c r="N309" s="13" t="inlineStr">
        <is>
          <t>Type I – Tropical Monsoon (PAGASA)</t>
        </is>
      </c>
      <c r="O309" s="13" t="inlineStr">
        <is>
          <t>Wet</t>
        </is>
      </c>
      <c r="P309" s="13" t="inlineStr">
        <is>
          <t>Silty Clay Loam</t>
        </is>
      </c>
      <c r="Q309" s="13" t="inlineStr">
        <is>
          <t>Flat / Lowland</t>
        </is>
      </c>
      <c r="R309" s="14" t="n">
        <v>30</v>
      </c>
      <c r="S309" s="13" t="inlineStr">
        <is>
          <t>Aloragat River</t>
        </is>
      </c>
      <c r="T309" s="15" t="n">
        <v>484.68</v>
      </c>
      <c r="U309" s="15" t="n">
        <v>28</v>
      </c>
      <c r="V309" s="15" t="n">
        <v>81</v>
      </c>
      <c r="W309" s="15" t="n">
        <v>109</v>
      </c>
      <c r="X309" s="15" t="n"/>
      <c r="Y309" s="15" t="n"/>
      <c r="Z309" s="16" t="n"/>
      <c r="AA309" s="17" t="inlineStr">
        <is>
          <t>Transplanting (Pindot) — optimal for clay-loam paddy fields</t>
        </is>
      </c>
      <c r="AB309" s="17" t="inlineStr">
        <is>
          <t>Wet Tillage (Puddling): 2 plowings + thorough harrowing under flooded condition</t>
        </is>
      </c>
      <c r="AC309" s="17" t="inlineStr">
        <is>
          <t>Continuous flooding 2–5 cm depth during vegetative stage; drain 2 weeks before harvest</t>
        </is>
      </c>
    </row>
    <row r="310" ht="21.75" customHeight="1" s="101">
      <c r="A310" s="6" t="inlineStr">
        <is>
          <t>Palay</t>
        </is>
      </c>
      <c r="B310" s="6" t="inlineStr">
        <is>
          <t>Sta. Catalina</t>
        </is>
      </c>
      <c r="C310" s="6" t="inlineStr">
        <is>
          <t>June</t>
        </is>
      </c>
      <c r="D310" s="6" t="inlineStr">
        <is>
          <t>2016</t>
        </is>
      </c>
      <c r="E310" s="6" t="inlineStr">
        <is>
          <t>WS 2016</t>
        </is>
      </c>
      <c r="F310" s="6" t="inlineStr">
        <is>
          <t>Planting</t>
        </is>
      </c>
      <c r="G310" s="7" t="n">
        <v>6.97</v>
      </c>
      <c r="H310" s="8" t="n">
        <v>27.43</v>
      </c>
      <c r="I310" s="8" t="n">
        <v>23.57</v>
      </c>
      <c r="J310" s="8" t="n">
        <v>33.6</v>
      </c>
      <c r="K310" s="8" t="n">
        <v>81.41</v>
      </c>
      <c r="L310" s="8" t="n">
        <v>98.33</v>
      </c>
      <c r="M310" s="8" t="n">
        <v>20.67</v>
      </c>
      <c r="N310" s="6" t="inlineStr">
        <is>
          <t>Type I – Tropical Monsoon (PAGASA)</t>
        </is>
      </c>
      <c r="O310" s="6" t="inlineStr">
        <is>
          <t>Wet</t>
        </is>
      </c>
      <c r="P310" s="6" t="inlineStr">
        <is>
          <t>Fine Sand / Sandy Loam</t>
        </is>
      </c>
      <c r="Q310" s="6" t="inlineStr">
        <is>
          <t>Moderately Sloping / Highland</t>
        </is>
      </c>
      <c r="R310" s="9" t="n">
        <v>90</v>
      </c>
      <c r="S310" s="6" t="inlineStr">
        <is>
          <t>—</t>
        </is>
      </c>
      <c r="T310" s="10" t="n">
        <v>709.8</v>
      </c>
      <c r="U310" s="10" t="n">
        <v>49</v>
      </c>
      <c r="V310" s="10" t="n">
        <v>180</v>
      </c>
      <c r="W310" s="10" t="n">
        <v>229</v>
      </c>
      <c r="X310" s="10" t="n"/>
      <c r="Y310" s="10" t="n"/>
      <c r="Z310" s="11" t="n"/>
      <c r="AA310" s="12" t="inlineStr">
        <is>
          <t>Transplanting (Pindot)</t>
        </is>
      </c>
      <c r="AB310" s="12" t="inlineStr">
        <is>
          <t>Minimum Tillage (avoid compaction; sandy structure fragile)</t>
        </is>
      </c>
      <c r="AC310" s="12" t="inlineStr">
        <is>
          <t>Continuous flooding or frequent irrigation; high percolation risk; terrace or bund-assisted water retention essential on slopes</t>
        </is>
      </c>
    </row>
    <row r="311" ht="21.75" customHeight="1" s="101">
      <c r="A311" s="13" t="inlineStr">
        <is>
          <t>Palay</t>
        </is>
      </c>
      <c r="B311" s="13" t="inlineStr">
        <is>
          <t>Moreno</t>
        </is>
      </c>
      <c r="C311" s="13" t="inlineStr">
        <is>
          <t>June</t>
        </is>
      </c>
      <c r="D311" s="13" t="inlineStr">
        <is>
          <t>2016</t>
        </is>
      </c>
      <c r="E311" s="13" t="inlineStr">
        <is>
          <t>WS 2016</t>
        </is>
      </c>
      <c r="F311" s="13" t="inlineStr">
        <is>
          <t>Planting</t>
        </is>
      </c>
      <c r="G311" s="7" t="n">
        <v>6.97</v>
      </c>
      <c r="H311" s="8" t="n">
        <v>27.43</v>
      </c>
      <c r="I311" s="8" t="n">
        <v>23.57</v>
      </c>
      <c r="J311" s="8" t="n">
        <v>33.6</v>
      </c>
      <c r="K311" s="8" t="n">
        <v>81.41</v>
      </c>
      <c r="L311" s="8" t="n">
        <v>98.33</v>
      </c>
      <c r="M311" s="8" t="n">
        <v>20.67</v>
      </c>
      <c r="N311" s="13" t="inlineStr">
        <is>
          <t>Type I – Tropical Monsoon (PAGASA)</t>
        </is>
      </c>
      <c r="O311" s="13" t="inlineStr">
        <is>
          <t>Wet</t>
        </is>
      </c>
      <c r="P311" s="13" t="inlineStr">
        <is>
          <t>Sandy Loam</t>
        </is>
      </c>
      <c r="Q311" s="13" t="inlineStr">
        <is>
          <t>Moderately Sloping / Highland</t>
        </is>
      </c>
      <c r="R311" s="14" t="n">
        <v>90</v>
      </c>
      <c r="S311" s="13" t="inlineStr">
        <is>
          <t>Alibeng River</t>
        </is>
      </c>
      <c r="T311" s="15" t="n">
        <v>641.76</v>
      </c>
      <c r="U311" s="15" t="n">
        <v>47.4</v>
      </c>
      <c r="V311" s="15" t="n">
        <v>116.6</v>
      </c>
      <c r="W311" s="15" t="n">
        <v>164</v>
      </c>
      <c r="X311" s="15" t="n"/>
      <c r="Y311" s="15" t="n"/>
      <c r="Z311" s="16" t="n"/>
      <c r="AA311" s="17" t="inlineStr">
        <is>
          <t>Transplanting (Pindot) or Direct Seeding (Pinaghandaan)</t>
        </is>
      </c>
      <c r="AB311" s="17" t="inlineStr">
        <is>
          <t>Conventional Tillage: 2 plowings + 2 harrowings; soil workable when moist</t>
        </is>
      </c>
      <c r="AC311" s="17" t="inlineStr">
        <is>
          <t>Intermittent irrigation (Alternate Wetting and Drying — AWD); moderate retention; terrace or bund-assisted water retention essential on slopes</t>
        </is>
      </c>
    </row>
    <row r="312" ht="21.75" customHeight="1" s="101">
      <c r="A312" s="6" t="inlineStr">
        <is>
          <t>Palay</t>
        </is>
      </c>
      <c r="B312" s="6" t="inlineStr">
        <is>
          <t>Cili</t>
        </is>
      </c>
      <c r="C312" s="6" t="inlineStr">
        <is>
          <t>June</t>
        </is>
      </c>
      <c r="D312" s="6" t="inlineStr">
        <is>
          <t>2016</t>
        </is>
      </c>
      <c r="E312" s="6" t="inlineStr">
        <is>
          <t>WS 2016</t>
        </is>
      </c>
      <c r="F312" s="6" t="inlineStr">
        <is>
          <t>Planting</t>
        </is>
      </c>
      <c r="G312" s="7" t="n">
        <v>6.97</v>
      </c>
      <c r="H312" s="8" t="n">
        <v>27.43</v>
      </c>
      <c r="I312" s="8" t="n">
        <v>23.57</v>
      </c>
      <c r="J312" s="8" t="n">
        <v>33.6</v>
      </c>
      <c r="K312" s="8" t="n">
        <v>81.41</v>
      </c>
      <c r="L312" s="8" t="n">
        <v>98.33</v>
      </c>
      <c r="M312" s="8" t="n">
        <v>20.67</v>
      </c>
      <c r="N312" s="6" t="inlineStr">
        <is>
          <t>Type I – Tropical Monsoon (PAGASA)</t>
        </is>
      </c>
      <c r="O312" s="6" t="inlineStr">
        <is>
          <t>Wet</t>
        </is>
      </c>
      <c r="P312" s="6" t="inlineStr">
        <is>
          <t>Silty Clay Loam</t>
        </is>
      </c>
      <c r="Q312" s="6" t="inlineStr">
        <is>
          <t>Flat / Lowland</t>
        </is>
      </c>
      <c r="R312" s="9" t="n">
        <v>30</v>
      </c>
      <c r="S312" s="6" t="inlineStr">
        <is>
          <t>Alibeng River</t>
        </is>
      </c>
      <c r="T312" s="10" t="n">
        <v>264.6</v>
      </c>
      <c r="U312" s="10" t="n">
        <v>40</v>
      </c>
      <c r="V312" s="10" t="n">
        <v>128</v>
      </c>
      <c r="W312" s="10" t="n">
        <v>168</v>
      </c>
      <c r="X312" s="10" t="n"/>
      <c r="Y312" s="10" t="n"/>
      <c r="Z312" s="11" t="n"/>
      <c r="AA312" s="12" t="inlineStr">
        <is>
          <t>Transplanting (Pindot) — optimal for clay-loam paddy fields</t>
        </is>
      </c>
      <c r="AB312" s="12" t="inlineStr">
        <is>
          <t>Wet Tillage (Puddling): 2 plowings + thorough harrowing under flooded condition</t>
        </is>
      </c>
      <c r="AC312" s="12" t="inlineStr">
        <is>
          <t>Continuous flooding 2–5 cm depth during vegetative stage; drain 2 weeks before harvest</t>
        </is>
      </c>
    </row>
    <row r="313" ht="21.75" customHeight="1" s="101">
      <c r="A313" s="13" t="inlineStr">
        <is>
          <t>Palay</t>
        </is>
      </c>
      <c r="B313" s="13" t="inlineStr">
        <is>
          <t>Linmansangan</t>
        </is>
      </c>
      <c r="C313" s="13" t="inlineStr">
        <is>
          <t>June</t>
        </is>
      </c>
      <c r="D313" s="13" t="inlineStr">
        <is>
          <t>2016</t>
        </is>
      </c>
      <c r="E313" s="13" t="inlineStr">
        <is>
          <t>WS 2016</t>
        </is>
      </c>
      <c r="F313" s="13" t="inlineStr">
        <is>
          <t>Planting</t>
        </is>
      </c>
      <c r="G313" s="7" t="n">
        <v>6.97</v>
      </c>
      <c r="H313" s="8" t="n">
        <v>27.43</v>
      </c>
      <c r="I313" s="8" t="n">
        <v>23.57</v>
      </c>
      <c r="J313" s="8" t="n">
        <v>33.6</v>
      </c>
      <c r="K313" s="8" t="n">
        <v>81.41</v>
      </c>
      <c r="L313" s="8" t="n">
        <v>98.33</v>
      </c>
      <c r="M313" s="8" t="n">
        <v>20.67</v>
      </c>
      <c r="N313" s="13" t="inlineStr">
        <is>
          <t>Type I – Tropical Monsoon (PAGASA)</t>
        </is>
      </c>
      <c r="O313" s="13" t="inlineStr">
        <is>
          <t>Wet</t>
        </is>
      </c>
      <c r="P313" s="13" t="inlineStr">
        <is>
          <t>Silty Clay Loam</t>
        </is>
      </c>
      <c r="Q313" s="13" t="inlineStr">
        <is>
          <t>Flat / Lowland</t>
        </is>
      </c>
      <c r="R313" s="14" t="n">
        <v>30</v>
      </c>
      <c r="S313" s="13" t="inlineStr">
        <is>
          <t>—</t>
        </is>
      </c>
      <c r="T313" s="15" t="n">
        <v>492.24</v>
      </c>
      <c r="U313" s="15" t="n">
        <v>65.5</v>
      </c>
      <c r="V313" s="15" t="n">
        <v>150.5</v>
      </c>
      <c r="W313" s="15" t="n">
        <v>216</v>
      </c>
      <c r="X313" s="15" t="n"/>
      <c r="Y313" s="15" t="n"/>
      <c r="Z313" s="16" t="n"/>
      <c r="AA313" s="17" t="inlineStr">
        <is>
          <t>Transplanting (Pindot) — optimal for clay-loam paddy fields</t>
        </is>
      </c>
      <c r="AB313" s="17" t="inlineStr">
        <is>
          <t>Wet Tillage (Puddling): 2 plowings + thorough harrowing under flooded condition</t>
        </is>
      </c>
      <c r="AC313" s="17" t="inlineStr">
        <is>
          <t>Continuous flooding 2–5 cm depth during vegetative stage; drain 2 weeks before harvest</t>
        </is>
      </c>
    </row>
    <row r="314" ht="21.75" customHeight="1" s="101">
      <c r="A314" s="6" t="inlineStr">
        <is>
          <t>Palay</t>
        </is>
      </c>
      <c r="B314" s="6" t="inlineStr">
        <is>
          <t>Sumabnit</t>
        </is>
      </c>
      <c r="C314" s="6" t="inlineStr">
        <is>
          <t>June</t>
        </is>
      </c>
      <c r="D314" s="6" t="inlineStr">
        <is>
          <t>2016</t>
        </is>
      </c>
      <c r="E314" s="6" t="inlineStr">
        <is>
          <t>WS 2016</t>
        </is>
      </c>
      <c r="F314" s="6" t="inlineStr">
        <is>
          <t>Planting</t>
        </is>
      </c>
      <c r="G314" s="7" t="n">
        <v>6.97</v>
      </c>
      <c r="H314" s="8" t="n">
        <v>27.43</v>
      </c>
      <c r="I314" s="8" t="n">
        <v>23.57</v>
      </c>
      <c r="J314" s="8" t="n">
        <v>33.6</v>
      </c>
      <c r="K314" s="8" t="n">
        <v>81.41</v>
      </c>
      <c r="L314" s="8" t="n">
        <v>98.33</v>
      </c>
      <c r="M314" s="8" t="n">
        <v>20.67</v>
      </c>
      <c r="N314" s="6" t="inlineStr">
        <is>
          <t>Type I – Tropical Monsoon (PAGASA)</t>
        </is>
      </c>
      <c r="O314" s="6" t="inlineStr">
        <is>
          <t>Wet</t>
        </is>
      </c>
      <c r="P314" s="6" t="inlineStr">
        <is>
          <t>Silty Clay Loam / Fine Sandy Loam</t>
        </is>
      </c>
      <c r="Q314" s="6" t="inlineStr">
        <is>
          <t>Flat / Lowland</t>
        </is>
      </c>
      <c r="R314" s="9" t="n">
        <v>30</v>
      </c>
      <c r="S314" s="6" t="inlineStr">
        <is>
          <t>Tagamusing River</t>
        </is>
      </c>
      <c r="T314" s="10" t="n">
        <v>406.56</v>
      </c>
      <c r="U314" s="10" t="n">
        <v>133.3</v>
      </c>
      <c r="V314" s="10" t="n">
        <v>123.7</v>
      </c>
      <c r="W314" s="10" t="n">
        <v>257</v>
      </c>
      <c r="X314" s="10" t="n"/>
      <c r="Y314" s="10" t="n"/>
      <c r="Z314" s="11" t="n"/>
      <c r="AA314" s="12" t="inlineStr">
        <is>
          <t>Transplanting (Pindot)</t>
        </is>
      </c>
      <c r="AB314" s="12" t="inlineStr">
        <is>
          <t>Minimum Tillage (avoid compaction; sandy structure fragile)</t>
        </is>
      </c>
      <c r="AC314" s="12" t="inlineStr">
        <is>
          <t>Continuous flooding or frequent irrigation; high percolation risk</t>
        </is>
      </c>
    </row>
    <row r="315" ht="21.75" customHeight="1" s="101">
      <c r="A315" s="13" t="inlineStr">
        <is>
          <t>Palay</t>
        </is>
      </c>
      <c r="B315" s="13" t="inlineStr">
        <is>
          <t>Capas</t>
        </is>
      </c>
      <c r="C315" s="13" t="inlineStr">
        <is>
          <t>June</t>
        </is>
      </c>
      <c r="D315" s="13" t="inlineStr">
        <is>
          <t>2016</t>
        </is>
      </c>
      <c r="E315" s="13" t="inlineStr">
        <is>
          <t>WS 2016</t>
        </is>
      </c>
      <c r="F315" s="13" t="inlineStr">
        <is>
          <t>Planting</t>
        </is>
      </c>
      <c r="G315" s="7" t="n">
        <v>6.97</v>
      </c>
      <c r="H315" s="8" t="n">
        <v>27.43</v>
      </c>
      <c r="I315" s="8" t="n">
        <v>23.57</v>
      </c>
      <c r="J315" s="8" t="n">
        <v>33.6</v>
      </c>
      <c r="K315" s="8" t="n">
        <v>81.41</v>
      </c>
      <c r="L315" s="8" t="n">
        <v>98.33</v>
      </c>
      <c r="M315" s="8" t="n">
        <v>20.67</v>
      </c>
      <c r="N315" s="13" t="inlineStr">
        <is>
          <t>Type I – Tropical Monsoon (PAGASA)</t>
        </is>
      </c>
      <c r="O315" s="13" t="inlineStr">
        <is>
          <t>Wet</t>
        </is>
      </c>
      <c r="P315" s="13" t="inlineStr">
        <is>
          <t>Sandy Loam</t>
        </is>
      </c>
      <c r="Q315" s="13" t="inlineStr">
        <is>
          <t>Flat / Lowland</t>
        </is>
      </c>
      <c r="R315" s="14" t="n">
        <v>30</v>
      </c>
      <c r="S315" s="13" t="inlineStr">
        <is>
          <t>—</t>
        </is>
      </c>
      <c r="T315" s="15" t="n">
        <v>377.16</v>
      </c>
      <c r="U315" s="15" t="n">
        <v>139</v>
      </c>
      <c r="V315" s="15" t="n">
        <v>164</v>
      </c>
      <c r="W315" s="15" t="n">
        <v>303</v>
      </c>
      <c r="X315" s="15" t="n"/>
      <c r="Y315" s="15" t="n"/>
      <c r="Z315" s="16" t="n"/>
      <c r="AA315" s="17" t="inlineStr">
        <is>
          <t>Transplanting (Pindot) or Direct Seeding (Pinaghandaan)</t>
        </is>
      </c>
      <c r="AB315" s="17" t="inlineStr">
        <is>
          <t>Conventional Tillage: 2 plowings + 2 harrowings; soil workable when moist</t>
        </is>
      </c>
      <c r="AC315" s="17" t="inlineStr">
        <is>
          <t>Intermittent irrigation (Alternate Wetting and Drying — AWD); moderate retention</t>
        </is>
      </c>
    </row>
    <row r="316" ht="21.75" customHeight="1" s="101">
      <c r="A316" s="6" t="inlineStr">
        <is>
          <t>Palay</t>
        </is>
      </c>
      <c r="B316" s="6" t="inlineStr">
        <is>
          <t>Mangkasuy</t>
        </is>
      </c>
      <c r="C316" s="6" t="inlineStr">
        <is>
          <t>June</t>
        </is>
      </c>
      <c r="D316" s="6" t="inlineStr">
        <is>
          <t>2016</t>
        </is>
      </c>
      <c r="E316" s="6" t="inlineStr">
        <is>
          <t>WS 2016</t>
        </is>
      </c>
      <c r="F316" s="6" t="inlineStr">
        <is>
          <t>Planting</t>
        </is>
      </c>
      <c r="G316" s="7" t="n">
        <v>6.97</v>
      </c>
      <c r="H316" s="8" t="n">
        <v>27.43</v>
      </c>
      <c r="I316" s="8" t="n">
        <v>23.57</v>
      </c>
      <c r="J316" s="8" t="n">
        <v>33.6</v>
      </c>
      <c r="K316" s="8" t="n">
        <v>81.41</v>
      </c>
      <c r="L316" s="8" t="n">
        <v>98.33</v>
      </c>
      <c r="M316" s="8" t="n">
        <v>20.67</v>
      </c>
      <c r="N316" s="6" t="inlineStr">
        <is>
          <t>Type I – Tropical Monsoon (PAGASA)</t>
        </is>
      </c>
      <c r="O316" s="6" t="inlineStr">
        <is>
          <t>Wet</t>
        </is>
      </c>
      <c r="P316" s="6" t="inlineStr">
        <is>
          <t>Sandy Loam</t>
        </is>
      </c>
      <c r="Q316" s="6" t="inlineStr">
        <is>
          <t>Flat / Lowland</t>
        </is>
      </c>
      <c r="R316" s="9" t="n">
        <v>30</v>
      </c>
      <c r="S316" s="6" t="inlineStr">
        <is>
          <t>Tagamusing River</t>
        </is>
      </c>
      <c r="T316" s="10" t="n">
        <v>802.2</v>
      </c>
      <c r="U316" s="10" t="n">
        <v>90</v>
      </c>
      <c r="V316" s="10" t="n">
        <v>262</v>
      </c>
      <c r="W316" s="10" t="n">
        <v>352</v>
      </c>
      <c r="X316" s="10" t="n"/>
      <c r="Y316" s="10" t="n"/>
      <c r="Z316" s="11" t="n"/>
      <c r="AA316" s="12" t="inlineStr">
        <is>
          <t>Transplanting (Pindot) or Direct Seeding (Pinaghandaan)</t>
        </is>
      </c>
      <c r="AB316" s="12" t="inlineStr">
        <is>
          <t>Conventional Tillage: 2 plowings + 2 harrowings; soil workable when moist</t>
        </is>
      </c>
      <c r="AC316" s="12" t="inlineStr">
        <is>
          <t>Intermittent irrigation (Alternate Wetting and Drying — AWD); moderate retention</t>
        </is>
      </c>
    </row>
    <row r="317" ht="21.75" customHeight="1" s="101">
      <c r="A317" s="13" t="inlineStr">
        <is>
          <t>Palay</t>
        </is>
      </c>
      <c r="B317" s="13" t="inlineStr">
        <is>
          <t>San Pablo</t>
        </is>
      </c>
      <c r="C317" s="13" t="inlineStr">
        <is>
          <t>June</t>
        </is>
      </c>
      <c r="D317" s="13" t="inlineStr">
        <is>
          <t>2016</t>
        </is>
      </c>
      <c r="E317" s="13" t="inlineStr">
        <is>
          <t>WS 2016</t>
        </is>
      </c>
      <c r="F317" s="13" t="inlineStr">
        <is>
          <t>Planting</t>
        </is>
      </c>
      <c r="G317" s="7" t="n">
        <v>6.97</v>
      </c>
      <c r="H317" s="8" t="n">
        <v>27.43</v>
      </c>
      <c r="I317" s="8" t="n">
        <v>23.57</v>
      </c>
      <c r="J317" s="8" t="n">
        <v>33.6</v>
      </c>
      <c r="K317" s="8" t="n">
        <v>81.41</v>
      </c>
      <c r="L317" s="8" t="n">
        <v>98.33</v>
      </c>
      <c r="M317" s="8" t="n">
        <v>20.67</v>
      </c>
      <c r="N317" s="13" t="inlineStr">
        <is>
          <t>Type I – Tropical Monsoon (PAGASA)</t>
        </is>
      </c>
      <c r="O317" s="13" t="inlineStr">
        <is>
          <t>Wet</t>
        </is>
      </c>
      <c r="P317" s="13" t="inlineStr">
        <is>
          <t>Sandy Loam</t>
        </is>
      </c>
      <c r="Q317" s="13" t="inlineStr">
        <is>
          <t>Flat / Lowland</t>
        </is>
      </c>
      <c r="R317" s="14" t="n">
        <v>30</v>
      </c>
      <c r="S317" s="13" t="inlineStr">
        <is>
          <t>San Pablo Creek</t>
        </is>
      </c>
      <c r="T317" s="15" t="n">
        <v>215.04</v>
      </c>
      <c r="U317" s="15" t="n">
        <v>103.5</v>
      </c>
      <c r="V317" s="15" t="n">
        <v>30.5</v>
      </c>
      <c r="W317" s="15" t="n">
        <v>134</v>
      </c>
      <c r="X317" s="15" t="n"/>
      <c r="Y317" s="15" t="n"/>
      <c r="Z317" s="16" t="n"/>
      <c r="AA317" s="17" t="inlineStr">
        <is>
          <t>Transplanting (Pindot) or Direct Seeding (Pinaghandaan)</t>
        </is>
      </c>
      <c r="AB317" s="17" t="inlineStr">
        <is>
          <t>Conventional Tillage: 2 plowings + 2 harrowings; soil workable when moist</t>
        </is>
      </c>
      <c r="AC317" s="17" t="inlineStr">
        <is>
          <t>Intermittent irrigation (Alternate Wetting and Drying — AWD); moderate retention</t>
        </is>
      </c>
    </row>
    <row r="318" ht="21.75" customHeight="1" s="101">
      <c r="A318" s="6" t="inlineStr">
        <is>
          <t>Palay</t>
        </is>
      </c>
      <c r="B318" s="6" t="inlineStr">
        <is>
          <t>Balangobong</t>
        </is>
      </c>
      <c r="C318" s="6" t="inlineStr">
        <is>
          <t>June</t>
        </is>
      </c>
      <c r="D318" s="6" t="inlineStr">
        <is>
          <t>2016</t>
        </is>
      </c>
      <c r="E318" s="6" t="inlineStr">
        <is>
          <t>WS 2016</t>
        </is>
      </c>
      <c r="F318" s="6" t="inlineStr">
        <is>
          <t>Planting</t>
        </is>
      </c>
      <c r="G318" s="7" t="n">
        <v>6.97</v>
      </c>
      <c r="H318" s="8" t="n">
        <v>27.43</v>
      </c>
      <c r="I318" s="8" t="n">
        <v>23.57</v>
      </c>
      <c r="J318" s="8" t="n">
        <v>33.6</v>
      </c>
      <c r="K318" s="8" t="n">
        <v>81.41</v>
      </c>
      <c r="L318" s="8" t="n">
        <v>98.33</v>
      </c>
      <c r="M318" s="8" t="n">
        <v>20.67</v>
      </c>
      <c r="N318" s="6" t="inlineStr">
        <is>
          <t>Type I – Tropical Monsoon (PAGASA)</t>
        </is>
      </c>
      <c r="O318" s="6" t="inlineStr">
        <is>
          <t>Wet</t>
        </is>
      </c>
      <c r="P318" s="6" t="inlineStr">
        <is>
          <t>Silty Clay Loam</t>
        </is>
      </c>
      <c r="Q318" s="6" t="inlineStr">
        <is>
          <t>Flat / Lowland</t>
        </is>
      </c>
      <c r="R318" s="9" t="n">
        <v>30</v>
      </c>
      <c r="S318" s="6" t="inlineStr">
        <is>
          <t>—</t>
        </is>
      </c>
      <c r="T318" s="10" t="n">
        <v>281.4</v>
      </c>
      <c r="U318" s="10" t="n">
        <v>120</v>
      </c>
      <c r="V318" s="10" t="n">
        <v>15</v>
      </c>
      <c r="W318" s="10" t="n">
        <v>135</v>
      </c>
      <c r="X318" s="10" t="n"/>
      <c r="Y318" s="10" t="n"/>
      <c r="Z318" s="11" t="n"/>
      <c r="AA318" s="12" t="inlineStr">
        <is>
          <t>Transplanting (Pindot) — optimal for clay-loam paddy fields</t>
        </is>
      </c>
      <c r="AB318" s="12" t="inlineStr">
        <is>
          <t>Wet Tillage (Puddling): 2 plowings + thorough harrowing under flooded condition</t>
        </is>
      </c>
      <c r="AC318" s="12" t="inlineStr">
        <is>
          <t>Continuous flooding 2–5 cm depth during vegetative stage; drain 2 weeks before harvest</t>
        </is>
      </c>
    </row>
    <row r="319" ht="21.75" customHeight="1" s="101">
      <c r="A319" s="13" t="inlineStr">
        <is>
          <t>Palay</t>
        </is>
      </c>
      <c r="B319" s="13" t="inlineStr">
        <is>
          <t>San Felipe Central</t>
        </is>
      </c>
      <c r="C319" s="13" t="inlineStr">
        <is>
          <t>June</t>
        </is>
      </c>
      <c r="D319" s="13" t="inlineStr">
        <is>
          <t>2016</t>
        </is>
      </c>
      <c r="E319" s="13" t="inlineStr">
        <is>
          <t>WS 2016</t>
        </is>
      </c>
      <c r="F319" s="13" t="inlineStr">
        <is>
          <t>Planting</t>
        </is>
      </c>
      <c r="G319" s="7" t="n">
        <v>6.97</v>
      </c>
      <c r="H319" s="8" t="n">
        <v>27.43</v>
      </c>
      <c r="I319" s="8" t="n">
        <v>23.57</v>
      </c>
      <c r="J319" s="8" t="n">
        <v>33.6</v>
      </c>
      <c r="K319" s="8" t="n">
        <v>81.41</v>
      </c>
      <c r="L319" s="8" t="n">
        <v>98.33</v>
      </c>
      <c r="M319" s="8" t="n">
        <v>20.67</v>
      </c>
      <c r="N319" s="13" t="inlineStr">
        <is>
          <t>Type I – Tropical Monsoon (PAGASA)</t>
        </is>
      </c>
      <c r="O319" s="13" t="inlineStr">
        <is>
          <t>Wet</t>
        </is>
      </c>
      <c r="P319" s="13" t="inlineStr">
        <is>
          <t>Sandy Loam</t>
        </is>
      </c>
      <c r="Q319" s="13" t="inlineStr">
        <is>
          <t>Flat / Lowland</t>
        </is>
      </c>
      <c r="R319" s="14" t="n">
        <v>30</v>
      </c>
      <c r="S319" s="13" t="inlineStr">
        <is>
          <t>—</t>
        </is>
      </c>
      <c r="T319" s="15" t="n">
        <v>452.76</v>
      </c>
      <c r="U319" s="15" t="n">
        <v>117</v>
      </c>
      <c r="V319" s="15" t="n">
        <v>62</v>
      </c>
      <c r="W319" s="15" t="n">
        <v>179</v>
      </c>
      <c r="X319" s="15" t="n"/>
      <c r="Y319" s="15" t="n"/>
      <c r="Z319" s="16" t="n"/>
      <c r="AA319" s="17" t="inlineStr">
        <is>
          <t>Transplanting (Pindot) or Direct Seeding (Pinaghandaan)</t>
        </is>
      </c>
      <c r="AB319" s="17" t="inlineStr">
        <is>
          <t>Conventional Tillage: 2 plowings + 2 harrowings; soil workable when moist</t>
        </is>
      </c>
      <c r="AC319" s="17" t="inlineStr">
        <is>
          <t>Intermittent irrigation (Alternate Wetting and Drying — AWD); moderate retention</t>
        </is>
      </c>
    </row>
    <row r="320" ht="21.75" customHeight="1" s="101">
      <c r="A320" s="6" t="inlineStr">
        <is>
          <t>Palay</t>
        </is>
      </c>
      <c r="B320" s="6" t="inlineStr">
        <is>
          <t>San Felipe Sur</t>
        </is>
      </c>
      <c r="C320" s="6" t="inlineStr">
        <is>
          <t>June</t>
        </is>
      </c>
      <c r="D320" s="6" t="inlineStr">
        <is>
          <t>2016</t>
        </is>
      </c>
      <c r="E320" s="6" t="inlineStr">
        <is>
          <t>WS 2016</t>
        </is>
      </c>
      <c r="F320" s="6" t="inlineStr">
        <is>
          <t>Planting</t>
        </is>
      </c>
      <c r="G320" s="7" t="n">
        <v>6.97</v>
      </c>
      <c r="H320" s="8" t="n">
        <v>27.43</v>
      </c>
      <c r="I320" s="8" t="n">
        <v>23.57</v>
      </c>
      <c r="J320" s="8" t="n">
        <v>33.6</v>
      </c>
      <c r="K320" s="8" t="n">
        <v>81.41</v>
      </c>
      <c r="L320" s="8" t="n">
        <v>98.33</v>
      </c>
      <c r="M320" s="8" t="n">
        <v>20.67</v>
      </c>
      <c r="N320" s="6" t="inlineStr">
        <is>
          <t>Type I – Tropical Monsoon (PAGASA)</t>
        </is>
      </c>
      <c r="O320" s="6" t="inlineStr">
        <is>
          <t>Wet</t>
        </is>
      </c>
      <c r="P320" s="6" t="inlineStr">
        <is>
          <t>Sandy Loam</t>
        </is>
      </c>
      <c r="Q320" s="6" t="inlineStr">
        <is>
          <t>Flat / Lowland</t>
        </is>
      </c>
      <c r="R320" s="9" t="n">
        <v>30</v>
      </c>
      <c r="S320" s="6" t="inlineStr">
        <is>
          <t>Tagamusing River</t>
        </is>
      </c>
      <c r="T320" s="10" t="n">
        <v>504</v>
      </c>
      <c r="U320" s="10" t="n">
        <v>127.5</v>
      </c>
      <c r="V320" s="10" t="n">
        <v>50.5</v>
      </c>
      <c r="W320" s="10" t="n">
        <v>178</v>
      </c>
      <c r="X320" s="10" t="n"/>
      <c r="Y320" s="10" t="n"/>
      <c r="Z320" s="11" t="n"/>
      <c r="AA320" s="12" t="inlineStr">
        <is>
          <t>Transplanting (Pindot) or Direct Seeding (Pinaghandaan)</t>
        </is>
      </c>
      <c r="AB320" s="12" t="inlineStr">
        <is>
          <t>Conventional Tillage: 2 plowings + 2 harrowings; soil workable when moist</t>
        </is>
      </c>
      <c r="AC320" s="12" t="inlineStr">
        <is>
          <t>Intermittent irrigation (Alternate Wetting and Drying — AWD); moderate retention</t>
        </is>
      </c>
    </row>
    <row r="321" ht="21.75" customHeight="1" s="101">
      <c r="A321" s="13" t="inlineStr">
        <is>
          <t>Palay</t>
        </is>
      </c>
      <c r="B321" s="13" t="inlineStr">
        <is>
          <t>Pasileng Sur</t>
        </is>
      </c>
      <c r="C321" s="13" t="inlineStr">
        <is>
          <t>June</t>
        </is>
      </c>
      <c r="D321" s="13" t="inlineStr">
        <is>
          <t>2016</t>
        </is>
      </c>
      <c r="E321" s="13" t="inlineStr">
        <is>
          <t>WS 2016</t>
        </is>
      </c>
      <c r="F321" s="13" t="inlineStr">
        <is>
          <t>Planting</t>
        </is>
      </c>
      <c r="G321" s="7" t="n">
        <v>6.97</v>
      </c>
      <c r="H321" s="8" t="n">
        <v>27.43</v>
      </c>
      <c r="I321" s="8" t="n">
        <v>23.57</v>
      </c>
      <c r="J321" s="8" t="n">
        <v>33.6</v>
      </c>
      <c r="K321" s="8" t="n">
        <v>81.41</v>
      </c>
      <c r="L321" s="8" t="n">
        <v>98.33</v>
      </c>
      <c r="M321" s="8" t="n">
        <v>20.67</v>
      </c>
      <c r="N321" s="13" t="inlineStr">
        <is>
          <t>Type I – Tropical Monsoon (PAGASA)</t>
        </is>
      </c>
      <c r="O321" s="13" t="inlineStr">
        <is>
          <t>Wet</t>
        </is>
      </c>
      <c r="P321" s="13" t="inlineStr">
        <is>
          <t>Sandy Loam</t>
        </is>
      </c>
      <c r="Q321" s="13" t="inlineStr">
        <is>
          <t>Flat / Lowland</t>
        </is>
      </c>
      <c r="R321" s="14" t="n">
        <v>30</v>
      </c>
      <c r="S321" s="13" t="inlineStr">
        <is>
          <t>Tagamusing River</t>
        </is>
      </c>
      <c r="T321" s="15" t="n">
        <v>414.96</v>
      </c>
      <c r="U321" s="15" t="n">
        <v>150.9</v>
      </c>
      <c r="V321" s="15" t="n">
        <v>29.1</v>
      </c>
      <c r="W321" s="15" t="n">
        <v>180</v>
      </c>
      <c r="X321" s="15" t="n"/>
      <c r="Y321" s="15" t="n"/>
      <c r="Z321" s="16" t="n"/>
      <c r="AA321" s="17" t="inlineStr">
        <is>
          <t>Transplanting (Pindot) or Direct Seeding (Pinaghandaan)</t>
        </is>
      </c>
      <c r="AB321" s="17" t="inlineStr">
        <is>
          <t>Conventional Tillage: 2 plowings + 2 harrowings; soil workable when moist</t>
        </is>
      </c>
      <c r="AC321" s="17" t="inlineStr">
        <is>
          <t>Intermittent irrigation (Alternate Wetting and Drying — AWD); moderate retention</t>
        </is>
      </c>
    </row>
    <row r="322" ht="21.75" customHeight="1" s="101">
      <c r="A322" s="6" t="inlineStr">
        <is>
          <t>Palay</t>
        </is>
      </c>
      <c r="B322" s="6" t="inlineStr">
        <is>
          <t>Sta. Maria Norte</t>
        </is>
      </c>
      <c r="C322" s="6" t="inlineStr">
        <is>
          <t>June</t>
        </is>
      </c>
      <c r="D322" s="6" t="inlineStr">
        <is>
          <t>2016</t>
        </is>
      </c>
      <c r="E322" s="6" t="inlineStr">
        <is>
          <t>WS 2016</t>
        </is>
      </c>
      <c r="F322" s="6" t="inlineStr">
        <is>
          <t>Planting</t>
        </is>
      </c>
      <c r="G322" s="7" t="n">
        <v>6.97</v>
      </c>
      <c r="H322" s="8" t="n">
        <v>27.43</v>
      </c>
      <c r="I322" s="8" t="n">
        <v>23.57</v>
      </c>
      <c r="J322" s="8" t="n">
        <v>33.6</v>
      </c>
      <c r="K322" s="8" t="n">
        <v>81.41</v>
      </c>
      <c r="L322" s="8" t="n">
        <v>98.33</v>
      </c>
      <c r="M322" s="8" t="n">
        <v>20.67</v>
      </c>
      <c r="N322" s="6" t="inlineStr">
        <is>
          <t>Type I – Tropical Monsoon (PAGASA)</t>
        </is>
      </c>
      <c r="O322" s="6" t="inlineStr">
        <is>
          <t>Wet</t>
        </is>
      </c>
      <c r="P322" s="6" t="inlineStr">
        <is>
          <t>Sandy Loam</t>
        </is>
      </c>
      <c r="Q322" s="6" t="inlineStr">
        <is>
          <t>Flat / Lowland</t>
        </is>
      </c>
      <c r="R322" s="9" t="n">
        <v>30</v>
      </c>
      <c r="S322" s="6" t="inlineStr">
        <is>
          <t>Tagamusing River</t>
        </is>
      </c>
      <c r="T322" s="10" t="n">
        <v>157.08</v>
      </c>
      <c r="U322" s="10" t="n">
        <v>24.5</v>
      </c>
      <c r="V322" s="10" t="n">
        <v>43.5</v>
      </c>
      <c r="W322" s="10" t="n">
        <v>68</v>
      </c>
      <c r="X322" s="10" t="n"/>
      <c r="Y322" s="10" t="n"/>
      <c r="Z322" s="11" t="n"/>
      <c r="AA322" s="12" t="inlineStr">
        <is>
          <t>Transplanting (Pindot) or Direct Seeding (Pinaghandaan)</t>
        </is>
      </c>
      <c r="AB322" s="12" t="inlineStr">
        <is>
          <t>Conventional Tillage: 2 plowings + 2 harrowings; soil workable when moist</t>
        </is>
      </c>
      <c r="AC322" s="12" t="inlineStr">
        <is>
          <t>Intermittent irrigation (Alternate Wetting and Drying — AWD); moderate retention</t>
        </is>
      </c>
    </row>
    <row r="323" ht="21.75" customHeight="1" s="101">
      <c r="A323" s="13" t="inlineStr">
        <is>
          <t>Palay</t>
        </is>
      </c>
      <c r="B323" s="13" t="inlineStr">
        <is>
          <t>Bugayong</t>
        </is>
      </c>
      <c r="C323" s="13" t="inlineStr">
        <is>
          <t>June</t>
        </is>
      </c>
      <c r="D323" s="13" t="inlineStr">
        <is>
          <t>2016</t>
        </is>
      </c>
      <c r="E323" s="13" t="inlineStr">
        <is>
          <t>WS 2016</t>
        </is>
      </c>
      <c r="F323" s="13" t="inlineStr">
        <is>
          <t>Planting</t>
        </is>
      </c>
      <c r="G323" s="7" t="n">
        <v>6.97</v>
      </c>
      <c r="H323" s="8" t="n">
        <v>27.43</v>
      </c>
      <c r="I323" s="8" t="n">
        <v>23.57</v>
      </c>
      <c r="J323" s="8" t="n">
        <v>33.6</v>
      </c>
      <c r="K323" s="8" t="n">
        <v>81.41</v>
      </c>
      <c r="L323" s="8" t="n">
        <v>98.33</v>
      </c>
      <c r="M323" s="8" t="n">
        <v>20.67</v>
      </c>
      <c r="N323" s="13" t="inlineStr">
        <is>
          <t>Type I – Tropical Monsoon (PAGASA)</t>
        </is>
      </c>
      <c r="O323" s="13" t="inlineStr">
        <is>
          <t>Wet</t>
        </is>
      </c>
      <c r="P323" s="13" t="inlineStr">
        <is>
          <t>Sandy Loam / Silty Clay Loam</t>
        </is>
      </c>
      <c r="Q323" s="13" t="inlineStr">
        <is>
          <t>Flat / Lowland</t>
        </is>
      </c>
      <c r="R323" s="14" t="n">
        <v>30</v>
      </c>
      <c r="S323" s="13" t="inlineStr">
        <is>
          <t>Aloragat River</t>
        </is>
      </c>
      <c r="T323" s="15" t="n">
        <v>346.08</v>
      </c>
      <c r="U323" s="15" t="n">
        <v>25.95</v>
      </c>
      <c r="V323" s="15" t="n">
        <v>52.05</v>
      </c>
      <c r="W323" s="15" t="n">
        <v>78</v>
      </c>
      <c r="X323" s="15" t="n"/>
      <c r="Y323" s="15" t="n"/>
      <c r="Z323" s="16" t="n"/>
      <c r="AA323" s="17" t="inlineStr">
        <is>
          <t>Transplanting (Pindot) — recommended; Direct Seeding possible in dry season</t>
        </is>
      </c>
      <c r="AB323" s="17" t="inlineStr">
        <is>
          <t>Conventional Tillage: 2 plowings + harrowing; puddle thoroughly for transplanting</t>
        </is>
      </c>
      <c r="AC323" s="17" t="inlineStr">
        <is>
          <t>Intermittent to continuous flooding; manage according to drainage section present</t>
        </is>
      </c>
    </row>
    <row r="324" ht="21.75" customHeight="1" s="101">
      <c r="A324" s="6" t="inlineStr">
        <is>
          <t>Palay</t>
        </is>
      </c>
      <c r="B324" s="6" t="inlineStr">
        <is>
          <t>Santiago</t>
        </is>
      </c>
      <c r="C324" s="6" t="inlineStr">
        <is>
          <t>June</t>
        </is>
      </c>
      <c r="D324" s="6" t="inlineStr">
        <is>
          <t>2016</t>
        </is>
      </c>
      <c r="E324" s="6" t="inlineStr">
        <is>
          <t>WS 2016</t>
        </is>
      </c>
      <c r="F324" s="6" t="inlineStr">
        <is>
          <t>Planting</t>
        </is>
      </c>
      <c r="G324" s="7" t="n">
        <v>6.97</v>
      </c>
      <c r="H324" s="8" t="n">
        <v>27.43</v>
      </c>
      <c r="I324" s="8" t="n">
        <v>23.57</v>
      </c>
      <c r="J324" s="8" t="n">
        <v>33.6</v>
      </c>
      <c r="K324" s="8" t="n">
        <v>81.41</v>
      </c>
      <c r="L324" s="8" t="n">
        <v>98.33</v>
      </c>
      <c r="M324" s="8" t="n">
        <v>20.67</v>
      </c>
      <c r="N324" s="6" t="inlineStr">
        <is>
          <t>Type I – Tropical Monsoon (PAGASA)</t>
        </is>
      </c>
      <c r="O324" s="6" t="inlineStr">
        <is>
          <t>Wet</t>
        </is>
      </c>
      <c r="P324" s="6" t="inlineStr">
        <is>
          <t>Silty Clay Loam</t>
        </is>
      </c>
      <c r="Q324" s="6" t="inlineStr">
        <is>
          <t>Flat / Lowland</t>
        </is>
      </c>
      <c r="R324" s="9" t="n">
        <v>30</v>
      </c>
      <c r="S324" s="6" t="inlineStr">
        <is>
          <t>—</t>
        </is>
      </c>
      <c r="T324" s="10" t="n">
        <v>283.08</v>
      </c>
      <c r="U324" s="10" t="n">
        <v>103.6</v>
      </c>
      <c r="V324" s="10" t="n">
        <v>147.4</v>
      </c>
      <c r="W324" s="10" t="n">
        <v>251</v>
      </c>
      <c r="X324" s="10" t="n"/>
      <c r="Y324" s="10" t="n"/>
      <c r="Z324" s="11" t="n"/>
      <c r="AA324" s="12" t="inlineStr">
        <is>
          <t>Transplanting (Pindot) — optimal for clay-loam paddy fields</t>
        </is>
      </c>
      <c r="AB324" s="12" t="inlineStr">
        <is>
          <t>Wet Tillage (Puddling): 2 plowings + thorough harrowing under flooded condition</t>
        </is>
      </c>
      <c r="AC324" s="12" t="inlineStr">
        <is>
          <t>Continuous flooding 2–5 cm depth during vegetative stage; drain 2 weeks before harvest</t>
        </is>
      </c>
    </row>
    <row r="325" ht="21.75" customHeight="1" s="101">
      <c r="A325" s="13" t="inlineStr">
        <is>
          <t>Palay</t>
        </is>
      </c>
      <c r="B325" s="13" t="inlineStr">
        <is>
          <t>Pasileng Norte</t>
        </is>
      </c>
      <c r="C325" s="13" t="inlineStr">
        <is>
          <t>June</t>
        </is>
      </c>
      <c r="D325" s="13" t="inlineStr">
        <is>
          <t>2017</t>
        </is>
      </c>
      <c r="E325" s="13" t="inlineStr">
        <is>
          <t>WS 2017</t>
        </is>
      </c>
      <c r="F325" s="13" t="inlineStr">
        <is>
          <t>Planting</t>
        </is>
      </c>
      <c r="G325" s="7" t="n">
        <v>8.73</v>
      </c>
      <c r="H325" s="8" t="n">
        <v>27.2</v>
      </c>
      <c r="I325" s="8" t="n">
        <v>22.27</v>
      </c>
      <c r="J325" s="8" t="n">
        <v>32.27</v>
      </c>
      <c r="K325" s="8" t="n">
        <v>83.43000000000001</v>
      </c>
      <c r="L325" s="8" t="n">
        <v>98.3</v>
      </c>
      <c r="M325" s="8" t="n">
        <v>21.97</v>
      </c>
      <c r="N325" s="13" t="inlineStr">
        <is>
          <t>Type I – Tropical Monsoon (PAGASA)</t>
        </is>
      </c>
      <c r="O325" s="13" t="inlineStr">
        <is>
          <t>Wet</t>
        </is>
      </c>
      <c r="P325" s="13" t="inlineStr">
        <is>
          <t>Sandy Loam</t>
        </is>
      </c>
      <c r="Q325" s="13" t="inlineStr">
        <is>
          <t>Flat / Lowland</t>
        </is>
      </c>
      <c r="R325" s="14" t="n">
        <v>30</v>
      </c>
      <c r="S325" s="13" t="inlineStr">
        <is>
          <t>Tagamusing River</t>
        </is>
      </c>
      <c r="T325" s="15" t="n">
        <v>140.28</v>
      </c>
      <c r="U325" s="15" t="n">
        <v>78.34999999999999</v>
      </c>
      <c r="V325" s="15" t="n">
        <v>2.65</v>
      </c>
      <c r="W325" s="15" t="n">
        <v>81</v>
      </c>
      <c r="X325" s="15" t="n"/>
      <c r="Y325" s="15" t="n"/>
      <c r="Z325" s="16" t="n"/>
      <c r="AA325" s="17" t="inlineStr">
        <is>
          <t>Transplanting (Pindot) or Direct Seeding (Pinaghandaan)</t>
        </is>
      </c>
      <c r="AB325" s="17" t="inlineStr">
        <is>
          <t>Conventional Tillage: 2 plowings + 2 harrowings; soil workable when moist</t>
        </is>
      </c>
      <c r="AC325" s="17" t="inlineStr">
        <is>
          <t>Intermittent irrigation (Alternate Wetting and Drying — AWD); moderate retention</t>
        </is>
      </c>
    </row>
    <row r="326" ht="21.75" customHeight="1" s="101">
      <c r="A326" s="6" t="inlineStr">
        <is>
          <t>Palay</t>
        </is>
      </c>
      <c r="B326" s="6" t="inlineStr">
        <is>
          <t>Tabuyoc</t>
        </is>
      </c>
      <c r="C326" s="6" t="inlineStr">
        <is>
          <t>June</t>
        </is>
      </c>
      <c r="D326" s="6" t="inlineStr">
        <is>
          <t>2017</t>
        </is>
      </c>
      <c r="E326" s="6" t="inlineStr">
        <is>
          <t>WS 2017</t>
        </is>
      </c>
      <c r="F326" s="6" t="inlineStr">
        <is>
          <t>Planting</t>
        </is>
      </c>
      <c r="G326" s="7" t="n">
        <v>8.73</v>
      </c>
      <c r="H326" s="8" t="n">
        <v>27.2</v>
      </c>
      <c r="I326" s="8" t="n">
        <v>22.27</v>
      </c>
      <c r="J326" s="8" t="n">
        <v>32.27</v>
      </c>
      <c r="K326" s="8" t="n">
        <v>83.43000000000001</v>
      </c>
      <c r="L326" s="8" t="n">
        <v>98.3</v>
      </c>
      <c r="M326" s="8" t="n">
        <v>21.97</v>
      </c>
      <c r="N326" s="6" t="inlineStr">
        <is>
          <t>Type I – Tropical Monsoon (PAGASA)</t>
        </is>
      </c>
      <c r="O326" s="6" t="inlineStr">
        <is>
          <t>Wet</t>
        </is>
      </c>
      <c r="P326" s="6" t="inlineStr">
        <is>
          <t>Silty Clay Loam</t>
        </is>
      </c>
      <c r="Q326" s="6" t="inlineStr">
        <is>
          <t>Flat / Lowland</t>
        </is>
      </c>
      <c r="R326" s="9" t="n">
        <v>30</v>
      </c>
      <c r="S326" s="6" t="inlineStr">
        <is>
          <t>—</t>
        </is>
      </c>
      <c r="T326" s="10" t="n">
        <v>277.2</v>
      </c>
      <c r="U326" s="10" t="n">
        <v>134</v>
      </c>
      <c r="V326" s="10" t="n">
        <v>5</v>
      </c>
      <c r="W326" s="10" t="n">
        <v>139</v>
      </c>
      <c r="X326" s="10" t="n"/>
      <c r="Y326" s="10" t="n"/>
      <c r="Z326" s="11" t="n"/>
      <c r="AA326" s="12" t="inlineStr">
        <is>
          <t>Transplanting (Pindot) — optimal for clay-loam paddy fields</t>
        </is>
      </c>
      <c r="AB326" s="12" t="inlineStr">
        <is>
          <t>Wet Tillage (Puddling): 2 plowings + thorough harrowing under flooded condition</t>
        </is>
      </c>
      <c r="AC326" s="12" t="inlineStr">
        <is>
          <t>Continuous flooding 2–5 cm depth during vegetative stage; drain 2 weeks before harvest</t>
        </is>
      </c>
    </row>
    <row r="327" ht="21.75" customHeight="1" s="101">
      <c r="A327" s="13" t="inlineStr">
        <is>
          <t>Palay</t>
        </is>
      </c>
      <c r="B327" s="13" t="inlineStr">
        <is>
          <t>Bued</t>
        </is>
      </c>
      <c r="C327" s="13" t="inlineStr">
        <is>
          <t>June</t>
        </is>
      </c>
      <c r="D327" s="13" t="inlineStr">
        <is>
          <t>2017</t>
        </is>
      </c>
      <c r="E327" s="13" t="inlineStr">
        <is>
          <t>WS 2017</t>
        </is>
      </c>
      <c r="F327" s="13" t="inlineStr">
        <is>
          <t>Planting</t>
        </is>
      </c>
      <c r="G327" s="7" t="n">
        <v>8.73</v>
      </c>
      <c r="H327" s="8" t="n">
        <v>27.2</v>
      </c>
      <c r="I327" s="8" t="n">
        <v>22.27</v>
      </c>
      <c r="J327" s="8" t="n">
        <v>32.27</v>
      </c>
      <c r="K327" s="8" t="n">
        <v>83.43000000000001</v>
      </c>
      <c r="L327" s="8" t="n">
        <v>98.3</v>
      </c>
      <c r="M327" s="8" t="n">
        <v>21.97</v>
      </c>
      <c r="N327" s="13" t="inlineStr">
        <is>
          <t>Type I – Tropical Monsoon (PAGASA)</t>
        </is>
      </c>
      <c r="O327" s="13" t="inlineStr">
        <is>
          <t>Wet</t>
        </is>
      </c>
      <c r="P327" s="13" t="inlineStr">
        <is>
          <t>Silty Clay Loam</t>
        </is>
      </c>
      <c r="Q327" s="13" t="inlineStr">
        <is>
          <t>Flat / Lowland</t>
        </is>
      </c>
      <c r="R327" s="14" t="n">
        <v>30</v>
      </c>
      <c r="S327" s="13" t="inlineStr">
        <is>
          <t>Tagamusing River</t>
        </is>
      </c>
      <c r="T327" s="15" t="n">
        <v>210.84</v>
      </c>
      <c r="U327" s="15" t="n">
        <v>56.5</v>
      </c>
      <c r="V327" s="15" t="n">
        <v>37.5</v>
      </c>
      <c r="W327" s="15" t="n">
        <v>94</v>
      </c>
      <c r="X327" s="15" t="n"/>
      <c r="Y327" s="15" t="n"/>
      <c r="Z327" s="16" t="n"/>
      <c r="AA327" s="17" t="inlineStr">
        <is>
          <t>Transplanting (Pindot) — optimal for clay-loam paddy fields</t>
        </is>
      </c>
      <c r="AB327" s="17" t="inlineStr">
        <is>
          <t>Wet Tillage (Puddling): 2 plowings + thorough harrowing under flooded condition</t>
        </is>
      </c>
      <c r="AC327" s="17" t="inlineStr">
        <is>
          <t>Continuous flooding 2–5 cm depth during vegetative stage; drain 2 weeks before harvest</t>
        </is>
      </c>
    </row>
    <row r="328" ht="21.75" customHeight="1" s="101">
      <c r="A328" s="6" t="inlineStr">
        <is>
          <t>Palay</t>
        </is>
      </c>
      <c r="B328" s="6" t="inlineStr">
        <is>
          <t>Dumayat</t>
        </is>
      </c>
      <c r="C328" s="6" t="inlineStr">
        <is>
          <t>June</t>
        </is>
      </c>
      <c r="D328" s="6" t="inlineStr">
        <is>
          <t>2017</t>
        </is>
      </c>
      <c r="E328" s="6" t="inlineStr">
        <is>
          <t>WS 2017</t>
        </is>
      </c>
      <c r="F328" s="6" t="inlineStr">
        <is>
          <t>Planting</t>
        </is>
      </c>
      <c r="G328" s="7" t="n">
        <v>8.73</v>
      </c>
      <c r="H328" s="8" t="n">
        <v>27.2</v>
      </c>
      <c r="I328" s="8" t="n">
        <v>22.27</v>
      </c>
      <c r="J328" s="8" t="n">
        <v>32.27</v>
      </c>
      <c r="K328" s="8" t="n">
        <v>83.43000000000001</v>
      </c>
      <c r="L328" s="8" t="n">
        <v>98.3</v>
      </c>
      <c r="M328" s="8" t="n">
        <v>21.97</v>
      </c>
      <c r="N328" s="6" t="inlineStr">
        <is>
          <t>Type I – Tropical Monsoon (PAGASA)</t>
        </is>
      </c>
      <c r="O328" s="6" t="inlineStr">
        <is>
          <t>Wet</t>
        </is>
      </c>
      <c r="P328" s="6" t="inlineStr">
        <is>
          <t>Silty Clay Loam</t>
        </is>
      </c>
      <c r="Q328" s="6" t="inlineStr">
        <is>
          <t>Flat / Lowland</t>
        </is>
      </c>
      <c r="R328" s="9" t="n">
        <v>30</v>
      </c>
      <c r="S328" s="6" t="inlineStr">
        <is>
          <t>—</t>
        </is>
      </c>
      <c r="T328" s="10" t="n">
        <v>266.28</v>
      </c>
      <c r="U328" s="10" t="n">
        <v>56</v>
      </c>
      <c r="V328" s="10" t="n">
        <v>30</v>
      </c>
      <c r="W328" s="10" t="n">
        <v>86</v>
      </c>
      <c r="X328" s="10" t="n"/>
      <c r="Y328" s="10" t="n"/>
      <c r="Z328" s="11" t="n"/>
      <c r="AA328" s="12" t="inlineStr">
        <is>
          <t>Transplanting (Pindot) — optimal for clay-loam paddy fields</t>
        </is>
      </c>
      <c r="AB328" s="12" t="inlineStr">
        <is>
          <t>Wet Tillage (Puddling): 2 plowings + thorough harrowing under flooded condition</t>
        </is>
      </c>
      <c r="AC328" s="12" t="inlineStr">
        <is>
          <t>Continuous flooding 2–5 cm depth during vegetative stage; drain 2 weeks before harvest</t>
        </is>
      </c>
    </row>
    <row r="329" ht="21.75" customHeight="1" s="101">
      <c r="A329" s="13" t="inlineStr">
        <is>
          <t>Palay</t>
        </is>
      </c>
      <c r="B329" s="13" t="inlineStr">
        <is>
          <t>Camanggaan</t>
        </is>
      </c>
      <c r="C329" s="13" t="inlineStr">
        <is>
          <t>June</t>
        </is>
      </c>
      <c r="D329" s="13" t="inlineStr">
        <is>
          <t>2017</t>
        </is>
      </c>
      <c r="E329" s="13" t="inlineStr">
        <is>
          <t>WS 2017</t>
        </is>
      </c>
      <c r="F329" s="13" t="inlineStr">
        <is>
          <t>Planting</t>
        </is>
      </c>
      <c r="G329" s="7" t="n">
        <v>8.73</v>
      </c>
      <c r="H329" s="8" t="n">
        <v>27.2</v>
      </c>
      <c r="I329" s="8" t="n">
        <v>22.27</v>
      </c>
      <c r="J329" s="8" t="n">
        <v>32.27</v>
      </c>
      <c r="K329" s="8" t="n">
        <v>83.43000000000001</v>
      </c>
      <c r="L329" s="8" t="n">
        <v>98.3</v>
      </c>
      <c r="M329" s="8" t="n">
        <v>21.97</v>
      </c>
      <c r="N329" s="13" t="inlineStr">
        <is>
          <t>Type I – Tropical Monsoon (PAGASA)</t>
        </is>
      </c>
      <c r="O329" s="13" t="inlineStr">
        <is>
          <t>Wet</t>
        </is>
      </c>
      <c r="P329" s="13" t="inlineStr">
        <is>
          <t>Sandy Loam</t>
        </is>
      </c>
      <c r="Q329" s="13" t="inlineStr">
        <is>
          <t>Flat / Lowland</t>
        </is>
      </c>
      <c r="R329" s="14" t="n">
        <v>30</v>
      </c>
      <c r="S329" s="13" t="inlineStr">
        <is>
          <t>—</t>
        </is>
      </c>
      <c r="T329" s="15" t="n">
        <v>244.44</v>
      </c>
      <c r="U329" s="15" t="n">
        <v>19</v>
      </c>
      <c r="V329" s="15" t="n">
        <v>68</v>
      </c>
      <c r="W329" s="15" t="n">
        <v>87</v>
      </c>
      <c r="X329" s="15" t="n"/>
      <c r="Y329" s="15" t="n"/>
      <c r="Z329" s="16" t="n"/>
      <c r="AA329" s="17" t="inlineStr">
        <is>
          <t>Transplanting (Pindot) or Direct Seeding (Pinaghandaan)</t>
        </is>
      </c>
      <c r="AB329" s="17" t="inlineStr">
        <is>
          <t>Conventional Tillage: 2 plowings + 2 harrowings; soil workable when moist</t>
        </is>
      </c>
      <c r="AC329" s="17" t="inlineStr">
        <is>
          <t>Intermittent irrigation (Alternate Wetting and Drying — AWD); moderate retention</t>
        </is>
      </c>
    </row>
    <row r="330" ht="21.75" customHeight="1" s="101">
      <c r="A330" s="6" t="inlineStr">
        <is>
          <t>Palay</t>
        </is>
      </c>
      <c r="B330" s="6" t="inlineStr">
        <is>
          <t>Vacante</t>
        </is>
      </c>
      <c r="C330" s="6" t="inlineStr">
        <is>
          <t>June</t>
        </is>
      </c>
      <c r="D330" s="6" t="inlineStr">
        <is>
          <t>2017</t>
        </is>
      </c>
      <c r="E330" s="6" t="inlineStr">
        <is>
          <t>WS 2017</t>
        </is>
      </c>
      <c r="F330" s="6" t="inlineStr">
        <is>
          <t>Planting</t>
        </is>
      </c>
      <c r="G330" s="7" t="n">
        <v>8.73</v>
      </c>
      <c r="H330" s="8" t="n">
        <v>27.2</v>
      </c>
      <c r="I330" s="8" t="n">
        <v>22.27</v>
      </c>
      <c r="J330" s="8" t="n">
        <v>32.27</v>
      </c>
      <c r="K330" s="8" t="n">
        <v>83.43000000000001</v>
      </c>
      <c r="L330" s="8" t="n">
        <v>98.3</v>
      </c>
      <c r="M330" s="8" t="n">
        <v>21.97</v>
      </c>
      <c r="N330" s="6" t="inlineStr">
        <is>
          <t>Type I – Tropical Monsoon (PAGASA)</t>
        </is>
      </c>
      <c r="O330" s="6" t="inlineStr">
        <is>
          <t>Wet</t>
        </is>
      </c>
      <c r="P330" s="6" t="inlineStr">
        <is>
          <t>Silty Clay Loam</t>
        </is>
      </c>
      <c r="Q330" s="6" t="inlineStr">
        <is>
          <t>Flat / Lowland</t>
        </is>
      </c>
      <c r="R330" s="9" t="n">
        <v>30</v>
      </c>
      <c r="S330" s="6" t="inlineStr">
        <is>
          <t>Aloragat River</t>
        </is>
      </c>
      <c r="T330" s="10" t="n">
        <v>484.68</v>
      </c>
      <c r="U330" s="10" t="n">
        <v>28</v>
      </c>
      <c r="V330" s="10" t="n">
        <v>81</v>
      </c>
      <c r="W330" s="10" t="n">
        <v>109</v>
      </c>
      <c r="X330" s="10" t="n"/>
      <c r="Y330" s="10" t="n"/>
      <c r="Z330" s="11" t="n"/>
      <c r="AA330" s="12" t="inlineStr">
        <is>
          <t>Transplanting (Pindot) — optimal for clay-loam paddy fields</t>
        </is>
      </c>
      <c r="AB330" s="12" t="inlineStr">
        <is>
          <t>Wet Tillage (Puddling): 2 plowings + thorough harrowing under flooded condition</t>
        </is>
      </c>
      <c r="AC330" s="12" t="inlineStr">
        <is>
          <t>Continuous flooding 2–5 cm depth during vegetative stage; drain 2 weeks before harvest</t>
        </is>
      </c>
    </row>
    <row r="331" ht="21.75" customHeight="1" s="101">
      <c r="A331" s="13" t="inlineStr">
        <is>
          <t>Palay</t>
        </is>
      </c>
      <c r="B331" s="13" t="inlineStr">
        <is>
          <t>Sta. Catalina</t>
        </is>
      </c>
      <c r="C331" s="13" t="inlineStr">
        <is>
          <t>June</t>
        </is>
      </c>
      <c r="D331" s="13" t="inlineStr">
        <is>
          <t>2017</t>
        </is>
      </c>
      <c r="E331" s="13" t="inlineStr">
        <is>
          <t>WS 2017</t>
        </is>
      </c>
      <c r="F331" s="13" t="inlineStr">
        <is>
          <t>Planting</t>
        </is>
      </c>
      <c r="G331" s="7" t="n">
        <v>8.73</v>
      </c>
      <c r="H331" s="8" t="n">
        <v>27.2</v>
      </c>
      <c r="I331" s="8" t="n">
        <v>22.27</v>
      </c>
      <c r="J331" s="8" t="n">
        <v>32.27</v>
      </c>
      <c r="K331" s="8" t="n">
        <v>83.43000000000001</v>
      </c>
      <c r="L331" s="8" t="n">
        <v>98.3</v>
      </c>
      <c r="M331" s="8" t="n">
        <v>21.97</v>
      </c>
      <c r="N331" s="13" t="inlineStr">
        <is>
          <t>Type I – Tropical Monsoon (PAGASA)</t>
        </is>
      </c>
      <c r="O331" s="13" t="inlineStr">
        <is>
          <t>Wet</t>
        </is>
      </c>
      <c r="P331" s="13" t="inlineStr">
        <is>
          <t>Fine Sand / Sandy Loam</t>
        </is>
      </c>
      <c r="Q331" s="13" t="inlineStr">
        <is>
          <t>Moderately Sloping / Highland</t>
        </is>
      </c>
      <c r="R331" s="14" t="n">
        <v>90</v>
      </c>
      <c r="S331" s="13" t="inlineStr">
        <is>
          <t>—</t>
        </is>
      </c>
      <c r="T331" s="15" t="n">
        <v>709.8</v>
      </c>
      <c r="U331" s="15" t="n">
        <v>49</v>
      </c>
      <c r="V331" s="15" t="n">
        <v>180</v>
      </c>
      <c r="W331" s="15" t="n">
        <v>229</v>
      </c>
      <c r="X331" s="15" t="n"/>
      <c r="Y331" s="15" t="n"/>
      <c r="Z331" s="16" t="n"/>
      <c r="AA331" s="17" t="inlineStr">
        <is>
          <t>Transplanting (Pindot)</t>
        </is>
      </c>
      <c r="AB331" s="17" t="inlineStr">
        <is>
          <t>Minimum Tillage (avoid compaction; sandy structure fragile)</t>
        </is>
      </c>
      <c r="AC331" s="17" t="inlineStr">
        <is>
          <t>Continuous flooding or frequent irrigation; high percolation risk; terrace or bund-assisted water retention essential on slopes</t>
        </is>
      </c>
    </row>
    <row r="332" ht="21.75" customHeight="1" s="101">
      <c r="A332" s="6" t="inlineStr">
        <is>
          <t>Palay</t>
        </is>
      </c>
      <c r="B332" s="6" t="inlineStr">
        <is>
          <t>Moreno</t>
        </is>
      </c>
      <c r="C332" s="6" t="inlineStr">
        <is>
          <t>June</t>
        </is>
      </c>
      <c r="D332" s="6" t="inlineStr">
        <is>
          <t>2017</t>
        </is>
      </c>
      <c r="E332" s="6" t="inlineStr">
        <is>
          <t>WS 2017</t>
        </is>
      </c>
      <c r="F332" s="6" t="inlineStr">
        <is>
          <t>Planting</t>
        </is>
      </c>
      <c r="G332" s="7" t="n">
        <v>8.73</v>
      </c>
      <c r="H332" s="8" t="n">
        <v>27.2</v>
      </c>
      <c r="I332" s="8" t="n">
        <v>22.27</v>
      </c>
      <c r="J332" s="8" t="n">
        <v>32.27</v>
      </c>
      <c r="K332" s="8" t="n">
        <v>83.43000000000001</v>
      </c>
      <c r="L332" s="8" t="n">
        <v>98.3</v>
      </c>
      <c r="M332" s="8" t="n">
        <v>21.97</v>
      </c>
      <c r="N332" s="6" t="inlineStr">
        <is>
          <t>Type I – Tropical Monsoon (PAGASA)</t>
        </is>
      </c>
      <c r="O332" s="6" t="inlineStr">
        <is>
          <t>Wet</t>
        </is>
      </c>
      <c r="P332" s="6" t="inlineStr">
        <is>
          <t>Sandy Loam</t>
        </is>
      </c>
      <c r="Q332" s="6" t="inlineStr">
        <is>
          <t>Moderately Sloping / Highland</t>
        </is>
      </c>
      <c r="R332" s="9" t="n">
        <v>90</v>
      </c>
      <c r="S332" s="6" t="inlineStr">
        <is>
          <t>Alibeng River</t>
        </is>
      </c>
      <c r="T332" s="10" t="n">
        <v>641.76</v>
      </c>
      <c r="U332" s="10" t="n">
        <v>47.4</v>
      </c>
      <c r="V332" s="10" t="n">
        <v>116.6</v>
      </c>
      <c r="W332" s="10" t="n">
        <v>164</v>
      </c>
      <c r="X332" s="10" t="n"/>
      <c r="Y332" s="10" t="n"/>
      <c r="Z332" s="11" t="n"/>
      <c r="AA332" s="12" t="inlineStr">
        <is>
          <t>Transplanting (Pindot) or Direct Seeding (Pinaghandaan)</t>
        </is>
      </c>
      <c r="AB332" s="12" t="inlineStr">
        <is>
          <t>Conventional Tillage: 2 plowings + 2 harrowings; soil workable when moist</t>
        </is>
      </c>
      <c r="AC332" s="12" t="inlineStr">
        <is>
          <t>Intermittent irrigation (Alternate Wetting and Drying — AWD); moderate retention; terrace or bund-assisted water retention essential on slopes</t>
        </is>
      </c>
    </row>
    <row r="333" ht="21.75" customHeight="1" s="101">
      <c r="A333" s="13" t="inlineStr">
        <is>
          <t>Palay</t>
        </is>
      </c>
      <c r="B333" s="13" t="inlineStr">
        <is>
          <t>Cili</t>
        </is>
      </c>
      <c r="C333" s="13" t="inlineStr">
        <is>
          <t>June</t>
        </is>
      </c>
      <c r="D333" s="13" t="inlineStr">
        <is>
          <t>2017</t>
        </is>
      </c>
      <c r="E333" s="13" t="inlineStr">
        <is>
          <t>WS 2017</t>
        </is>
      </c>
      <c r="F333" s="13" t="inlineStr">
        <is>
          <t>Planting</t>
        </is>
      </c>
      <c r="G333" s="7" t="n">
        <v>8.73</v>
      </c>
      <c r="H333" s="8" t="n">
        <v>27.2</v>
      </c>
      <c r="I333" s="8" t="n">
        <v>22.27</v>
      </c>
      <c r="J333" s="8" t="n">
        <v>32.27</v>
      </c>
      <c r="K333" s="8" t="n">
        <v>83.43000000000001</v>
      </c>
      <c r="L333" s="8" t="n">
        <v>98.3</v>
      </c>
      <c r="M333" s="8" t="n">
        <v>21.97</v>
      </c>
      <c r="N333" s="13" t="inlineStr">
        <is>
          <t>Type I – Tropical Monsoon (PAGASA)</t>
        </is>
      </c>
      <c r="O333" s="13" t="inlineStr">
        <is>
          <t>Wet</t>
        </is>
      </c>
      <c r="P333" s="13" t="inlineStr">
        <is>
          <t>Silty Clay Loam</t>
        </is>
      </c>
      <c r="Q333" s="13" t="inlineStr">
        <is>
          <t>Flat / Lowland</t>
        </is>
      </c>
      <c r="R333" s="14" t="n">
        <v>30</v>
      </c>
      <c r="S333" s="13" t="inlineStr">
        <is>
          <t>Alibeng River</t>
        </is>
      </c>
      <c r="T333" s="15" t="n">
        <v>264.6</v>
      </c>
      <c r="U333" s="15" t="n">
        <v>40</v>
      </c>
      <c r="V333" s="15" t="n">
        <v>128</v>
      </c>
      <c r="W333" s="15" t="n">
        <v>168</v>
      </c>
      <c r="X333" s="15" t="n"/>
      <c r="Y333" s="15" t="n"/>
      <c r="Z333" s="16" t="n"/>
      <c r="AA333" s="17" t="inlineStr">
        <is>
          <t>Transplanting (Pindot) — optimal for clay-loam paddy fields</t>
        </is>
      </c>
      <c r="AB333" s="17" t="inlineStr">
        <is>
          <t>Wet Tillage (Puddling): 2 plowings + thorough harrowing under flooded condition</t>
        </is>
      </c>
      <c r="AC333" s="17" t="inlineStr">
        <is>
          <t>Continuous flooding 2–5 cm depth during vegetative stage; drain 2 weeks before harvest</t>
        </is>
      </c>
    </row>
    <row r="334" ht="21.75" customHeight="1" s="101">
      <c r="A334" s="6" t="inlineStr">
        <is>
          <t>Palay</t>
        </is>
      </c>
      <c r="B334" s="6" t="inlineStr">
        <is>
          <t>Linmansangan</t>
        </is>
      </c>
      <c r="C334" s="6" t="inlineStr">
        <is>
          <t>June</t>
        </is>
      </c>
      <c r="D334" s="6" t="inlineStr">
        <is>
          <t>2017</t>
        </is>
      </c>
      <c r="E334" s="6" t="inlineStr">
        <is>
          <t>WS 2017</t>
        </is>
      </c>
      <c r="F334" s="6" t="inlineStr">
        <is>
          <t>Planting</t>
        </is>
      </c>
      <c r="G334" s="7" t="n">
        <v>8.73</v>
      </c>
      <c r="H334" s="8" t="n">
        <v>27.2</v>
      </c>
      <c r="I334" s="8" t="n">
        <v>22.27</v>
      </c>
      <c r="J334" s="8" t="n">
        <v>32.27</v>
      </c>
      <c r="K334" s="8" t="n">
        <v>83.43000000000001</v>
      </c>
      <c r="L334" s="8" t="n">
        <v>98.3</v>
      </c>
      <c r="M334" s="8" t="n">
        <v>21.97</v>
      </c>
      <c r="N334" s="6" t="inlineStr">
        <is>
          <t>Type I – Tropical Monsoon (PAGASA)</t>
        </is>
      </c>
      <c r="O334" s="6" t="inlineStr">
        <is>
          <t>Wet</t>
        </is>
      </c>
      <c r="P334" s="6" t="inlineStr">
        <is>
          <t>Silty Clay Loam</t>
        </is>
      </c>
      <c r="Q334" s="6" t="inlineStr">
        <is>
          <t>Flat / Lowland</t>
        </is>
      </c>
      <c r="R334" s="9" t="n">
        <v>30</v>
      </c>
      <c r="S334" s="6" t="inlineStr">
        <is>
          <t>—</t>
        </is>
      </c>
      <c r="T334" s="10" t="n">
        <v>492.24</v>
      </c>
      <c r="U334" s="10" t="n">
        <v>65.5</v>
      </c>
      <c r="V334" s="10" t="n">
        <v>150.5</v>
      </c>
      <c r="W334" s="10" t="n">
        <v>216</v>
      </c>
      <c r="X334" s="10" t="n"/>
      <c r="Y334" s="10" t="n"/>
      <c r="Z334" s="11" t="n"/>
      <c r="AA334" s="12" t="inlineStr">
        <is>
          <t>Transplanting (Pindot) — optimal for clay-loam paddy fields</t>
        </is>
      </c>
      <c r="AB334" s="12" t="inlineStr">
        <is>
          <t>Wet Tillage (Puddling): 2 plowings + thorough harrowing under flooded condition</t>
        </is>
      </c>
      <c r="AC334" s="12" t="inlineStr">
        <is>
          <t>Continuous flooding 2–5 cm depth during vegetative stage; drain 2 weeks before harvest</t>
        </is>
      </c>
    </row>
    <row r="335" ht="21.75" customHeight="1" s="101">
      <c r="A335" s="13" t="inlineStr">
        <is>
          <t>Palay</t>
        </is>
      </c>
      <c r="B335" s="13" t="inlineStr">
        <is>
          <t>Sumabnit</t>
        </is>
      </c>
      <c r="C335" s="13" t="inlineStr">
        <is>
          <t>June</t>
        </is>
      </c>
      <c r="D335" s="13" t="inlineStr">
        <is>
          <t>2017</t>
        </is>
      </c>
      <c r="E335" s="13" t="inlineStr">
        <is>
          <t>WS 2017</t>
        </is>
      </c>
      <c r="F335" s="13" t="inlineStr">
        <is>
          <t>Planting</t>
        </is>
      </c>
      <c r="G335" s="7" t="n">
        <v>8.73</v>
      </c>
      <c r="H335" s="8" t="n">
        <v>27.2</v>
      </c>
      <c r="I335" s="8" t="n">
        <v>22.27</v>
      </c>
      <c r="J335" s="8" t="n">
        <v>32.27</v>
      </c>
      <c r="K335" s="8" t="n">
        <v>83.43000000000001</v>
      </c>
      <c r="L335" s="8" t="n">
        <v>98.3</v>
      </c>
      <c r="M335" s="8" t="n">
        <v>21.97</v>
      </c>
      <c r="N335" s="13" t="inlineStr">
        <is>
          <t>Type I – Tropical Monsoon (PAGASA)</t>
        </is>
      </c>
      <c r="O335" s="13" t="inlineStr">
        <is>
          <t>Wet</t>
        </is>
      </c>
      <c r="P335" s="13" t="inlineStr">
        <is>
          <t>Silty Clay Loam / Fine Sandy Loam</t>
        </is>
      </c>
      <c r="Q335" s="13" t="inlineStr">
        <is>
          <t>Flat / Lowland</t>
        </is>
      </c>
      <c r="R335" s="14" t="n">
        <v>30</v>
      </c>
      <c r="S335" s="13" t="inlineStr">
        <is>
          <t>Tagamusing River</t>
        </is>
      </c>
      <c r="T335" s="15" t="n">
        <v>406.56</v>
      </c>
      <c r="U335" s="15" t="n">
        <v>133.3</v>
      </c>
      <c r="V335" s="15" t="n">
        <v>123.7</v>
      </c>
      <c r="W335" s="15" t="n">
        <v>257</v>
      </c>
      <c r="X335" s="15" t="n"/>
      <c r="Y335" s="15" t="n"/>
      <c r="Z335" s="16" t="n"/>
      <c r="AA335" s="17" t="inlineStr">
        <is>
          <t>Transplanting (Pindot)</t>
        </is>
      </c>
      <c r="AB335" s="17" t="inlineStr">
        <is>
          <t>Minimum Tillage (avoid compaction; sandy structure fragile)</t>
        </is>
      </c>
      <c r="AC335" s="17" t="inlineStr">
        <is>
          <t>Continuous flooding or frequent irrigation; high percolation risk</t>
        </is>
      </c>
    </row>
    <row r="336" ht="21.75" customHeight="1" s="101">
      <c r="A336" s="6" t="inlineStr">
        <is>
          <t>Palay</t>
        </is>
      </c>
      <c r="B336" s="6" t="inlineStr">
        <is>
          <t>Capas</t>
        </is>
      </c>
      <c r="C336" s="6" t="inlineStr">
        <is>
          <t>June</t>
        </is>
      </c>
      <c r="D336" s="6" t="inlineStr">
        <is>
          <t>2017</t>
        </is>
      </c>
      <c r="E336" s="6" t="inlineStr">
        <is>
          <t>WS 2017</t>
        </is>
      </c>
      <c r="F336" s="6" t="inlineStr">
        <is>
          <t>Planting</t>
        </is>
      </c>
      <c r="G336" s="7" t="n">
        <v>8.73</v>
      </c>
      <c r="H336" s="8" t="n">
        <v>27.2</v>
      </c>
      <c r="I336" s="8" t="n">
        <v>22.27</v>
      </c>
      <c r="J336" s="8" t="n">
        <v>32.27</v>
      </c>
      <c r="K336" s="8" t="n">
        <v>83.43000000000001</v>
      </c>
      <c r="L336" s="8" t="n">
        <v>98.3</v>
      </c>
      <c r="M336" s="8" t="n">
        <v>21.97</v>
      </c>
      <c r="N336" s="6" t="inlineStr">
        <is>
          <t>Type I – Tropical Monsoon (PAGASA)</t>
        </is>
      </c>
      <c r="O336" s="6" t="inlineStr">
        <is>
          <t>Wet</t>
        </is>
      </c>
      <c r="P336" s="6" t="inlineStr">
        <is>
          <t>Sandy Loam</t>
        </is>
      </c>
      <c r="Q336" s="6" t="inlineStr">
        <is>
          <t>Flat / Lowland</t>
        </is>
      </c>
      <c r="R336" s="9" t="n">
        <v>30</v>
      </c>
      <c r="S336" s="6" t="inlineStr">
        <is>
          <t>—</t>
        </is>
      </c>
      <c r="T336" s="10" t="n">
        <v>377.16</v>
      </c>
      <c r="U336" s="10" t="n">
        <v>139</v>
      </c>
      <c r="V336" s="10" t="n">
        <v>164</v>
      </c>
      <c r="W336" s="10" t="n">
        <v>303</v>
      </c>
      <c r="X336" s="10" t="n"/>
      <c r="Y336" s="10" t="n"/>
      <c r="Z336" s="11" t="n"/>
      <c r="AA336" s="12" t="inlineStr">
        <is>
          <t>Transplanting (Pindot) or Direct Seeding (Pinaghandaan)</t>
        </is>
      </c>
      <c r="AB336" s="12" t="inlineStr">
        <is>
          <t>Conventional Tillage: 2 plowings + 2 harrowings; soil workable when moist</t>
        </is>
      </c>
      <c r="AC336" s="12" t="inlineStr">
        <is>
          <t>Intermittent irrigation (Alternate Wetting and Drying — AWD); moderate retention</t>
        </is>
      </c>
    </row>
    <row r="337" ht="21.75" customHeight="1" s="101">
      <c r="A337" s="13" t="inlineStr">
        <is>
          <t>Palay</t>
        </is>
      </c>
      <c r="B337" s="13" t="inlineStr">
        <is>
          <t>Mangkasuy</t>
        </is>
      </c>
      <c r="C337" s="13" t="inlineStr">
        <is>
          <t>June</t>
        </is>
      </c>
      <c r="D337" s="13" t="inlineStr">
        <is>
          <t>2017</t>
        </is>
      </c>
      <c r="E337" s="13" t="inlineStr">
        <is>
          <t>WS 2017</t>
        </is>
      </c>
      <c r="F337" s="13" t="inlineStr">
        <is>
          <t>Planting</t>
        </is>
      </c>
      <c r="G337" s="7" t="n">
        <v>8.73</v>
      </c>
      <c r="H337" s="8" t="n">
        <v>27.2</v>
      </c>
      <c r="I337" s="8" t="n">
        <v>22.27</v>
      </c>
      <c r="J337" s="8" t="n">
        <v>32.27</v>
      </c>
      <c r="K337" s="8" t="n">
        <v>83.43000000000001</v>
      </c>
      <c r="L337" s="8" t="n">
        <v>98.3</v>
      </c>
      <c r="M337" s="8" t="n">
        <v>21.97</v>
      </c>
      <c r="N337" s="13" t="inlineStr">
        <is>
          <t>Type I – Tropical Monsoon (PAGASA)</t>
        </is>
      </c>
      <c r="O337" s="13" t="inlineStr">
        <is>
          <t>Wet</t>
        </is>
      </c>
      <c r="P337" s="13" t="inlineStr">
        <is>
          <t>Sandy Loam</t>
        </is>
      </c>
      <c r="Q337" s="13" t="inlineStr">
        <is>
          <t>Flat / Lowland</t>
        </is>
      </c>
      <c r="R337" s="14" t="n">
        <v>30</v>
      </c>
      <c r="S337" s="13" t="inlineStr">
        <is>
          <t>Tagamusing River</t>
        </is>
      </c>
      <c r="T337" s="15" t="n">
        <v>802.2</v>
      </c>
      <c r="U337" s="15" t="n">
        <v>90</v>
      </c>
      <c r="V337" s="15" t="n">
        <v>262</v>
      </c>
      <c r="W337" s="15" t="n">
        <v>352</v>
      </c>
      <c r="X337" s="15" t="n"/>
      <c r="Y337" s="15" t="n"/>
      <c r="Z337" s="16" t="n"/>
      <c r="AA337" s="17" t="inlineStr">
        <is>
          <t>Transplanting (Pindot) or Direct Seeding (Pinaghandaan)</t>
        </is>
      </c>
      <c r="AB337" s="17" t="inlineStr">
        <is>
          <t>Conventional Tillage: 2 plowings + 2 harrowings; soil workable when moist</t>
        </is>
      </c>
      <c r="AC337" s="17" t="inlineStr">
        <is>
          <t>Intermittent irrigation (Alternate Wetting and Drying — AWD); moderate retention</t>
        </is>
      </c>
    </row>
    <row r="338" ht="21.75" customHeight="1" s="101">
      <c r="A338" s="6" t="inlineStr">
        <is>
          <t>Palay</t>
        </is>
      </c>
      <c r="B338" s="6" t="inlineStr">
        <is>
          <t>San Pablo</t>
        </is>
      </c>
      <c r="C338" s="6" t="inlineStr">
        <is>
          <t>June</t>
        </is>
      </c>
      <c r="D338" s="6" t="inlineStr">
        <is>
          <t>2017</t>
        </is>
      </c>
      <c r="E338" s="6" t="inlineStr">
        <is>
          <t>WS 2017</t>
        </is>
      </c>
      <c r="F338" s="6" t="inlineStr">
        <is>
          <t>Planting</t>
        </is>
      </c>
      <c r="G338" s="7" t="n">
        <v>8.73</v>
      </c>
      <c r="H338" s="8" t="n">
        <v>27.2</v>
      </c>
      <c r="I338" s="8" t="n">
        <v>22.27</v>
      </c>
      <c r="J338" s="8" t="n">
        <v>32.27</v>
      </c>
      <c r="K338" s="8" t="n">
        <v>83.43000000000001</v>
      </c>
      <c r="L338" s="8" t="n">
        <v>98.3</v>
      </c>
      <c r="M338" s="8" t="n">
        <v>21.97</v>
      </c>
      <c r="N338" s="6" t="inlineStr">
        <is>
          <t>Type I – Tropical Monsoon (PAGASA)</t>
        </is>
      </c>
      <c r="O338" s="6" t="inlineStr">
        <is>
          <t>Wet</t>
        </is>
      </c>
      <c r="P338" s="6" t="inlineStr">
        <is>
          <t>Sandy Loam</t>
        </is>
      </c>
      <c r="Q338" s="6" t="inlineStr">
        <is>
          <t>Flat / Lowland</t>
        </is>
      </c>
      <c r="R338" s="9" t="n">
        <v>30</v>
      </c>
      <c r="S338" s="6" t="inlineStr">
        <is>
          <t>San Pablo Creek</t>
        </is>
      </c>
      <c r="T338" s="10" t="n">
        <v>215.04</v>
      </c>
      <c r="U338" s="10" t="n">
        <v>103.5</v>
      </c>
      <c r="V338" s="10" t="n">
        <v>30.5</v>
      </c>
      <c r="W338" s="10" t="n">
        <v>134</v>
      </c>
      <c r="X338" s="10" t="n"/>
      <c r="Y338" s="10" t="n"/>
      <c r="Z338" s="11" t="n"/>
      <c r="AA338" s="12" t="inlineStr">
        <is>
          <t>Transplanting (Pindot) or Direct Seeding (Pinaghandaan)</t>
        </is>
      </c>
      <c r="AB338" s="12" t="inlineStr">
        <is>
          <t>Conventional Tillage: 2 plowings + 2 harrowings; soil workable when moist</t>
        </is>
      </c>
      <c r="AC338" s="12" t="inlineStr">
        <is>
          <t>Intermittent irrigation (Alternate Wetting and Drying — AWD); moderate retention</t>
        </is>
      </c>
    </row>
    <row r="339" ht="21.75" customHeight="1" s="101">
      <c r="A339" s="13" t="inlineStr">
        <is>
          <t>Palay</t>
        </is>
      </c>
      <c r="B339" s="13" t="inlineStr">
        <is>
          <t>Balangobong</t>
        </is>
      </c>
      <c r="C339" s="13" t="inlineStr">
        <is>
          <t>June</t>
        </is>
      </c>
      <c r="D339" s="13" t="inlineStr">
        <is>
          <t>2017</t>
        </is>
      </c>
      <c r="E339" s="13" t="inlineStr">
        <is>
          <t>WS 2017</t>
        </is>
      </c>
      <c r="F339" s="13" t="inlineStr">
        <is>
          <t>Planting</t>
        </is>
      </c>
      <c r="G339" s="7" t="n">
        <v>8.73</v>
      </c>
      <c r="H339" s="8" t="n">
        <v>27.2</v>
      </c>
      <c r="I339" s="8" t="n">
        <v>22.27</v>
      </c>
      <c r="J339" s="8" t="n">
        <v>32.27</v>
      </c>
      <c r="K339" s="8" t="n">
        <v>83.43000000000001</v>
      </c>
      <c r="L339" s="8" t="n">
        <v>98.3</v>
      </c>
      <c r="M339" s="8" t="n">
        <v>21.97</v>
      </c>
      <c r="N339" s="13" t="inlineStr">
        <is>
          <t>Type I – Tropical Monsoon (PAGASA)</t>
        </is>
      </c>
      <c r="O339" s="13" t="inlineStr">
        <is>
          <t>Wet</t>
        </is>
      </c>
      <c r="P339" s="13" t="inlineStr">
        <is>
          <t>Silty Clay Loam</t>
        </is>
      </c>
      <c r="Q339" s="13" t="inlineStr">
        <is>
          <t>Flat / Lowland</t>
        </is>
      </c>
      <c r="R339" s="14" t="n">
        <v>30</v>
      </c>
      <c r="S339" s="13" t="inlineStr">
        <is>
          <t>—</t>
        </is>
      </c>
      <c r="T339" s="15" t="n">
        <v>281.4</v>
      </c>
      <c r="U339" s="15" t="n">
        <v>120</v>
      </c>
      <c r="V339" s="15" t="n">
        <v>15</v>
      </c>
      <c r="W339" s="15" t="n">
        <v>135</v>
      </c>
      <c r="X339" s="15" t="n"/>
      <c r="Y339" s="15" t="n"/>
      <c r="Z339" s="16" t="n"/>
      <c r="AA339" s="17" t="inlineStr">
        <is>
          <t>Transplanting (Pindot) — optimal for clay-loam paddy fields</t>
        </is>
      </c>
      <c r="AB339" s="17" t="inlineStr">
        <is>
          <t>Wet Tillage (Puddling): 2 plowings + thorough harrowing under flooded condition</t>
        </is>
      </c>
      <c r="AC339" s="17" t="inlineStr">
        <is>
          <t>Continuous flooding 2–5 cm depth during vegetative stage; drain 2 weeks before harvest</t>
        </is>
      </c>
    </row>
    <row r="340" ht="21.75" customHeight="1" s="101">
      <c r="A340" s="6" t="inlineStr">
        <is>
          <t>Palay</t>
        </is>
      </c>
      <c r="B340" s="6" t="inlineStr">
        <is>
          <t>San Felipe Central</t>
        </is>
      </c>
      <c r="C340" s="6" t="inlineStr">
        <is>
          <t>June</t>
        </is>
      </c>
      <c r="D340" s="6" t="inlineStr">
        <is>
          <t>2017</t>
        </is>
      </c>
      <c r="E340" s="6" t="inlineStr">
        <is>
          <t>WS 2017</t>
        </is>
      </c>
      <c r="F340" s="6" t="inlineStr">
        <is>
          <t>Planting</t>
        </is>
      </c>
      <c r="G340" s="7" t="n">
        <v>8.73</v>
      </c>
      <c r="H340" s="8" t="n">
        <v>27.2</v>
      </c>
      <c r="I340" s="8" t="n">
        <v>22.27</v>
      </c>
      <c r="J340" s="8" t="n">
        <v>32.27</v>
      </c>
      <c r="K340" s="8" t="n">
        <v>83.43000000000001</v>
      </c>
      <c r="L340" s="8" t="n">
        <v>98.3</v>
      </c>
      <c r="M340" s="8" t="n">
        <v>21.97</v>
      </c>
      <c r="N340" s="6" t="inlineStr">
        <is>
          <t>Type I – Tropical Monsoon (PAGASA)</t>
        </is>
      </c>
      <c r="O340" s="6" t="inlineStr">
        <is>
          <t>Wet</t>
        </is>
      </c>
      <c r="P340" s="6" t="inlineStr">
        <is>
          <t>Sandy Loam</t>
        </is>
      </c>
      <c r="Q340" s="6" t="inlineStr">
        <is>
          <t>Flat / Lowland</t>
        </is>
      </c>
      <c r="R340" s="9" t="n">
        <v>30</v>
      </c>
      <c r="S340" s="6" t="inlineStr">
        <is>
          <t>—</t>
        </is>
      </c>
      <c r="T340" s="10" t="n">
        <v>452.76</v>
      </c>
      <c r="U340" s="10" t="n">
        <v>117</v>
      </c>
      <c r="V340" s="10" t="n">
        <v>62</v>
      </c>
      <c r="W340" s="10" t="n">
        <v>179</v>
      </c>
      <c r="X340" s="10" t="n"/>
      <c r="Y340" s="10" t="n"/>
      <c r="Z340" s="11" t="n"/>
      <c r="AA340" s="12" t="inlineStr">
        <is>
          <t>Transplanting (Pindot) or Direct Seeding (Pinaghandaan)</t>
        </is>
      </c>
      <c r="AB340" s="12" t="inlineStr">
        <is>
          <t>Conventional Tillage: 2 plowings + 2 harrowings; soil workable when moist</t>
        </is>
      </c>
      <c r="AC340" s="12" t="inlineStr">
        <is>
          <t>Intermittent irrigation (Alternate Wetting and Drying — AWD); moderate retention</t>
        </is>
      </c>
    </row>
    <row r="341" ht="21.75" customHeight="1" s="101">
      <c r="A341" s="13" t="inlineStr">
        <is>
          <t>Palay</t>
        </is>
      </c>
      <c r="B341" s="13" t="inlineStr">
        <is>
          <t>San Felipe Sur</t>
        </is>
      </c>
      <c r="C341" s="13" t="inlineStr">
        <is>
          <t>June</t>
        </is>
      </c>
      <c r="D341" s="13" t="inlineStr">
        <is>
          <t>2017</t>
        </is>
      </c>
      <c r="E341" s="13" t="inlineStr">
        <is>
          <t>WS 2017</t>
        </is>
      </c>
      <c r="F341" s="13" t="inlineStr">
        <is>
          <t>Planting</t>
        </is>
      </c>
      <c r="G341" s="7" t="n">
        <v>8.73</v>
      </c>
      <c r="H341" s="8" t="n">
        <v>27.2</v>
      </c>
      <c r="I341" s="8" t="n">
        <v>22.27</v>
      </c>
      <c r="J341" s="8" t="n">
        <v>32.27</v>
      </c>
      <c r="K341" s="8" t="n">
        <v>83.43000000000001</v>
      </c>
      <c r="L341" s="8" t="n">
        <v>98.3</v>
      </c>
      <c r="M341" s="8" t="n">
        <v>21.97</v>
      </c>
      <c r="N341" s="13" t="inlineStr">
        <is>
          <t>Type I – Tropical Monsoon (PAGASA)</t>
        </is>
      </c>
      <c r="O341" s="13" t="inlineStr">
        <is>
          <t>Wet</t>
        </is>
      </c>
      <c r="P341" s="13" t="inlineStr">
        <is>
          <t>Sandy Loam</t>
        </is>
      </c>
      <c r="Q341" s="13" t="inlineStr">
        <is>
          <t>Flat / Lowland</t>
        </is>
      </c>
      <c r="R341" s="14" t="n">
        <v>30</v>
      </c>
      <c r="S341" s="13" t="inlineStr">
        <is>
          <t>Tagamusing River</t>
        </is>
      </c>
      <c r="T341" s="15" t="n">
        <v>504</v>
      </c>
      <c r="U341" s="15" t="n">
        <v>127.5</v>
      </c>
      <c r="V341" s="15" t="n">
        <v>50.5</v>
      </c>
      <c r="W341" s="15" t="n">
        <v>178</v>
      </c>
      <c r="X341" s="15" t="n"/>
      <c r="Y341" s="15" t="n"/>
      <c r="Z341" s="16" t="n"/>
      <c r="AA341" s="17" t="inlineStr">
        <is>
          <t>Transplanting (Pindot) or Direct Seeding (Pinaghandaan)</t>
        </is>
      </c>
      <c r="AB341" s="17" t="inlineStr">
        <is>
          <t>Conventional Tillage: 2 plowings + 2 harrowings; soil workable when moist</t>
        </is>
      </c>
      <c r="AC341" s="17" t="inlineStr">
        <is>
          <t>Intermittent irrigation (Alternate Wetting and Drying — AWD); moderate retention</t>
        </is>
      </c>
    </row>
    <row r="342" ht="21.75" customHeight="1" s="101">
      <c r="A342" s="6" t="inlineStr">
        <is>
          <t>Palay</t>
        </is>
      </c>
      <c r="B342" s="6" t="inlineStr">
        <is>
          <t>Pasileng Sur</t>
        </is>
      </c>
      <c r="C342" s="6" t="inlineStr">
        <is>
          <t>June</t>
        </is>
      </c>
      <c r="D342" s="6" t="inlineStr">
        <is>
          <t>2017</t>
        </is>
      </c>
      <c r="E342" s="6" t="inlineStr">
        <is>
          <t>WS 2017</t>
        </is>
      </c>
      <c r="F342" s="6" t="inlineStr">
        <is>
          <t>Planting</t>
        </is>
      </c>
      <c r="G342" s="7" t="n">
        <v>8.73</v>
      </c>
      <c r="H342" s="8" t="n">
        <v>27.2</v>
      </c>
      <c r="I342" s="8" t="n">
        <v>22.27</v>
      </c>
      <c r="J342" s="8" t="n">
        <v>32.27</v>
      </c>
      <c r="K342" s="8" t="n">
        <v>83.43000000000001</v>
      </c>
      <c r="L342" s="8" t="n">
        <v>98.3</v>
      </c>
      <c r="M342" s="8" t="n">
        <v>21.97</v>
      </c>
      <c r="N342" s="6" t="inlineStr">
        <is>
          <t>Type I – Tropical Monsoon (PAGASA)</t>
        </is>
      </c>
      <c r="O342" s="6" t="inlineStr">
        <is>
          <t>Wet</t>
        </is>
      </c>
      <c r="P342" s="6" t="inlineStr">
        <is>
          <t>Sandy Loam</t>
        </is>
      </c>
      <c r="Q342" s="6" t="inlineStr">
        <is>
          <t>Flat / Lowland</t>
        </is>
      </c>
      <c r="R342" s="9" t="n">
        <v>30</v>
      </c>
      <c r="S342" s="6" t="inlineStr">
        <is>
          <t>Tagamusing River</t>
        </is>
      </c>
      <c r="T342" s="10" t="n">
        <v>414.96</v>
      </c>
      <c r="U342" s="10" t="n">
        <v>150.9</v>
      </c>
      <c r="V342" s="10" t="n">
        <v>29.1</v>
      </c>
      <c r="W342" s="10" t="n">
        <v>180</v>
      </c>
      <c r="X342" s="10" t="n"/>
      <c r="Y342" s="10" t="n"/>
      <c r="Z342" s="11" t="n"/>
      <c r="AA342" s="12" t="inlineStr">
        <is>
          <t>Transplanting (Pindot) or Direct Seeding (Pinaghandaan)</t>
        </is>
      </c>
      <c r="AB342" s="12" t="inlineStr">
        <is>
          <t>Conventional Tillage: 2 plowings + 2 harrowings; soil workable when moist</t>
        </is>
      </c>
      <c r="AC342" s="12" t="inlineStr">
        <is>
          <t>Intermittent irrigation (Alternate Wetting and Drying — AWD); moderate retention</t>
        </is>
      </c>
    </row>
    <row r="343" ht="21.75" customHeight="1" s="101">
      <c r="A343" s="13" t="inlineStr">
        <is>
          <t>Palay</t>
        </is>
      </c>
      <c r="B343" s="13" t="inlineStr">
        <is>
          <t>Sta. Maria Norte</t>
        </is>
      </c>
      <c r="C343" s="13" t="inlineStr">
        <is>
          <t>June</t>
        </is>
      </c>
      <c r="D343" s="13" t="inlineStr">
        <is>
          <t>2017</t>
        </is>
      </c>
      <c r="E343" s="13" t="inlineStr">
        <is>
          <t>WS 2017</t>
        </is>
      </c>
      <c r="F343" s="13" t="inlineStr">
        <is>
          <t>Planting</t>
        </is>
      </c>
      <c r="G343" s="7" t="n">
        <v>8.73</v>
      </c>
      <c r="H343" s="8" t="n">
        <v>27.2</v>
      </c>
      <c r="I343" s="8" t="n">
        <v>22.27</v>
      </c>
      <c r="J343" s="8" t="n">
        <v>32.27</v>
      </c>
      <c r="K343" s="8" t="n">
        <v>83.43000000000001</v>
      </c>
      <c r="L343" s="8" t="n">
        <v>98.3</v>
      </c>
      <c r="M343" s="8" t="n">
        <v>21.97</v>
      </c>
      <c r="N343" s="13" t="inlineStr">
        <is>
          <t>Type I – Tropical Monsoon (PAGASA)</t>
        </is>
      </c>
      <c r="O343" s="13" t="inlineStr">
        <is>
          <t>Wet</t>
        </is>
      </c>
      <c r="P343" s="13" t="inlineStr">
        <is>
          <t>Sandy Loam</t>
        </is>
      </c>
      <c r="Q343" s="13" t="inlineStr">
        <is>
          <t>Flat / Lowland</t>
        </is>
      </c>
      <c r="R343" s="14" t="n">
        <v>30</v>
      </c>
      <c r="S343" s="13" t="inlineStr">
        <is>
          <t>Tagamusing River</t>
        </is>
      </c>
      <c r="T343" s="15" t="n">
        <v>157.08</v>
      </c>
      <c r="U343" s="15" t="n">
        <v>24.5</v>
      </c>
      <c r="V343" s="15" t="n">
        <v>43.5</v>
      </c>
      <c r="W343" s="15" t="n">
        <v>68</v>
      </c>
      <c r="X343" s="15" t="n"/>
      <c r="Y343" s="15" t="n"/>
      <c r="Z343" s="16" t="n"/>
      <c r="AA343" s="17" t="inlineStr">
        <is>
          <t>Transplanting (Pindot) or Direct Seeding (Pinaghandaan)</t>
        </is>
      </c>
      <c r="AB343" s="17" t="inlineStr">
        <is>
          <t>Conventional Tillage: 2 plowings + 2 harrowings; soil workable when moist</t>
        </is>
      </c>
      <c r="AC343" s="17" t="inlineStr">
        <is>
          <t>Intermittent irrigation (Alternate Wetting and Drying — AWD); moderate retention</t>
        </is>
      </c>
    </row>
    <row r="344" ht="21.75" customHeight="1" s="101">
      <c r="A344" s="6" t="inlineStr">
        <is>
          <t>Palay</t>
        </is>
      </c>
      <c r="B344" s="6" t="inlineStr">
        <is>
          <t>Bugayong</t>
        </is>
      </c>
      <c r="C344" s="6" t="inlineStr">
        <is>
          <t>June</t>
        </is>
      </c>
      <c r="D344" s="6" t="inlineStr">
        <is>
          <t>2017</t>
        </is>
      </c>
      <c r="E344" s="6" t="inlineStr">
        <is>
          <t>WS 2017</t>
        </is>
      </c>
      <c r="F344" s="6" t="inlineStr">
        <is>
          <t>Planting</t>
        </is>
      </c>
      <c r="G344" s="7" t="n">
        <v>8.73</v>
      </c>
      <c r="H344" s="8" t="n">
        <v>27.2</v>
      </c>
      <c r="I344" s="8" t="n">
        <v>22.27</v>
      </c>
      <c r="J344" s="8" t="n">
        <v>32.27</v>
      </c>
      <c r="K344" s="8" t="n">
        <v>83.43000000000001</v>
      </c>
      <c r="L344" s="8" t="n">
        <v>98.3</v>
      </c>
      <c r="M344" s="8" t="n">
        <v>21.97</v>
      </c>
      <c r="N344" s="6" t="inlineStr">
        <is>
          <t>Type I – Tropical Monsoon (PAGASA)</t>
        </is>
      </c>
      <c r="O344" s="6" t="inlineStr">
        <is>
          <t>Wet</t>
        </is>
      </c>
      <c r="P344" s="6" t="inlineStr">
        <is>
          <t>Sandy Loam / Silty Clay Loam</t>
        </is>
      </c>
      <c r="Q344" s="6" t="inlineStr">
        <is>
          <t>Flat / Lowland</t>
        </is>
      </c>
      <c r="R344" s="9" t="n">
        <v>30</v>
      </c>
      <c r="S344" s="6" t="inlineStr">
        <is>
          <t>Aloragat River</t>
        </is>
      </c>
      <c r="T344" s="10" t="n">
        <v>346.08</v>
      </c>
      <c r="U344" s="10" t="n">
        <v>25.95</v>
      </c>
      <c r="V344" s="10" t="n">
        <v>52.05</v>
      </c>
      <c r="W344" s="10" t="n">
        <v>78</v>
      </c>
      <c r="X344" s="10" t="n"/>
      <c r="Y344" s="10" t="n"/>
      <c r="Z344" s="11" t="n"/>
      <c r="AA344" s="12" t="inlineStr">
        <is>
          <t>Transplanting (Pindot) — recommended; Direct Seeding possible in dry season</t>
        </is>
      </c>
      <c r="AB344" s="12" t="inlineStr">
        <is>
          <t>Conventional Tillage: 2 plowings + harrowing; puddle thoroughly for transplanting</t>
        </is>
      </c>
      <c r="AC344" s="12" t="inlineStr">
        <is>
          <t>Intermittent to continuous flooding; manage according to drainage section present</t>
        </is>
      </c>
    </row>
    <row r="345" ht="21.75" customHeight="1" s="101">
      <c r="A345" s="13" t="inlineStr">
        <is>
          <t>Palay</t>
        </is>
      </c>
      <c r="B345" s="13" t="inlineStr">
        <is>
          <t>Santiago</t>
        </is>
      </c>
      <c r="C345" s="13" t="inlineStr">
        <is>
          <t>June</t>
        </is>
      </c>
      <c r="D345" s="13" t="inlineStr">
        <is>
          <t>2017</t>
        </is>
      </c>
      <c r="E345" s="13" t="inlineStr">
        <is>
          <t>WS 2017</t>
        </is>
      </c>
      <c r="F345" s="13" t="inlineStr">
        <is>
          <t>Planting</t>
        </is>
      </c>
      <c r="G345" s="7" t="n">
        <v>8.73</v>
      </c>
      <c r="H345" s="8" t="n">
        <v>27.2</v>
      </c>
      <c r="I345" s="8" t="n">
        <v>22.27</v>
      </c>
      <c r="J345" s="8" t="n">
        <v>32.27</v>
      </c>
      <c r="K345" s="8" t="n">
        <v>83.43000000000001</v>
      </c>
      <c r="L345" s="8" t="n">
        <v>98.3</v>
      </c>
      <c r="M345" s="8" t="n">
        <v>21.97</v>
      </c>
      <c r="N345" s="13" t="inlineStr">
        <is>
          <t>Type I – Tropical Monsoon (PAGASA)</t>
        </is>
      </c>
      <c r="O345" s="13" t="inlineStr">
        <is>
          <t>Wet</t>
        </is>
      </c>
      <c r="P345" s="13" t="inlineStr">
        <is>
          <t>Silty Clay Loam</t>
        </is>
      </c>
      <c r="Q345" s="13" t="inlineStr">
        <is>
          <t>Flat / Lowland</t>
        </is>
      </c>
      <c r="R345" s="14" t="n">
        <v>30</v>
      </c>
      <c r="S345" s="13" t="inlineStr">
        <is>
          <t>—</t>
        </is>
      </c>
      <c r="T345" s="15" t="n">
        <v>283.08</v>
      </c>
      <c r="U345" s="15" t="n">
        <v>103.6</v>
      </c>
      <c r="V345" s="15" t="n">
        <v>147.4</v>
      </c>
      <c r="W345" s="15" t="n">
        <v>251</v>
      </c>
      <c r="X345" s="15" t="n"/>
      <c r="Y345" s="15" t="n"/>
      <c r="Z345" s="16" t="n"/>
      <c r="AA345" s="17" t="inlineStr">
        <is>
          <t>Transplanting (Pindot) — optimal for clay-loam paddy fields</t>
        </is>
      </c>
      <c r="AB345" s="17" t="inlineStr">
        <is>
          <t>Wet Tillage (Puddling): 2 plowings + thorough harrowing under flooded condition</t>
        </is>
      </c>
      <c r="AC345" s="17" t="inlineStr">
        <is>
          <t>Continuous flooding 2–5 cm depth during vegetative stage; drain 2 weeks before harvest</t>
        </is>
      </c>
    </row>
    <row r="346" ht="21.75" customHeight="1" s="101">
      <c r="A346" s="6" t="inlineStr">
        <is>
          <t>Palay</t>
        </is>
      </c>
      <c r="B346" s="6" t="inlineStr">
        <is>
          <t>Pasileng Norte</t>
        </is>
      </c>
      <c r="C346" s="6" t="inlineStr">
        <is>
          <t>June</t>
        </is>
      </c>
      <c r="D346" s="6" t="inlineStr">
        <is>
          <t>2018</t>
        </is>
      </c>
      <c r="E346" s="6" t="inlineStr">
        <is>
          <t>WS 2018</t>
        </is>
      </c>
      <c r="F346" s="6" t="inlineStr">
        <is>
          <t>Planting</t>
        </is>
      </c>
      <c r="G346" s="7" t="n">
        <v>18.3</v>
      </c>
      <c r="H346" s="8" t="n">
        <v>26.62</v>
      </c>
      <c r="I346" s="8" t="n">
        <v>22.61</v>
      </c>
      <c r="J346" s="8" t="n">
        <v>33.57</v>
      </c>
      <c r="K346" s="8" t="n">
        <v>86.8</v>
      </c>
      <c r="L346" s="8" t="n">
        <v>98.13</v>
      </c>
      <c r="M346" s="8" t="n">
        <v>16.51</v>
      </c>
      <c r="N346" s="6" t="inlineStr">
        <is>
          <t>Type I – Tropical Monsoon (PAGASA)</t>
        </is>
      </c>
      <c r="O346" s="6" t="inlineStr">
        <is>
          <t>Wet</t>
        </is>
      </c>
      <c r="P346" s="6" t="inlineStr">
        <is>
          <t>Sandy Loam</t>
        </is>
      </c>
      <c r="Q346" s="6" t="inlineStr">
        <is>
          <t>Flat / Lowland</t>
        </is>
      </c>
      <c r="R346" s="9" t="n">
        <v>30</v>
      </c>
      <c r="S346" s="6" t="inlineStr">
        <is>
          <t>Tagamusing River</t>
        </is>
      </c>
      <c r="T346" s="10" t="n">
        <v>140.28</v>
      </c>
      <c r="U346" s="10" t="n">
        <v>78.34999999999999</v>
      </c>
      <c r="V346" s="10" t="n">
        <v>2.65</v>
      </c>
      <c r="W346" s="10" t="n">
        <v>81</v>
      </c>
      <c r="X346" s="10" t="n"/>
      <c r="Y346" s="10" t="n"/>
      <c r="Z346" s="11" t="n"/>
      <c r="AA346" s="12" t="inlineStr">
        <is>
          <t>Transplanting (Pindot) or Direct Seeding (Pinaghandaan)</t>
        </is>
      </c>
      <c r="AB346" s="12" t="inlineStr">
        <is>
          <t>Conventional Tillage: 2 plowings + 2 harrowings; soil workable when moist</t>
        </is>
      </c>
      <c r="AC346" s="12" t="inlineStr">
        <is>
          <t>Intermittent irrigation (Alternate Wetting and Drying — AWD); moderate retention</t>
        </is>
      </c>
    </row>
    <row r="347" ht="21.75" customHeight="1" s="101">
      <c r="A347" s="13" t="inlineStr">
        <is>
          <t>Palay</t>
        </is>
      </c>
      <c r="B347" s="13" t="inlineStr">
        <is>
          <t>Tabuyoc</t>
        </is>
      </c>
      <c r="C347" s="13" t="inlineStr">
        <is>
          <t>June</t>
        </is>
      </c>
      <c r="D347" s="13" t="inlineStr">
        <is>
          <t>2018</t>
        </is>
      </c>
      <c r="E347" s="13" t="inlineStr">
        <is>
          <t>WS 2018</t>
        </is>
      </c>
      <c r="F347" s="13" t="inlineStr">
        <is>
          <t>Planting</t>
        </is>
      </c>
      <c r="G347" s="7" t="n">
        <v>18.3</v>
      </c>
      <c r="H347" s="8" t="n">
        <v>26.62</v>
      </c>
      <c r="I347" s="8" t="n">
        <v>22.61</v>
      </c>
      <c r="J347" s="8" t="n">
        <v>33.57</v>
      </c>
      <c r="K347" s="8" t="n">
        <v>86.8</v>
      </c>
      <c r="L347" s="8" t="n">
        <v>98.13</v>
      </c>
      <c r="M347" s="8" t="n">
        <v>16.51</v>
      </c>
      <c r="N347" s="13" t="inlineStr">
        <is>
          <t>Type I – Tropical Monsoon (PAGASA)</t>
        </is>
      </c>
      <c r="O347" s="13" t="inlineStr">
        <is>
          <t>Wet</t>
        </is>
      </c>
      <c r="P347" s="13" t="inlineStr">
        <is>
          <t>Silty Clay Loam</t>
        </is>
      </c>
      <c r="Q347" s="13" t="inlineStr">
        <is>
          <t>Flat / Lowland</t>
        </is>
      </c>
      <c r="R347" s="14" t="n">
        <v>30</v>
      </c>
      <c r="S347" s="13" t="inlineStr">
        <is>
          <t>—</t>
        </is>
      </c>
      <c r="T347" s="15" t="n">
        <v>277.2</v>
      </c>
      <c r="U347" s="15" t="n">
        <v>134</v>
      </c>
      <c r="V347" s="15" t="n">
        <v>5</v>
      </c>
      <c r="W347" s="15" t="n">
        <v>139</v>
      </c>
      <c r="X347" s="15" t="n"/>
      <c r="Y347" s="15" t="n"/>
      <c r="Z347" s="16" t="n"/>
      <c r="AA347" s="17" t="inlineStr">
        <is>
          <t>Transplanting (Pindot) — optimal for clay-loam paddy fields</t>
        </is>
      </c>
      <c r="AB347" s="17" t="inlineStr">
        <is>
          <t>Wet Tillage (Puddling): 2 plowings + thorough harrowing under flooded condition</t>
        </is>
      </c>
      <c r="AC347" s="17" t="inlineStr">
        <is>
          <t>Continuous flooding 2–5 cm depth during vegetative stage; drain 2 weeks before harvest</t>
        </is>
      </c>
    </row>
    <row r="348" ht="21.75" customHeight="1" s="101">
      <c r="A348" s="6" t="inlineStr">
        <is>
          <t>Palay</t>
        </is>
      </c>
      <c r="B348" s="6" t="inlineStr">
        <is>
          <t>Bued</t>
        </is>
      </c>
      <c r="C348" s="6" t="inlineStr">
        <is>
          <t>June</t>
        </is>
      </c>
      <c r="D348" s="6" t="inlineStr">
        <is>
          <t>2018</t>
        </is>
      </c>
      <c r="E348" s="6" t="inlineStr">
        <is>
          <t>WS 2018</t>
        </is>
      </c>
      <c r="F348" s="6" t="inlineStr">
        <is>
          <t>Planting</t>
        </is>
      </c>
      <c r="G348" s="7" t="n">
        <v>18.3</v>
      </c>
      <c r="H348" s="8" t="n">
        <v>26.62</v>
      </c>
      <c r="I348" s="8" t="n">
        <v>22.61</v>
      </c>
      <c r="J348" s="8" t="n">
        <v>33.57</v>
      </c>
      <c r="K348" s="8" t="n">
        <v>86.8</v>
      </c>
      <c r="L348" s="8" t="n">
        <v>98.13</v>
      </c>
      <c r="M348" s="8" t="n">
        <v>16.51</v>
      </c>
      <c r="N348" s="6" t="inlineStr">
        <is>
          <t>Type I – Tropical Monsoon (PAGASA)</t>
        </is>
      </c>
      <c r="O348" s="6" t="inlineStr">
        <is>
          <t>Wet</t>
        </is>
      </c>
      <c r="P348" s="6" t="inlineStr">
        <is>
          <t>Silty Clay Loam</t>
        </is>
      </c>
      <c r="Q348" s="6" t="inlineStr">
        <is>
          <t>Flat / Lowland</t>
        </is>
      </c>
      <c r="R348" s="9" t="n">
        <v>30</v>
      </c>
      <c r="S348" s="6" t="inlineStr">
        <is>
          <t>Tagamusing River</t>
        </is>
      </c>
      <c r="T348" s="10" t="n">
        <v>210.84</v>
      </c>
      <c r="U348" s="10" t="n">
        <v>56.5</v>
      </c>
      <c r="V348" s="10" t="n">
        <v>37.5</v>
      </c>
      <c r="W348" s="10" t="n">
        <v>94</v>
      </c>
      <c r="X348" s="10" t="n"/>
      <c r="Y348" s="10" t="n"/>
      <c r="Z348" s="11" t="n"/>
      <c r="AA348" s="12" t="inlineStr">
        <is>
          <t>Transplanting (Pindot) — optimal for clay-loam paddy fields</t>
        </is>
      </c>
      <c r="AB348" s="12" t="inlineStr">
        <is>
          <t>Wet Tillage (Puddling): 2 plowings + thorough harrowing under flooded condition</t>
        </is>
      </c>
      <c r="AC348" s="12" t="inlineStr">
        <is>
          <t>Continuous flooding 2–5 cm depth during vegetative stage; drain 2 weeks before harvest</t>
        </is>
      </c>
    </row>
    <row r="349" ht="21.75" customHeight="1" s="101">
      <c r="A349" s="13" t="inlineStr">
        <is>
          <t>Palay</t>
        </is>
      </c>
      <c r="B349" s="13" t="inlineStr">
        <is>
          <t>Dumayat</t>
        </is>
      </c>
      <c r="C349" s="13" t="inlineStr">
        <is>
          <t>June</t>
        </is>
      </c>
      <c r="D349" s="13" t="inlineStr">
        <is>
          <t>2018</t>
        </is>
      </c>
      <c r="E349" s="13" t="inlineStr">
        <is>
          <t>WS 2018</t>
        </is>
      </c>
      <c r="F349" s="13" t="inlineStr">
        <is>
          <t>Planting</t>
        </is>
      </c>
      <c r="G349" s="7" t="n">
        <v>18.3</v>
      </c>
      <c r="H349" s="8" t="n">
        <v>26.62</v>
      </c>
      <c r="I349" s="8" t="n">
        <v>22.61</v>
      </c>
      <c r="J349" s="8" t="n">
        <v>33.57</v>
      </c>
      <c r="K349" s="8" t="n">
        <v>86.8</v>
      </c>
      <c r="L349" s="8" t="n">
        <v>98.13</v>
      </c>
      <c r="M349" s="8" t="n">
        <v>16.51</v>
      </c>
      <c r="N349" s="13" t="inlineStr">
        <is>
          <t>Type I – Tropical Monsoon (PAGASA)</t>
        </is>
      </c>
      <c r="O349" s="13" t="inlineStr">
        <is>
          <t>Wet</t>
        </is>
      </c>
      <c r="P349" s="13" t="inlineStr">
        <is>
          <t>Silty Clay Loam</t>
        </is>
      </c>
      <c r="Q349" s="13" t="inlineStr">
        <is>
          <t>Flat / Lowland</t>
        </is>
      </c>
      <c r="R349" s="14" t="n">
        <v>30</v>
      </c>
      <c r="S349" s="13" t="inlineStr">
        <is>
          <t>—</t>
        </is>
      </c>
      <c r="T349" s="15" t="n">
        <v>266.28</v>
      </c>
      <c r="U349" s="15" t="n">
        <v>56</v>
      </c>
      <c r="V349" s="15" t="n">
        <v>30</v>
      </c>
      <c r="W349" s="15" t="n">
        <v>86</v>
      </c>
      <c r="X349" s="15" t="n"/>
      <c r="Y349" s="15" t="n"/>
      <c r="Z349" s="16" t="n"/>
      <c r="AA349" s="17" t="inlineStr">
        <is>
          <t>Transplanting (Pindot) — optimal for clay-loam paddy fields</t>
        </is>
      </c>
      <c r="AB349" s="17" t="inlineStr">
        <is>
          <t>Wet Tillage (Puddling): 2 plowings + thorough harrowing under flooded condition</t>
        </is>
      </c>
      <c r="AC349" s="17" t="inlineStr">
        <is>
          <t>Continuous flooding 2–5 cm depth during vegetative stage; drain 2 weeks before harvest</t>
        </is>
      </c>
    </row>
    <row r="350" ht="21.75" customHeight="1" s="101">
      <c r="A350" s="6" t="inlineStr">
        <is>
          <t>Palay</t>
        </is>
      </c>
      <c r="B350" s="6" t="inlineStr">
        <is>
          <t>Camanggaan</t>
        </is>
      </c>
      <c r="C350" s="6" t="inlineStr">
        <is>
          <t>June</t>
        </is>
      </c>
      <c r="D350" s="6" t="inlineStr">
        <is>
          <t>2018</t>
        </is>
      </c>
      <c r="E350" s="6" t="inlineStr">
        <is>
          <t>WS 2018</t>
        </is>
      </c>
      <c r="F350" s="6" t="inlineStr">
        <is>
          <t>Planting</t>
        </is>
      </c>
      <c r="G350" s="7" t="n">
        <v>18.3</v>
      </c>
      <c r="H350" s="8" t="n">
        <v>26.62</v>
      </c>
      <c r="I350" s="8" t="n">
        <v>22.61</v>
      </c>
      <c r="J350" s="8" t="n">
        <v>33.57</v>
      </c>
      <c r="K350" s="8" t="n">
        <v>86.8</v>
      </c>
      <c r="L350" s="8" t="n">
        <v>98.13</v>
      </c>
      <c r="M350" s="8" t="n">
        <v>16.51</v>
      </c>
      <c r="N350" s="6" t="inlineStr">
        <is>
          <t>Type I – Tropical Monsoon (PAGASA)</t>
        </is>
      </c>
      <c r="O350" s="6" t="inlineStr">
        <is>
          <t>Wet</t>
        </is>
      </c>
      <c r="P350" s="6" t="inlineStr">
        <is>
          <t>Sandy Loam</t>
        </is>
      </c>
      <c r="Q350" s="6" t="inlineStr">
        <is>
          <t>Flat / Lowland</t>
        </is>
      </c>
      <c r="R350" s="9" t="n">
        <v>30</v>
      </c>
      <c r="S350" s="6" t="inlineStr">
        <is>
          <t>—</t>
        </is>
      </c>
      <c r="T350" s="10" t="n">
        <v>244.44</v>
      </c>
      <c r="U350" s="10" t="n">
        <v>19</v>
      </c>
      <c r="V350" s="10" t="n">
        <v>68</v>
      </c>
      <c r="W350" s="10" t="n">
        <v>87</v>
      </c>
      <c r="X350" s="10" t="n"/>
      <c r="Y350" s="10" t="n"/>
      <c r="Z350" s="11" t="n"/>
      <c r="AA350" s="12" t="inlineStr">
        <is>
          <t>Transplanting (Pindot) or Direct Seeding (Pinaghandaan)</t>
        </is>
      </c>
      <c r="AB350" s="12" t="inlineStr">
        <is>
          <t>Conventional Tillage: 2 plowings + 2 harrowings; soil workable when moist</t>
        </is>
      </c>
      <c r="AC350" s="12" t="inlineStr">
        <is>
          <t>Intermittent irrigation (Alternate Wetting and Drying — AWD); moderate retention</t>
        </is>
      </c>
    </row>
    <row r="351" ht="21.75" customHeight="1" s="101">
      <c r="A351" s="13" t="inlineStr">
        <is>
          <t>Palay</t>
        </is>
      </c>
      <c r="B351" s="13" t="inlineStr">
        <is>
          <t>Vacante</t>
        </is>
      </c>
      <c r="C351" s="13" t="inlineStr">
        <is>
          <t>June</t>
        </is>
      </c>
      <c r="D351" s="13" t="inlineStr">
        <is>
          <t>2018</t>
        </is>
      </c>
      <c r="E351" s="13" t="inlineStr">
        <is>
          <t>WS 2018</t>
        </is>
      </c>
      <c r="F351" s="13" t="inlineStr">
        <is>
          <t>Planting</t>
        </is>
      </c>
      <c r="G351" s="7" t="n">
        <v>18.3</v>
      </c>
      <c r="H351" s="8" t="n">
        <v>26.62</v>
      </c>
      <c r="I351" s="8" t="n">
        <v>22.61</v>
      </c>
      <c r="J351" s="8" t="n">
        <v>33.57</v>
      </c>
      <c r="K351" s="8" t="n">
        <v>86.8</v>
      </c>
      <c r="L351" s="8" t="n">
        <v>98.13</v>
      </c>
      <c r="M351" s="8" t="n">
        <v>16.51</v>
      </c>
      <c r="N351" s="13" t="inlineStr">
        <is>
          <t>Type I – Tropical Monsoon (PAGASA)</t>
        </is>
      </c>
      <c r="O351" s="13" t="inlineStr">
        <is>
          <t>Wet</t>
        </is>
      </c>
      <c r="P351" s="13" t="inlineStr">
        <is>
          <t>Silty Clay Loam</t>
        </is>
      </c>
      <c r="Q351" s="13" t="inlineStr">
        <is>
          <t>Flat / Lowland</t>
        </is>
      </c>
      <c r="R351" s="14" t="n">
        <v>30</v>
      </c>
      <c r="S351" s="13" t="inlineStr">
        <is>
          <t>Aloragat River</t>
        </is>
      </c>
      <c r="T351" s="15" t="n">
        <v>484.68</v>
      </c>
      <c r="U351" s="15" t="n">
        <v>28</v>
      </c>
      <c r="V351" s="15" t="n">
        <v>81</v>
      </c>
      <c r="W351" s="15" t="n">
        <v>109</v>
      </c>
      <c r="X351" s="15" t="n"/>
      <c r="Y351" s="15" t="n"/>
      <c r="Z351" s="16" t="n"/>
      <c r="AA351" s="17" t="inlineStr">
        <is>
          <t>Transplanting (Pindot) — optimal for clay-loam paddy fields</t>
        </is>
      </c>
      <c r="AB351" s="17" t="inlineStr">
        <is>
          <t>Wet Tillage (Puddling): 2 plowings + thorough harrowing under flooded condition</t>
        </is>
      </c>
      <c r="AC351" s="17" t="inlineStr">
        <is>
          <t>Continuous flooding 2–5 cm depth during vegetative stage; drain 2 weeks before harvest</t>
        </is>
      </c>
    </row>
    <row r="352" ht="21.75" customHeight="1" s="101">
      <c r="A352" s="6" t="inlineStr">
        <is>
          <t>Palay</t>
        </is>
      </c>
      <c r="B352" s="6" t="inlineStr">
        <is>
          <t>Sta. Catalina</t>
        </is>
      </c>
      <c r="C352" s="6" t="inlineStr">
        <is>
          <t>June</t>
        </is>
      </c>
      <c r="D352" s="6" t="inlineStr">
        <is>
          <t>2018</t>
        </is>
      </c>
      <c r="E352" s="6" t="inlineStr">
        <is>
          <t>WS 2018</t>
        </is>
      </c>
      <c r="F352" s="6" t="inlineStr">
        <is>
          <t>Planting</t>
        </is>
      </c>
      <c r="G352" s="7" t="n">
        <v>18.3</v>
      </c>
      <c r="H352" s="8" t="n">
        <v>26.62</v>
      </c>
      <c r="I352" s="8" t="n">
        <v>22.61</v>
      </c>
      <c r="J352" s="8" t="n">
        <v>33.57</v>
      </c>
      <c r="K352" s="8" t="n">
        <v>86.8</v>
      </c>
      <c r="L352" s="8" t="n">
        <v>98.13</v>
      </c>
      <c r="M352" s="8" t="n">
        <v>16.51</v>
      </c>
      <c r="N352" s="6" t="inlineStr">
        <is>
          <t>Type I – Tropical Monsoon (PAGASA)</t>
        </is>
      </c>
      <c r="O352" s="6" t="inlineStr">
        <is>
          <t>Wet</t>
        </is>
      </c>
      <c r="P352" s="6" t="inlineStr">
        <is>
          <t>Fine Sand / Sandy Loam</t>
        </is>
      </c>
      <c r="Q352" s="6" t="inlineStr">
        <is>
          <t>Moderately Sloping / Highland</t>
        </is>
      </c>
      <c r="R352" s="9" t="n">
        <v>90</v>
      </c>
      <c r="S352" s="6" t="inlineStr">
        <is>
          <t>—</t>
        </is>
      </c>
      <c r="T352" s="10" t="n">
        <v>709.8</v>
      </c>
      <c r="U352" s="10" t="n">
        <v>49</v>
      </c>
      <c r="V352" s="10" t="n">
        <v>180</v>
      </c>
      <c r="W352" s="10" t="n">
        <v>229</v>
      </c>
      <c r="X352" s="10" t="n"/>
      <c r="Y352" s="10" t="n"/>
      <c r="Z352" s="11" t="n"/>
      <c r="AA352" s="12" t="inlineStr">
        <is>
          <t>Transplanting (Pindot)</t>
        </is>
      </c>
      <c r="AB352" s="12" t="inlineStr">
        <is>
          <t>Minimum Tillage (avoid compaction; sandy structure fragile)</t>
        </is>
      </c>
      <c r="AC352" s="12" t="inlineStr">
        <is>
          <t>Continuous flooding or frequent irrigation; high percolation risk; terrace or bund-assisted water retention essential on slopes</t>
        </is>
      </c>
    </row>
    <row r="353" ht="21.75" customHeight="1" s="101">
      <c r="A353" s="13" t="inlineStr">
        <is>
          <t>Palay</t>
        </is>
      </c>
      <c r="B353" s="13" t="inlineStr">
        <is>
          <t>Moreno</t>
        </is>
      </c>
      <c r="C353" s="13" t="inlineStr">
        <is>
          <t>June</t>
        </is>
      </c>
      <c r="D353" s="13" t="inlineStr">
        <is>
          <t>2018</t>
        </is>
      </c>
      <c r="E353" s="13" t="inlineStr">
        <is>
          <t>WS 2018</t>
        </is>
      </c>
      <c r="F353" s="13" t="inlineStr">
        <is>
          <t>Planting</t>
        </is>
      </c>
      <c r="G353" s="7" t="n">
        <v>18.3</v>
      </c>
      <c r="H353" s="8" t="n">
        <v>26.62</v>
      </c>
      <c r="I353" s="8" t="n">
        <v>22.61</v>
      </c>
      <c r="J353" s="8" t="n">
        <v>33.57</v>
      </c>
      <c r="K353" s="8" t="n">
        <v>86.8</v>
      </c>
      <c r="L353" s="8" t="n">
        <v>98.13</v>
      </c>
      <c r="M353" s="8" t="n">
        <v>16.51</v>
      </c>
      <c r="N353" s="13" t="inlineStr">
        <is>
          <t>Type I – Tropical Monsoon (PAGASA)</t>
        </is>
      </c>
      <c r="O353" s="13" t="inlineStr">
        <is>
          <t>Wet</t>
        </is>
      </c>
      <c r="P353" s="13" t="inlineStr">
        <is>
          <t>Sandy Loam</t>
        </is>
      </c>
      <c r="Q353" s="13" t="inlineStr">
        <is>
          <t>Moderately Sloping / Highland</t>
        </is>
      </c>
      <c r="R353" s="14" t="n">
        <v>90</v>
      </c>
      <c r="S353" s="13" t="inlineStr">
        <is>
          <t>Alibeng River</t>
        </is>
      </c>
      <c r="T353" s="15" t="n">
        <v>641.76</v>
      </c>
      <c r="U353" s="15" t="n">
        <v>47.4</v>
      </c>
      <c r="V353" s="15" t="n">
        <v>116.6</v>
      </c>
      <c r="W353" s="15" t="n">
        <v>164</v>
      </c>
      <c r="X353" s="15" t="n"/>
      <c r="Y353" s="15" t="n"/>
      <c r="Z353" s="16" t="n"/>
      <c r="AA353" s="17" t="inlineStr">
        <is>
          <t>Transplanting (Pindot) or Direct Seeding (Pinaghandaan)</t>
        </is>
      </c>
      <c r="AB353" s="17" t="inlineStr">
        <is>
          <t>Conventional Tillage: 2 plowings + 2 harrowings; soil workable when moist</t>
        </is>
      </c>
      <c r="AC353" s="17" t="inlineStr">
        <is>
          <t>Intermittent irrigation (Alternate Wetting and Drying — AWD); moderate retention; terrace or bund-assisted water retention essential on slopes</t>
        </is>
      </c>
    </row>
    <row r="354" ht="21.75" customHeight="1" s="101">
      <c r="A354" s="6" t="inlineStr">
        <is>
          <t>Palay</t>
        </is>
      </c>
      <c r="B354" s="6" t="inlineStr">
        <is>
          <t>Cili</t>
        </is>
      </c>
      <c r="C354" s="6" t="inlineStr">
        <is>
          <t>June</t>
        </is>
      </c>
      <c r="D354" s="6" t="inlineStr">
        <is>
          <t>2018</t>
        </is>
      </c>
      <c r="E354" s="6" t="inlineStr">
        <is>
          <t>WS 2018</t>
        </is>
      </c>
      <c r="F354" s="6" t="inlineStr">
        <is>
          <t>Planting</t>
        </is>
      </c>
      <c r="G354" s="7" t="n">
        <v>18.3</v>
      </c>
      <c r="H354" s="8" t="n">
        <v>26.62</v>
      </c>
      <c r="I354" s="8" t="n">
        <v>22.61</v>
      </c>
      <c r="J354" s="8" t="n">
        <v>33.57</v>
      </c>
      <c r="K354" s="8" t="n">
        <v>86.8</v>
      </c>
      <c r="L354" s="8" t="n">
        <v>98.13</v>
      </c>
      <c r="M354" s="8" t="n">
        <v>16.51</v>
      </c>
      <c r="N354" s="6" t="inlineStr">
        <is>
          <t>Type I – Tropical Monsoon (PAGASA)</t>
        </is>
      </c>
      <c r="O354" s="6" t="inlineStr">
        <is>
          <t>Wet</t>
        </is>
      </c>
      <c r="P354" s="6" t="inlineStr">
        <is>
          <t>Silty Clay Loam</t>
        </is>
      </c>
      <c r="Q354" s="6" t="inlineStr">
        <is>
          <t>Flat / Lowland</t>
        </is>
      </c>
      <c r="R354" s="9" t="n">
        <v>30</v>
      </c>
      <c r="S354" s="6" t="inlineStr">
        <is>
          <t>Alibeng River</t>
        </is>
      </c>
      <c r="T354" s="10" t="n">
        <v>264.6</v>
      </c>
      <c r="U354" s="10" t="n">
        <v>40</v>
      </c>
      <c r="V354" s="10" t="n">
        <v>128</v>
      </c>
      <c r="W354" s="10" t="n">
        <v>168</v>
      </c>
      <c r="X354" s="10" t="n"/>
      <c r="Y354" s="10" t="n"/>
      <c r="Z354" s="11" t="n"/>
      <c r="AA354" s="12" t="inlineStr">
        <is>
          <t>Transplanting (Pindot) — optimal for clay-loam paddy fields</t>
        </is>
      </c>
      <c r="AB354" s="12" t="inlineStr">
        <is>
          <t>Wet Tillage (Puddling): 2 plowings + thorough harrowing under flooded condition</t>
        </is>
      </c>
      <c r="AC354" s="12" t="inlineStr">
        <is>
          <t>Continuous flooding 2–5 cm depth during vegetative stage; drain 2 weeks before harvest</t>
        </is>
      </c>
    </row>
    <row r="355" ht="21.75" customHeight="1" s="101">
      <c r="A355" s="13" t="inlineStr">
        <is>
          <t>Palay</t>
        </is>
      </c>
      <c r="B355" s="13" t="inlineStr">
        <is>
          <t>Linmansangan</t>
        </is>
      </c>
      <c r="C355" s="13" t="inlineStr">
        <is>
          <t>June</t>
        </is>
      </c>
      <c r="D355" s="13" t="inlineStr">
        <is>
          <t>2018</t>
        </is>
      </c>
      <c r="E355" s="13" t="inlineStr">
        <is>
          <t>WS 2018</t>
        </is>
      </c>
      <c r="F355" s="13" t="inlineStr">
        <is>
          <t>Planting</t>
        </is>
      </c>
      <c r="G355" s="7" t="n">
        <v>18.3</v>
      </c>
      <c r="H355" s="8" t="n">
        <v>26.62</v>
      </c>
      <c r="I355" s="8" t="n">
        <v>22.61</v>
      </c>
      <c r="J355" s="8" t="n">
        <v>33.57</v>
      </c>
      <c r="K355" s="8" t="n">
        <v>86.8</v>
      </c>
      <c r="L355" s="8" t="n">
        <v>98.13</v>
      </c>
      <c r="M355" s="8" t="n">
        <v>16.51</v>
      </c>
      <c r="N355" s="13" t="inlineStr">
        <is>
          <t>Type I – Tropical Monsoon (PAGASA)</t>
        </is>
      </c>
      <c r="O355" s="13" t="inlineStr">
        <is>
          <t>Wet</t>
        </is>
      </c>
      <c r="P355" s="13" t="inlineStr">
        <is>
          <t>Silty Clay Loam</t>
        </is>
      </c>
      <c r="Q355" s="13" t="inlineStr">
        <is>
          <t>Flat / Lowland</t>
        </is>
      </c>
      <c r="R355" s="14" t="n">
        <v>30</v>
      </c>
      <c r="S355" s="13" t="inlineStr">
        <is>
          <t>—</t>
        </is>
      </c>
      <c r="T355" s="15" t="n">
        <v>492.24</v>
      </c>
      <c r="U355" s="15" t="n">
        <v>65.5</v>
      </c>
      <c r="V355" s="15" t="n">
        <v>150.5</v>
      </c>
      <c r="W355" s="15" t="n">
        <v>216</v>
      </c>
      <c r="X355" s="15" t="n"/>
      <c r="Y355" s="15" t="n"/>
      <c r="Z355" s="16" t="n"/>
      <c r="AA355" s="17" t="inlineStr">
        <is>
          <t>Transplanting (Pindot) — optimal for clay-loam paddy fields</t>
        </is>
      </c>
      <c r="AB355" s="17" t="inlineStr">
        <is>
          <t>Wet Tillage (Puddling): 2 plowings + thorough harrowing under flooded condition</t>
        </is>
      </c>
      <c r="AC355" s="17" t="inlineStr">
        <is>
          <t>Continuous flooding 2–5 cm depth during vegetative stage; drain 2 weeks before harvest</t>
        </is>
      </c>
    </row>
    <row r="356" ht="21.75" customHeight="1" s="101">
      <c r="A356" s="6" t="inlineStr">
        <is>
          <t>Palay</t>
        </is>
      </c>
      <c r="B356" s="6" t="inlineStr">
        <is>
          <t>Sumabnit</t>
        </is>
      </c>
      <c r="C356" s="6" t="inlineStr">
        <is>
          <t>June</t>
        </is>
      </c>
      <c r="D356" s="6" t="inlineStr">
        <is>
          <t>2018</t>
        </is>
      </c>
      <c r="E356" s="6" t="inlineStr">
        <is>
          <t>WS 2018</t>
        </is>
      </c>
      <c r="F356" s="6" t="inlineStr">
        <is>
          <t>Planting</t>
        </is>
      </c>
      <c r="G356" s="7" t="n">
        <v>18.3</v>
      </c>
      <c r="H356" s="8" t="n">
        <v>26.62</v>
      </c>
      <c r="I356" s="8" t="n">
        <v>22.61</v>
      </c>
      <c r="J356" s="8" t="n">
        <v>33.57</v>
      </c>
      <c r="K356" s="8" t="n">
        <v>86.8</v>
      </c>
      <c r="L356" s="8" t="n">
        <v>98.13</v>
      </c>
      <c r="M356" s="8" t="n">
        <v>16.51</v>
      </c>
      <c r="N356" s="6" t="inlineStr">
        <is>
          <t>Type I – Tropical Monsoon (PAGASA)</t>
        </is>
      </c>
      <c r="O356" s="6" t="inlineStr">
        <is>
          <t>Wet</t>
        </is>
      </c>
      <c r="P356" s="6" t="inlineStr">
        <is>
          <t>Silty Clay Loam / Fine Sandy Loam</t>
        </is>
      </c>
      <c r="Q356" s="6" t="inlineStr">
        <is>
          <t>Flat / Lowland</t>
        </is>
      </c>
      <c r="R356" s="9" t="n">
        <v>30</v>
      </c>
      <c r="S356" s="6" t="inlineStr">
        <is>
          <t>Tagamusing River</t>
        </is>
      </c>
      <c r="T356" s="10" t="n">
        <v>406.56</v>
      </c>
      <c r="U356" s="10" t="n">
        <v>133.3</v>
      </c>
      <c r="V356" s="10" t="n">
        <v>123.7</v>
      </c>
      <c r="W356" s="10" t="n">
        <v>257</v>
      </c>
      <c r="X356" s="10" t="n"/>
      <c r="Y356" s="10" t="n"/>
      <c r="Z356" s="11" t="n"/>
      <c r="AA356" s="12" t="inlineStr">
        <is>
          <t>Transplanting (Pindot)</t>
        </is>
      </c>
      <c r="AB356" s="12" t="inlineStr">
        <is>
          <t>Minimum Tillage (avoid compaction; sandy structure fragile)</t>
        </is>
      </c>
      <c r="AC356" s="12" t="inlineStr">
        <is>
          <t>Continuous flooding or frequent irrigation; high percolation risk</t>
        </is>
      </c>
    </row>
    <row r="357" ht="21.75" customHeight="1" s="101">
      <c r="A357" s="13" t="inlineStr">
        <is>
          <t>Palay</t>
        </is>
      </c>
      <c r="B357" s="13" t="inlineStr">
        <is>
          <t>Capas</t>
        </is>
      </c>
      <c r="C357" s="13" t="inlineStr">
        <is>
          <t>June</t>
        </is>
      </c>
      <c r="D357" s="13" t="inlineStr">
        <is>
          <t>2018</t>
        </is>
      </c>
      <c r="E357" s="13" t="inlineStr">
        <is>
          <t>WS 2018</t>
        </is>
      </c>
      <c r="F357" s="13" t="inlineStr">
        <is>
          <t>Planting</t>
        </is>
      </c>
      <c r="G357" s="7" t="n">
        <v>18.3</v>
      </c>
      <c r="H357" s="8" t="n">
        <v>26.62</v>
      </c>
      <c r="I357" s="8" t="n">
        <v>22.61</v>
      </c>
      <c r="J357" s="8" t="n">
        <v>33.57</v>
      </c>
      <c r="K357" s="8" t="n">
        <v>86.8</v>
      </c>
      <c r="L357" s="8" t="n">
        <v>98.13</v>
      </c>
      <c r="M357" s="8" t="n">
        <v>16.51</v>
      </c>
      <c r="N357" s="13" t="inlineStr">
        <is>
          <t>Type I – Tropical Monsoon (PAGASA)</t>
        </is>
      </c>
      <c r="O357" s="13" t="inlineStr">
        <is>
          <t>Wet</t>
        </is>
      </c>
      <c r="P357" s="13" t="inlineStr">
        <is>
          <t>Sandy Loam</t>
        </is>
      </c>
      <c r="Q357" s="13" t="inlineStr">
        <is>
          <t>Flat / Lowland</t>
        </is>
      </c>
      <c r="R357" s="14" t="n">
        <v>30</v>
      </c>
      <c r="S357" s="13" t="inlineStr">
        <is>
          <t>—</t>
        </is>
      </c>
      <c r="T357" s="15" t="n">
        <v>377.16</v>
      </c>
      <c r="U357" s="15" t="n">
        <v>139</v>
      </c>
      <c r="V357" s="15" t="n">
        <v>164</v>
      </c>
      <c r="W357" s="15" t="n">
        <v>303</v>
      </c>
      <c r="X357" s="15" t="n"/>
      <c r="Y357" s="15" t="n"/>
      <c r="Z357" s="16" t="n"/>
      <c r="AA357" s="17" t="inlineStr">
        <is>
          <t>Transplanting (Pindot) or Direct Seeding (Pinaghandaan)</t>
        </is>
      </c>
      <c r="AB357" s="17" t="inlineStr">
        <is>
          <t>Conventional Tillage: 2 plowings + 2 harrowings; soil workable when moist</t>
        </is>
      </c>
      <c r="AC357" s="17" t="inlineStr">
        <is>
          <t>Intermittent irrigation (Alternate Wetting and Drying — AWD); moderate retention</t>
        </is>
      </c>
    </row>
    <row r="358" ht="21.75" customHeight="1" s="101">
      <c r="A358" s="6" t="inlineStr">
        <is>
          <t>Palay</t>
        </is>
      </c>
      <c r="B358" s="6" t="inlineStr">
        <is>
          <t>Mangkasuy</t>
        </is>
      </c>
      <c r="C358" s="6" t="inlineStr">
        <is>
          <t>June</t>
        </is>
      </c>
      <c r="D358" s="6" t="inlineStr">
        <is>
          <t>2018</t>
        </is>
      </c>
      <c r="E358" s="6" t="inlineStr">
        <is>
          <t>WS 2018</t>
        </is>
      </c>
      <c r="F358" s="6" t="inlineStr">
        <is>
          <t>Planting</t>
        </is>
      </c>
      <c r="G358" s="7" t="n">
        <v>18.3</v>
      </c>
      <c r="H358" s="8" t="n">
        <v>26.62</v>
      </c>
      <c r="I358" s="8" t="n">
        <v>22.61</v>
      </c>
      <c r="J358" s="8" t="n">
        <v>33.57</v>
      </c>
      <c r="K358" s="8" t="n">
        <v>86.8</v>
      </c>
      <c r="L358" s="8" t="n">
        <v>98.13</v>
      </c>
      <c r="M358" s="8" t="n">
        <v>16.51</v>
      </c>
      <c r="N358" s="6" t="inlineStr">
        <is>
          <t>Type I – Tropical Monsoon (PAGASA)</t>
        </is>
      </c>
      <c r="O358" s="6" t="inlineStr">
        <is>
          <t>Wet</t>
        </is>
      </c>
      <c r="P358" s="6" t="inlineStr">
        <is>
          <t>Sandy Loam</t>
        </is>
      </c>
      <c r="Q358" s="6" t="inlineStr">
        <is>
          <t>Flat / Lowland</t>
        </is>
      </c>
      <c r="R358" s="9" t="n">
        <v>30</v>
      </c>
      <c r="S358" s="6" t="inlineStr">
        <is>
          <t>Tagamusing River</t>
        </is>
      </c>
      <c r="T358" s="10" t="n">
        <v>802.2</v>
      </c>
      <c r="U358" s="10" t="n">
        <v>90</v>
      </c>
      <c r="V358" s="10" t="n">
        <v>262</v>
      </c>
      <c r="W358" s="10" t="n">
        <v>352</v>
      </c>
      <c r="X358" s="10" t="n"/>
      <c r="Y358" s="10" t="n"/>
      <c r="Z358" s="11" t="n"/>
      <c r="AA358" s="12" t="inlineStr">
        <is>
          <t>Transplanting (Pindot) or Direct Seeding (Pinaghandaan)</t>
        </is>
      </c>
      <c r="AB358" s="12" t="inlineStr">
        <is>
          <t>Conventional Tillage: 2 plowings + 2 harrowings; soil workable when moist</t>
        </is>
      </c>
      <c r="AC358" s="12" t="inlineStr">
        <is>
          <t>Intermittent irrigation (Alternate Wetting and Drying — AWD); moderate retention</t>
        </is>
      </c>
    </row>
    <row r="359" ht="21.75" customHeight="1" s="101">
      <c r="A359" s="13" t="inlineStr">
        <is>
          <t>Palay</t>
        </is>
      </c>
      <c r="B359" s="13" t="inlineStr">
        <is>
          <t>San Pablo</t>
        </is>
      </c>
      <c r="C359" s="13" t="inlineStr">
        <is>
          <t>June</t>
        </is>
      </c>
      <c r="D359" s="13" t="inlineStr">
        <is>
          <t>2018</t>
        </is>
      </c>
      <c r="E359" s="13" t="inlineStr">
        <is>
          <t>WS 2018</t>
        </is>
      </c>
      <c r="F359" s="13" t="inlineStr">
        <is>
          <t>Planting</t>
        </is>
      </c>
      <c r="G359" s="7" t="n">
        <v>18.3</v>
      </c>
      <c r="H359" s="8" t="n">
        <v>26.62</v>
      </c>
      <c r="I359" s="8" t="n">
        <v>22.61</v>
      </c>
      <c r="J359" s="8" t="n">
        <v>33.57</v>
      </c>
      <c r="K359" s="8" t="n">
        <v>86.8</v>
      </c>
      <c r="L359" s="8" t="n">
        <v>98.13</v>
      </c>
      <c r="M359" s="8" t="n">
        <v>16.51</v>
      </c>
      <c r="N359" s="13" t="inlineStr">
        <is>
          <t>Type I – Tropical Monsoon (PAGASA)</t>
        </is>
      </c>
      <c r="O359" s="13" t="inlineStr">
        <is>
          <t>Wet</t>
        </is>
      </c>
      <c r="P359" s="13" t="inlineStr">
        <is>
          <t>Sandy Loam</t>
        </is>
      </c>
      <c r="Q359" s="13" t="inlineStr">
        <is>
          <t>Flat / Lowland</t>
        </is>
      </c>
      <c r="R359" s="14" t="n">
        <v>30</v>
      </c>
      <c r="S359" s="13" t="inlineStr">
        <is>
          <t>San Pablo Creek</t>
        </is>
      </c>
      <c r="T359" s="15" t="n">
        <v>215.04</v>
      </c>
      <c r="U359" s="15" t="n">
        <v>103.5</v>
      </c>
      <c r="V359" s="15" t="n">
        <v>30.5</v>
      </c>
      <c r="W359" s="15" t="n">
        <v>134</v>
      </c>
      <c r="X359" s="15" t="n"/>
      <c r="Y359" s="15" t="n"/>
      <c r="Z359" s="16" t="n"/>
      <c r="AA359" s="17" t="inlineStr">
        <is>
          <t>Transplanting (Pindot) or Direct Seeding (Pinaghandaan)</t>
        </is>
      </c>
      <c r="AB359" s="17" t="inlineStr">
        <is>
          <t>Conventional Tillage: 2 plowings + 2 harrowings; soil workable when moist</t>
        </is>
      </c>
      <c r="AC359" s="17" t="inlineStr">
        <is>
          <t>Intermittent irrigation (Alternate Wetting and Drying — AWD); moderate retention</t>
        </is>
      </c>
    </row>
    <row r="360" ht="21.75" customHeight="1" s="101">
      <c r="A360" s="6" t="inlineStr">
        <is>
          <t>Palay</t>
        </is>
      </c>
      <c r="B360" s="6" t="inlineStr">
        <is>
          <t>Balangobong</t>
        </is>
      </c>
      <c r="C360" s="6" t="inlineStr">
        <is>
          <t>June</t>
        </is>
      </c>
      <c r="D360" s="6" t="inlineStr">
        <is>
          <t>2018</t>
        </is>
      </c>
      <c r="E360" s="6" t="inlineStr">
        <is>
          <t>WS 2018</t>
        </is>
      </c>
      <c r="F360" s="6" t="inlineStr">
        <is>
          <t>Planting</t>
        </is>
      </c>
      <c r="G360" s="7" t="n">
        <v>18.3</v>
      </c>
      <c r="H360" s="8" t="n">
        <v>26.62</v>
      </c>
      <c r="I360" s="8" t="n">
        <v>22.61</v>
      </c>
      <c r="J360" s="8" t="n">
        <v>33.57</v>
      </c>
      <c r="K360" s="8" t="n">
        <v>86.8</v>
      </c>
      <c r="L360" s="8" t="n">
        <v>98.13</v>
      </c>
      <c r="M360" s="8" t="n">
        <v>16.51</v>
      </c>
      <c r="N360" s="6" t="inlineStr">
        <is>
          <t>Type I – Tropical Monsoon (PAGASA)</t>
        </is>
      </c>
      <c r="O360" s="6" t="inlineStr">
        <is>
          <t>Wet</t>
        </is>
      </c>
      <c r="P360" s="6" t="inlineStr">
        <is>
          <t>Silty Clay Loam</t>
        </is>
      </c>
      <c r="Q360" s="6" t="inlineStr">
        <is>
          <t>Flat / Lowland</t>
        </is>
      </c>
      <c r="R360" s="9" t="n">
        <v>30</v>
      </c>
      <c r="S360" s="6" t="inlineStr">
        <is>
          <t>—</t>
        </is>
      </c>
      <c r="T360" s="10" t="n">
        <v>281.4</v>
      </c>
      <c r="U360" s="10" t="n">
        <v>120</v>
      </c>
      <c r="V360" s="10" t="n">
        <v>15</v>
      </c>
      <c r="W360" s="10" t="n">
        <v>135</v>
      </c>
      <c r="X360" s="10" t="n"/>
      <c r="Y360" s="10" t="n"/>
      <c r="Z360" s="11" t="n"/>
      <c r="AA360" s="12" t="inlineStr">
        <is>
          <t>Transplanting (Pindot) — optimal for clay-loam paddy fields</t>
        </is>
      </c>
      <c r="AB360" s="12" t="inlineStr">
        <is>
          <t>Wet Tillage (Puddling): 2 plowings + thorough harrowing under flooded condition</t>
        </is>
      </c>
      <c r="AC360" s="12" t="inlineStr">
        <is>
          <t>Continuous flooding 2–5 cm depth during vegetative stage; drain 2 weeks before harvest</t>
        </is>
      </c>
    </row>
    <row r="361" ht="21.75" customHeight="1" s="101">
      <c r="A361" s="13" t="inlineStr">
        <is>
          <t>Palay</t>
        </is>
      </c>
      <c r="B361" s="13" t="inlineStr">
        <is>
          <t>San Felipe Central</t>
        </is>
      </c>
      <c r="C361" s="13" t="inlineStr">
        <is>
          <t>June</t>
        </is>
      </c>
      <c r="D361" s="13" t="inlineStr">
        <is>
          <t>2018</t>
        </is>
      </c>
      <c r="E361" s="13" t="inlineStr">
        <is>
          <t>WS 2018</t>
        </is>
      </c>
      <c r="F361" s="13" t="inlineStr">
        <is>
          <t>Planting</t>
        </is>
      </c>
      <c r="G361" s="7" t="n">
        <v>18.3</v>
      </c>
      <c r="H361" s="8" t="n">
        <v>26.62</v>
      </c>
      <c r="I361" s="8" t="n">
        <v>22.61</v>
      </c>
      <c r="J361" s="8" t="n">
        <v>33.57</v>
      </c>
      <c r="K361" s="8" t="n">
        <v>86.8</v>
      </c>
      <c r="L361" s="8" t="n">
        <v>98.13</v>
      </c>
      <c r="M361" s="8" t="n">
        <v>16.51</v>
      </c>
      <c r="N361" s="13" t="inlineStr">
        <is>
          <t>Type I – Tropical Monsoon (PAGASA)</t>
        </is>
      </c>
      <c r="O361" s="13" t="inlineStr">
        <is>
          <t>Wet</t>
        </is>
      </c>
      <c r="P361" s="13" t="inlineStr">
        <is>
          <t>Sandy Loam</t>
        </is>
      </c>
      <c r="Q361" s="13" t="inlineStr">
        <is>
          <t>Flat / Lowland</t>
        </is>
      </c>
      <c r="R361" s="14" t="n">
        <v>30</v>
      </c>
      <c r="S361" s="13" t="inlineStr">
        <is>
          <t>—</t>
        </is>
      </c>
      <c r="T361" s="15" t="n">
        <v>452.76</v>
      </c>
      <c r="U361" s="15" t="n">
        <v>117</v>
      </c>
      <c r="V361" s="15" t="n">
        <v>62</v>
      </c>
      <c r="W361" s="15" t="n">
        <v>179</v>
      </c>
      <c r="X361" s="15" t="n"/>
      <c r="Y361" s="15" t="n"/>
      <c r="Z361" s="16" t="n"/>
      <c r="AA361" s="17" t="inlineStr">
        <is>
          <t>Transplanting (Pindot) or Direct Seeding (Pinaghandaan)</t>
        </is>
      </c>
      <c r="AB361" s="17" t="inlineStr">
        <is>
          <t>Conventional Tillage: 2 plowings + 2 harrowings; soil workable when moist</t>
        </is>
      </c>
      <c r="AC361" s="17" t="inlineStr">
        <is>
          <t>Intermittent irrigation (Alternate Wetting and Drying — AWD); moderate retention</t>
        </is>
      </c>
    </row>
    <row r="362" ht="21.75" customHeight="1" s="101">
      <c r="A362" s="6" t="inlineStr">
        <is>
          <t>Palay</t>
        </is>
      </c>
      <c r="B362" s="6" t="inlineStr">
        <is>
          <t>San Felipe Sur</t>
        </is>
      </c>
      <c r="C362" s="6" t="inlineStr">
        <is>
          <t>June</t>
        </is>
      </c>
      <c r="D362" s="6" t="inlineStr">
        <is>
          <t>2018</t>
        </is>
      </c>
      <c r="E362" s="6" t="inlineStr">
        <is>
          <t>WS 2018</t>
        </is>
      </c>
      <c r="F362" s="6" t="inlineStr">
        <is>
          <t>Planting</t>
        </is>
      </c>
      <c r="G362" s="7" t="n">
        <v>18.3</v>
      </c>
      <c r="H362" s="8" t="n">
        <v>26.62</v>
      </c>
      <c r="I362" s="8" t="n">
        <v>22.61</v>
      </c>
      <c r="J362" s="8" t="n">
        <v>33.57</v>
      </c>
      <c r="K362" s="8" t="n">
        <v>86.8</v>
      </c>
      <c r="L362" s="8" t="n">
        <v>98.13</v>
      </c>
      <c r="M362" s="8" t="n">
        <v>16.51</v>
      </c>
      <c r="N362" s="6" t="inlineStr">
        <is>
          <t>Type I – Tropical Monsoon (PAGASA)</t>
        </is>
      </c>
      <c r="O362" s="6" t="inlineStr">
        <is>
          <t>Wet</t>
        </is>
      </c>
      <c r="P362" s="6" t="inlineStr">
        <is>
          <t>Sandy Loam</t>
        </is>
      </c>
      <c r="Q362" s="6" t="inlineStr">
        <is>
          <t>Flat / Lowland</t>
        </is>
      </c>
      <c r="R362" s="9" t="n">
        <v>30</v>
      </c>
      <c r="S362" s="6" t="inlineStr">
        <is>
          <t>Tagamusing River</t>
        </is>
      </c>
      <c r="T362" s="10" t="n">
        <v>504</v>
      </c>
      <c r="U362" s="10" t="n">
        <v>127.5</v>
      </c>
      <c r="V362" s="10" t="n">
        <v>50.5</v>
      </c>
      <c r="W362" s="10" t="n">
        <v>178</v>
      </c>
      <c r="X362" s="10" t="n"/>
      <c r="Y362" s="10" t="n"/>
      <c r="Z362" s="11" t="n"/>
      <c r="AA362" s="12" t="inlineStr">
        <is>
          <t>Transplanting (Pindot) or Direct Seeding (Pinaghandaan)</t>
        </is>
      </c>
      <c r="AB362" s="12" t="inlineStr">
        <is>
          <t>Conventional Tillage: 2 plowings + 2 harrowings; soil workable when moist</t>
        </is>
      </c>
      <c r="AC362" s="12" t="inlineStr">
        <is>
          <t>Intermittent irrigation (Alternate Wetting and Drying — AWD); moderate retention</t>
        </is>
      </c>
    </row>
    <row r="363" ht="21.75" customHeight="1" s="101">
      <c r="A363" s="13" t="inlineStr">
        <is>
          <t>Palay</t>
        </is>
      </c>
      <c r="B363" s="13" t="inlineStr">
        <is>
          <t>Pasileng Sur</t>
        </is>
      </c>
      <c r="C363" s="13" t="inlineStr">
        <is>
          <t>June</t>
        </is>
      </c>
      <c r="D363" s="13" t="inlineStr">
        <is>
          <t>2018</t>
        </is>
      </c>
      <c r="E363" s="13" t="inlineStr">
        <is>
          <t>WS 2018</t>
        </is>
      </c>
      <c r="F363" s="13" t="inlineStr">
        <is>
          <t>Planting</t>
        </is>
      </c>
      <c r="G363" s="7" t="n">
        <v>18.3</v>
      </c>
      <c r="H363" s="8" t="n">
        <v>26.62</v>
      </c>
      <c r="I363" s="8" t="n">
        <v>22.61</v>
      </c>
      <c r="J363" s="8" t="n">
        <v>33.57</v>
      </c>
      <c r="K363" s="8" t="n">
        <v>86.8</v>
      </c>
      <c r="L363" s="8" t="n">
        <v>98.13</v>
      </c>
      <c r="M363" s="8" t="n">
        <v>16.51</v>
      </c>
      <c r="N363" s="13" t="inlineStr">
        <is>
          <t>Type I – Tropical Monsoon (PAGASA)</t>
        </is>
      </c>
      <c r="O363" s="13" t="inlineStr">
        <is>
          <t>Wet</t>
        </is>
      </c>
      <c r="P363" s="13" t="inlineStr">
        <is>
          <t>Sandy Loam</t>
        </is>
      </c>
      <c r="Q363" s="13" t="inlineStr">
        <is>
          <t>Flat / Lowland</t>
        </is>
      </c>
      <c r="R363" s="14" t="n">
        <v>30</v>
      </c>
      <c r="S363" s="13" t="inlineStr">
        <is>
          <t>Tagamusing River</t>
        </is>
      </c>
      <c r="T363" s="15" t="n">
        <v>414.96</v>
      </c>
      <c r="U363" s="15" t="n">
        <v>150.9</v>
      </c>
      <c r="V363" s="15" t="n">
        <v>29.1</v>
      </c>
      <c r="W363" s="15" t="n">
        <v>180</v>
      </c>
      <c r="X363" s="15" t="n"/>
      <c r="Y363" s="15" t="n"/>
      <c r="Z363" s="16" t="n"/>
      <c r="AA363" s="17" t="inlineStr">
        <is>
          <t>Transplanting (Pindot) or Direct Seeding (Pinaghandaan)</t>
        </is>
      </c>
      <c r="AB363" s="17" t="inlineStr">
        <is>
          <t>Conventional Tillage: 2 plowings + 2 harrowings; soil workable when moist</t>
        </is>
      </c>
      <c r="AC363" s="17" t="inlineStr">
        <is>
          <t>Intermittent irrigation (Alternate Wetting and Drying — AWD); moderate retention</t>
        </is>
      </c>
    </row>
    <row r="364" ht="21.75" customHeight="1" s="101">
      <c r="A364" s="6" t="inlineStr">
        <is>
          <t>Palay</t>
        </is>
      </c>
      <c r="B364" s="6" t="inlineStr">
        <is>
          <t>Sta. Maria Norte</t>
        </is>
      </c>
      <c r="C364" s="6" t="inlineStr">
        <is>
          <t>June</t>
        </is>
      </c>
      <c r="D364" s="6" t="inlineStr">
        <is>
          <t>2018</t>
        </is>
      </c>
      <c r="E364" s="6" t="inlineStr">
        <is>
          <t>WS 2018</t>
        </is>
      </c>
      <c r="F364" s="6" t="inlineStr">
        <is>
          <t>Planting</t>
        </is>
      </c>
      <c r="G364" s="7" t="n">
        <v>18.3</v>
      </c>
      <c r="H364" s="8" t="n">
        <v>26.62</v>
      </c>
      <c r="I364" s="8" t="n">
        <v>22.61</v>
      </c>
      <c r="J364" s="8" t="n">
        <v>33.57</v>
      </c>
      <c r="K364" s="8" t="n">
        <v>86.8</v>
      </c>
      <c r="L364" s="8" t="n">
        <v>98.13</v>
      </c>
      <c r="M364" s="8" t="n">
        <v>16.51</v>
      </c>
      <c r="N364" s="6" t="inlineStr">
        <is>
          <t>Type I – Tropical Monsoon (PAGASA)</t>
        </is>
      </c>
      <c r="O364" s="6" t="inlineStr">
        <is>
          <t>Wet</t>
        </is>
      </c>
      <c r="P364" s="6" t="inlineStr">
        <is>
          <t>Sandy Loam</t>
        </is>
      </c>
      <c r="Q364" s="6" t="inlineStr">
        <is>
          <t>Flat / Lowland</t>
        </is>
      </c>
      <c r="R364" s="9" t="n">
        <v>30</v>
      </c>
      <c r="S364" s="6" t="inlineStr">
        <is>
          <t>Tagamusing River</t>
        </is>
      </c>
      <c r="T364" s="10" t="n">
        <v>157.08</v>
      </c>
      <c r="U364" s="10" t="n">
        <v>24.5</v>
      </c>
      <c r="V364" s="10" t="n">
        <v>43.5</v>
      </c>
      <c r="W364" s="10" t="n">
        <v>68</v>
      </c>
      <c r="X364" s="10" t="n"/>
      <c r="Y364" s="10" t="n"/>
      <c r="Z364" s="11" t="n"/>
      <c r="AA364" s="12" t="inlineStr">
        <is>
          <t>Transplanting (Pindot) or Direct Seeding (Pinaghandaan)</t>
        </is>
      </c>
      <c r="AB364" s="12" t="inlineStr">
        <is>
          <t>Conventional Tillage: 2 plowings + 2 harrowings; soil workable when moist</t>
        </is>
      </c>
      <c r="AC364" s="12" t="inlineStr">
        <is>
          <t>Intermittent irrigation (Alternate Wetting and Drying — AWD); moderate retention</t>
        </is>
      </c>
    </row>
    <row r="365" ht="21.75" customHeight="1" s="101">
      <c r="A365" s="13" t="inlineStr">
        <is>
          <t>Palay</t>
        </is>
      </c>
      <c r="B365" s="13" t="inlineStr">
        <is>
          <t>Bugayong</t>
        </is>
      </c>
      <c r="C365" s="13" t="inlineStr">
        <is>
          <t>June</t>
        </is>
      </c>
      <c r="D365" s="13" t="inlineStr">
        <is>
          <t>2018</t>
        </is>
      </c>
      <c r="E365" s="13" t="inlineStr">
        <is>
          <t>WS 2018</t>
        </is>
      </c>
      <c r="F365" s="13" t="inlineStr">
        <is>
          <t>Planting</t>
        </is>
      </c>
      <c r="G365" s="7" t="n">
        <v>18.3</v>
      </c>
      <c r="H365" s="8" t="n">
        <v>26.62</v>
      </c>
      <c r="I365" s="8" t="n">
        <v>22.61</v>
      </c>
      <c r="J365" s="8" t="n">
        <v>33.57</v>
      </c>
      <c r="K365" s="8" t="n">
        <v>86.8</v>
      </c>
      <c r="L365" s="8" t="n">
        <v>98.13</v>
      </c>
      <c r="M365" s="8" t="n">
        <v>16.51</v>
      </c>
      <c r="N365" s="13" t="inlineStr">
        <is>
          <t>Type I – Tropical Monsoon (PAGASA)</t>
        </is>
      </c>
      <c r="O365" s="13" t="inlineStr">
        <is>
          <t>Wet</t>
        </is>
      </c>
      <c r="P365" s="13" t="inlineStr">
        <is>
          <t>Sandy Loam / Silty Clay Loam</t>
        </is>
      </c>
      <c r="Q365" s="13" t="inlineStr">
        <is>
          <t>Flat / Lowland</t>
        </is>
      </c>
      <c r="R365" s="14" t="n">
        <v>30</v>
      </c>
      <c r="S365" s="13" t="inlineStr">
        <is>
          <t>Aloragat River</t>
        </is>
      </c>
      <c r="T365" s="15" t="n">
        <v>346.08</v>
      </c>
      <c r="U365" s="15" t="n">
        <v>25.95</v>
      </c>
      <c r="V365" s="15" t="n">
        <v>52.05</v>
      </c>
      <c r="W365" s="15" t="n">
        <v>78</v>
      </c>
      <c r="X365" s="15" t="n"/>
      <c r="Y365" s="15" t="n"/>
      <c r="Z365" s="16" t="n"/>
      <c r="AA365" s="17" t="inlineStr">
        <is>
          <t>Transplanting (Pindot) — recommended; Direct Seeding possible in dry season</t>
        </is>
      </c>
      <c r="AB365" s="17" t="inlineStr">
        <is>
          <t>Conventional Tillage: 2 plowings + harrowing; puddle thoroughly for transplanting</t>
        </is>
      </c>
      <c r="AC365" s="17" t="inlineStr">
        <is>
          <t>Intermittent to continuous flooding; manage according to drainage section present</t>
        </is>
      </c>
    </row>
    <row r="366" ht="21.75" customHeight="1" s="101">
      <c r="A366" s="6" t="inlineStr">
        <is>
          <t>Palay</t>
        </is>
      </c>
      <c r="B366" s="6" t="inlineStr">
        <is>
          <t>Santiago</t>
        </is>
      </c>
      <c r="C366" s="6" t="inlineStr">
        <is>
          <t>June</t>
        </is>
      </c>
      <c r="D366" s="6" t="inlineStr">
        <is>
          <t>2018</t>
        </is>
      </c>
      <c r="E366" s="6" t="inlineStr">
        <is>
          <t>WS 2018</t>
        </is>
      </c>
      <c r="F366" s="6" t="inlineStr">
        <is>
          <t>Planting</t>
        </is>
      </c>
      <c r="G366" s="7" t="n">
        <v>18.3</v>
      </c>
      <c r="H366" s="8" t="n">
        <v>26.62</v>
      </c>
      <c r="I366" s="8" t="n">
        <v>22.61</v>
      </c>
      <c r="J366" s="8" t="n">
        <v>33.57</v>
      </c>
      <c r="K366" s="8" t="n">
        <v>86.8</v>
      </c>
      <c r="L366" s="8" t="n">
        <v>98.13</v>
      </c>
      <c r="M366" s="8" t="n">
        <v>16.51</v>
      </c>
      <c r="N366" s="6" t="inlineStr">
        <is>
          <t>Type I – Tropical Monsoon (PAGASA)</t>
        </is>
      </c>
      <c r="O366" s="6" t="inlineStr">
        <is>
          <t>Wet</t>
        </is>
      </c>
      <c r="P366" s="6" t="inlineStr">
        <is>
          <t>Silty Clay Loam</t>
        </is>
      </c>
      <c r="Q366" s="6" t="inlineStr">
        <is>
          <t>Flat / Lowland</t>
        </is>
      </c>
      <c r="R366" s="9" t="n">
        <v>30</v>
      </c>
      <c r="S366" s="6" t="inlineStr">
        <is>
          <t>—</t>
        </is>
      </c>
      <c r="T366" s="10" t="n">
        <v>283.08</v>
      </c>
      <c r="U366" s="10" t="n">
        <v>103.6</v>
      </c>
      <c r="V366" s="10" t="n">
        <v>147.4</v>
      </c>
      <c r="W366" s="10" t="n">
        <v>251</v>
      </c>
      <c r="X366" s="10" t="n"/>
      <c r="Y366" s="10" t="n"/>
      <c r="Z366" s="11" t="n"/>
      <c r="AA366" s="12" t="inlineStr">
        <is>
          <t>Transplanting (Pindot) — optimal for clay-loam paddy fields</t>
        </is>
      </c>
      <c r="AB366" s="12" t="inlineStr">
        <is>
          <t>Wet Tillage (Puddling): 2 plowings + thorough harrowing under flooded condition</t>
        </is>
      </c>
      <c r="AC366" s="12" t="inlineStr">
        <is>
          <t>Continuous flooding 2–5 cm depth during vegetative stage; drain 2 weeks before harvest</t>
        </is>
      </c>
    </row>
    <row r="367" ht="21.75" customHeight="1" s="101">
      <c r="A367" s="13" t="inlineStr">
        <is>
          <t>Palay</t>
        </is>
      </c>
      <c r="B367" s="13" t="inlineStr">
        <is>
          <t>Pasileng Norte</t>
        </is>
      </c>
      <c r="C367" s="13" t="inlineStr">
        <is>
          <t>June</t>
        </is>
      </c>
      <c r="D367" s="13" t="inlineStr">
        <is>
          <t>2019</t>
        </is>
      </c>
      <c r="E367" s="13" t="inlineStr">
        <is>
          <t>WS 2019</t>
        </is>
      </c>
      <c r="F367" s="13" t="inlineStr">
        <is>
          <t>Planting</t>
        </is>
      </c>
      <c r="G367" s="7" t="n">
        <v>11.27</v>
      </c>
      <c r="H367" s="8" t="n">
        <v>27.82</v>
      </c>
      <c r="I367" s="8" t="n">
        <v>23.17</v>
      </c>
      <c r="J367" s="8" t="n">
        <v>34.41</v>
      </c>
      <c r="K367" s="8" t="n">
        <v>81.95999999999999</v>
      </c>
      <c r="L367" s="8" t="n">
        <v>98.17</v>
      </c>
      <c r="M367" s="8" t="n">
        <v>20.34</v>
      </c>
      <c r="N367" s="13" t="inlineStr">
        <is>
          <t>Type I – Tropical Monsoon (PAGASA)</t>
        </is>
      </c>
      <c r="O367" s="13" t="inlineStr">
        <is>
          <t>Wet</t>
        </is>
      </c>
      <c r="P367" s="13" t="inlineStr">
        <is>
          <t>Sandy Loam</t>
        </is>
      </c>
      <c r="Q367" s="13" t="inlineStr">
        <is>
          <t>Flat / Lowland</t>
        </is>
      </c>
      <c r="R367" s="14" t="n">
        <v>30</v>
      </c>
      <c r="S367" s="13" t="inlineStr">
        <is>
          <t>Tagamusing River</t>
        </is>
      </c>
      <c r="T367" s="15" t="n">
        <v>140.28</v>
      </c>
      <c r="U367" s="15" t="n">
        <v>78.34999999999999</v>
      </c>
      <c r="V367" s="15" t="n">
        <v>2.65</v>
      </c>
      <c r="W367" s="15" t="n">
        <v>81</v>
      </c>
      <c r="X367" s="15" t="n"/>
      <c r="Y367" s="15" t="n"/>
      <c r="Z367" s="16" t="n"/>
      <c r="AA367" s="17" t="inlineStr">
        <is>
          <t>Transplanting (Pindot) or Direct Seeding (Pinaghandaan)</t>
        </is>
      </c>
      <c r="AB367" s="17" t="inlineStr">
        <is>
          <t>Conventional Tillage: 2 plowings + 2 harrowings; soil workable when moist</t>
        </is>
      </c>
      <c r="AC367" s="17" t="inlineStr">
        <is>
          <t>Intermittent irrigation (Alternate Wetting and Drying — AWD); moderate retention</t>
        </is>
      </c>
    </row>
    <row r="368" ht="21.75" customHeight="1" s="101">
      <c r="A368" s="6" t="inlineStr">
        <is>
          <t>Palay</t>
        </is>
      </c>
      <c r="B368" s="6" t="inlineStr">
        <is>
          <t>Tabuyoc</t>
        </is>
      </c>
      <c r="C368" s="6" t="inlineStr">
        <is>
          <t>June</t>
        </is>
      </c>
      <c r="D368" s="6" t="inlineStr">
        <is>
          <t>2019</t>
        </is>
      </c>
      <c r="E368" s="6" t="inlineStr">
        <is>
          <t>WS 2019</t>
        </is>
      </c>
      <c r="F368" s="6" t="inlineStr">
        <is>
          <t>Planting</t>
        </is>
      </c>
      <c r="G368" s="7" t="n">
        <v>11.27</v>
      </c>
      <c r="H368" s="8" t="n">
        <v>27.82</v>
      </c>
      <c r="I368" s="8" t="n">
        <v>23.17</v>
      </c>
      <c r="J368" s="8" t="n">
        <v>34.41</v>
      </c>
      <c r="K368" s="8" t="n">
        <v>81.95999999999999</v>
      </c>
      <c r="L368" s="8" t="n">
        <v>98.17</v>
      </c>
      <c r="M368" s="8" t="n">
        <v>20.34</v>
      </c>
      <c r="N368" s="6" t="inlineStr">
        <is>
          <t>Type I – Tropical Monsoon (PAGASA)</t>
        </is>
      </c>
      <c r="O368" s="6" t="inlineStr">
        <is>
          <t>Wet</t>
        </is>
      </c>
      <c r="P368" s="6" t="inlineStr">
        <is>
          <t>Silty Clay Loam</t>
        </is>
      </c>
      <c r="Q368" s="6" t="inlineStr">
        <is>
          <t>Flat / Lowland</t>
        </is>
      </c>
      <c r="R368" s="9" t="n">
        <v>30</v>
      </c>
      <c r="S368" s="6" t="inlineStr">
        <is>
          <t>—</t>
        </is>
      </c>
      <c r="T368" s="10" t="n">
        <v>277.2</v>
      </c>
      <c r="U368" s="10" t="n">
        <v>134</v>
      </c>
      <c r="V368" s="10" t="n">
        <v>5</v>
      </c>
      <c r="W368" s="10" t="n">
        <v>139</v>
      </c>
      <c r="X368" s="10" t="n"/>
      <c r="Y368" s="10" t="n"/>
      <c r="Z368" s="11" t="n"/>
      <c r="AA368" s="12" t="inlineStr">
        <is>
          <t>Transplanting (Pindot) — optimal for clay-loam paddy fields</t>
        </is>
      </c>
      <c r="AB368" s="12" t="inlineStr">
        <is>
          <t>Wet Tillage (Puddling): 2 plowings + thorough harrowing under flooded condition</t>
        </is>
      </c>
      <c r="AC368" s="12" t="inlineStr">
        <is>
          <t>Continuous flooding 2–5 cm depth during vegetative stage; drain 2 weeks before harvest</t>
        </is>
      </c>
    </row>
    <row r="369" ht="21.75" customHeight="1" s="101">
      <c r="A369" s="13" t="inlineStr">
        <is>
          <t>Palay</t>
        </is>
      </c>
      <c r="B369" s="13" t="inlineStr">
        <is>
          <t>Bued</t>
        </is>
      </c>
      <c r="C369" s="13" t="inlineStr">
        <is>
          <t>June</t>
        </is>
      </c>
      <c r="D369" s="13" t="inlineStr">
        <is>
          <t>2019</t>
        </is>
      </c>
      <c r="E369" s="13" t="inlineStr">
        <is>
          <t>WS 2019</t>
        </is>
      </c>
      <c r="F369" s="13" t="inlineStr">
        <is>
          <t>Planting</t>
        </is>
      </c>
      <c r="G369" s="7" t="n">
        <v>11.27</v>
      </c>
      <c r="H369" s="8" t="n">
        <v>27.82</v>
      </c>
      <c r="I369" s="8" t="n">
        <v>23.17</v>
      </c>
      <c r="J369" s="8" t="n">
        <v>34.41</v>
      </c>
      <c r="K369" s="8" t="n">
        <v>81.95999999999999</v>
      </c>
      <c r="L369" s="8" t="n">
        <v>98.17</v>
      </c>
      <c r="M369" s="8" t="n">
        <v>20.34</v>
      </c>
      <c r="N369" s="13" t="inlineStr">
        <is>
          <t>Type I – Tropical Monsoon (PAGASA)</t>
        </is>
      </c>
      <c r="O369" s="13" t="inlineStr">
        <is>
          <t>Wet</t>
        </is>
      </c>
      <c r="P369" s="13" t="inlineStr">
        <is>
          <t>Silty Clay Loam</t>
        </is>
      </c>
      <c r="Q369" s="13" t="inlineStr">
        <is>
          <t>Flat / Lowland</t>
        </is>
      </c>
      <c r="R369" s="14" t="n">
        <v>30</v>
      </c>
      <c r="S369" s="13" t="inlineStr">
        <is>
          <t>Tagamusing River</t>
        </is>
      </c>
      <c r="T369" s="15" t="n">
        <v>210.84</v>
      </c>
      <c r="U369" s="15" t="n">
        <v>56.5</v>
      </c>
      <c r="V369" s="15" t="n">
        <v>37.5</v>
      </c>
      <c r="W369" s="15" t="n">
        <v>94</v>
      </c>
      <c r="X369" s="15" t="n"/>
      <c r="Y369" s="15" t="n"/>
      <c r="Z369" s="16" t="n"/>
      <c r="AA369" s="17" t="inlineStr">
        <is>
          <t>Transplanting (Pindot) — optimal for clay-loam paddy fields</t>
        </is>
      </c>
      <c r="AB369" s="17" t="inlineStr">
        <is>
          <t>Wet Tillage (Puddling): 2 plowings + thorough harrowing under flooded condition</t>
        </is>
      </c>
      <c r="AC369" s="17" t="inlineStr">
        <is>
          <t>Continuous flooding 2–5 cm depth during vegetative stage; drain 2 weeks before harvest</t>
        </is>
      </c>
    </row>
    <row r="370" ht="21.75" customHeight="1" s="101">
      <c r="A370" s="6" t="inlineStr">
        <is>
          <t>Palay</t>
        </is>
      </c>
      <c r="B370" s="6" t="inlineStr">
        <is>
          <t>Dumayat</t>
        </is>
      </c>
      <c r="C370" s="6" t="inlineStr">
        <is>
          <t>June</t>
        </is>
      </c>
      <c r="D370" s="6" t="inlineStr">
        <is>
          <t>2019</t>
        </is>
      </c>
      <c r="E370" s="6" t="inlineStr">
        <is>
          <t>WS 2019</t>
        </is>
      </c>
      <c r="F370" s="6" t="inlineStr">
        <is>
          <t>Planting</t>
        </is>
      </c>
      <c r="G370" s="7" t="n">
        <v>11.27</v>
      </c>
      <c r="H370" s="8" t="n">
        <v>27.82</v>
      </c>
      <c r="I370" s="8" t="n">
        <v>23.17</v>
      </c>
      <c r="J370" s="8" t="n">
        <v>34.41</v>
      </c>
      <c r="K370" s="8" t="n">
        <v>81.95999999999999</v>
      </c>
      <c r="L370" s="8" t="n">
        <v>98.17</v>
      </c>
      <c r="M370" s="8" t="n">
        <v>20.34</v>
      </c>
      <c r="N370" s="6" t="inlineStr">
        <is>
          <t>Type I – Tropical Monsoon (PAGASA)</t>
        </is>
      </c>
      <c r="O370" s="6" t="inlineStr">
        <is>
          <t>Wet</t>
        </is>
      </c>
      <c r="P370" s="6" t="inlineStr">
        <is>
          <t>Silty Clay Loam</t>
        </is>
      </c>
      <c r="Q370" s="6" t="inlineStr">
        <is>
          <t>Flat / Lowland</t>
        </is>
      </c>
      <c r="R370" s="9" t="n">
        <v>30</v>
      </c>
      <c r="S370" s="6" t="inlineStr">
        <is>
          <t>—</t>
        </is>
      </c>
      <c r="T370" s="10" t="n">
        <v>266.28</v>
      </c>
      <c r="U370" s="10" t="n">
        <v>56</v>
      </c>
      <c r="V370" s="10" t="n">
        <v>30</v>
      </c>
      <c r="W370" s="10" t="n">
        <v>86</v>
      </c>
      <c r="X370" s="10" t="n"/>
      <c r="Y370" s="10" t="n"/>
      <c r="Z370" s="11" t="n"/>
      <c r="AA370" s="12" t="inlineStr">
        <is>
          <t>Transplanting (Pindot) — optimal for clay-loam paddy fields</t>
        </is>
      </c>
      <c r="AB370" s="12" t="inlineStr">
        <is>
          <t>Wet Tillage (Puddling): 2 plowings + thorough harrowing under flooded condition</t>
        </is>
      </c>
      <c r="AC370" s="12" t="inlineStr">
        <is>
          <t>Continuous flooding 2–5 cm depth during vegetative stage; drain 2 weeks before harvest</t>
        </is>
      </c>
    </row>
    <row r="371" ht="21.75" customHeight="1" s="101">
      <c r="A371" s="13" t="inlineStr">
        <is>
          <t>Palay</t>
        </is>
      </c>
      <c r="B371" s="13" t="inlineStr">
        <is>
          <t>Camanggaan</t>
        </is>
      </c>
      <c r="C371" s="13" t="inlineStr">
        <is>
          <t>June</t>
        </is>
      </c>
      <c r="D371" s="13" t="inlineStr">
        <is>
          <t>2019</t>
        </is>
      </c>
      <c r="E371" s="13" t="inlineStr">
        <is>
          <t>WS 2019</t>
        </is>
      </c>
      <c r="F371" s="13" t="inlineStr">
        <is>
          <t>Planting</t>
        </is>
      </c>
      <c r="G371" s="7" t="n">
        <v>11.27</v>
      </c>
      <c r="H371" s="8" t="n">
        <v>27.82</v>
      </c>
      <c r="I371" s="8" t="n">
        <v>23.17</v>
      </c>
      <c r="J371" s="8" t="n">
        <v>34.41</v>
      </c>
      <c r="K371" s="8" t="n">
        <v>81.95999999999999</v>
      </c>
      <c r="L371" s="8" t="n">
        <v>98.17</v>
      </c>
      <c r="M371" s="8" t="n">
        <v>20.34</v>
      </c>
      <c r="N371" s="13" t="inlineStr">
        <is>
          <t>Type I – Tropical Monsoon (PAGASA)</t>
        </is>
      </c>
      <c r="O371" s="13" t="inlineStr">
        <is>
          <t>Wet</t>
        </is>
      </c>
      <c r="P371" s="13" t="inlineStr">
        <is>
          <t>Sandy Loam</t>
        </is>
      </c>
      <c r="Q371" s="13" t="inlineStr">
        <is>
          <t>Flat / Lowland</t>
        </is>
      </c>
      <c r="R371" s="14" t="n">
        <v>30</v>
      </c>
      <c r="S371" s="13" t="inlineStr">
        <is>
          <t>—</t>
        </is>
      </c>
      <c r="T371" s="15" t="n">
        <v>244.44</v>
      </c>
      <c r="U371" s="15" t="n">
        <v>19</v>
      </c>
      <c r="V371" s="15" t="n">
        <v>68</v>
      </c>
      <c r="W371" s="15" t="n">
        <v>87</v>
      </c>
      <c r="X371" s="15" t="n"/>
      <c r="Y371" s="15" t="n"/>
      <c r="Z371" s="16" t="n"/>
      <c r="AA371" s="17" t="inlineStr">
        <is>
          <t>Transplanting (Pindot) or Direct Seeding (Pinaghandaan)</t>
        </is>
      </c>
      <c r="AB371" s="17" t="inlineStr">
        <is>
          <t>Conventional Tillage: 2 plowings + 2 harrowings; soil workable when moist</t>
        </is>
      </c>
      <c r="AC371" s="17" t="inlineStr">
        <is>
          <t>Intermittent irrigation (Alternate Wetting and Drying — AWD); moderate retention</t>
        </is>
      </c>
    </row>
    <row r="372" ht="21.75" customHeight="1" s="101">
      <c r="A372" s="6" t="inlineStr">
        <is>
          <t>Palay</t>
        </is>
      </c>
      <c r="B372" s="6" t="inlineStr">
        <is>
          <t>Vacante</t>
        </is>
      </c>
      <c r="C372" s="6" t="inlineStr">
        <is>
          <t>June</t>
        </is>
      </c>
      <c r="D372" s="6" t="inlineStr">
        <is>
          <t>2019</t>
        </is>
      </c>
      <c r="E372" s="6" t="inlineStr">
        <is>
          <t>WS 2019</t>
        </is>
      </c>
      <c r="F372" s="6" t="inlineStr">
        <is>
          <t>Planting</t>
        </is>
      </c>
      <c r="G372" s="7" t="n">
        <v>11.27</v>
      </c>
      <c r="H372" s="8" t="n">
        <v>27.82</v>
      </c>
      <c r="I372" s="8" t="n">
        <v>23.17</v>
      </c>
      <c r="J372" s="8" t="n">
        <v>34.41</v>
      </c>
      <c r="K372" s="8" t="n">
        <v>81.95999999999999</v>
      </c>
      <c r="L372" s="8" t="n">
        <v>98.17</v>
      </c>
      <c r="M372" s="8" t="n">
        <v>20.34</v>
      </c>
      <c r="N372" s="6" t="inlineStr">
        <is>
          <t>Type I – Tropical Monsoon (PAGASA)</t>
        </is>
      </c>
      <c r="O372" s="6" t="inlineStr">
        <is>
          <t>Wet</t>
        </is>
      </c>
      <c r="P372" s="6" t="inlineStr">
        <is>
          <t>Silty Clay Loam</t>
        </is>
      </c>
      <c r="Q372" s="6" t="inlineStr">
        <is>
          <t>Flat / Lowland</t>
        </is>
      </c>
      <c r="R372" s="9" t="n">
        <v>30</v>
      </c>
      <c r="S372" s="6" t="inlineStr">
        <is>
          <t>Aloragat River</t>
        </is>
      </c>
      <c r="T372" s="10" t="n">
        <v>484.68</v>
      </c>
      <c r="U372" s="10" t="n">
        <v>28</v>
      </c>
      <c r="V372" s="10" t="n">
        <v>81</v>
      </c>
      <c r="W372" s="10" t="n">
        <v>109</v>
      </c>
      <c r="X372" s="10" t="n"/>
      <c r="Y372" s="10" t="n"/>
      <c r="Z372" s="11" t="n"/>
      <c r="AA372" s="12" t="inlineStr">
        <is>
          <t>Transplanting (Pindot) — optimal for clay-loam paddy fields</t>
        </is>
      </c>
      <c r="AB372" s="12" t="inlineStr">
        <is>
          <t>Wet Tillage (Puddling): 2 plowings + thorough harrowing under flooded condition</t>
        </is>
      </c>
      <c r="AC372" s="12" t="inlineStr">
        <is>
          <t>Continuous flooding 2–5 cm depth during vegetative stage; drain 2 weeks before harvest</t>
        </is>
      </c>
    </row>
    <row r="373" ht="21.75" customHeight="1" s="101">
      <c r="A373" s="13" t="inlineStr">
        <is>
          <t>Palay</t>
        </is>
      </c>
      <c r="B373" s="13" t="inlineStr">
        <is>
          <t>Sta. Catalina</t>
        </is>
      </c>
      <c r="C373" s="13" t="inlineStr">
        <is>
          <t>June</t>
        </is>
      </c>
      <c r="D373" s="13" t="inlineStr">
        <is>
          <t>2019</t>
        </is>
      </c>
      <c r="E373" s="13" t="inlineStr">
        <is>
          <t>WS 2019</t>
        </is>
      </c>
      <c r="F373" s="13" t="inlineStr">
        <is>
          <t>Planting</t>
        </is>
      </c>
      <c r="G373" s="7" t="n">
        <v>11.27</v>
      </c>
      <c r="H373" s="8" t="n">
        <v>27.82</v>
      </c>
      <c r="I373" s="8" t="n">
        <v>23.17</v>
      </c>
      <c r="J373" s="8" t="n">
        <v>34.41</v>
      </c>
      <c r="K373" s="8" t="n">
        <v>81.95999999999999</v>
      </c>
      <c r="L373" s="8" t="n">
        <v>98.17</v>
      </c>
      <c r="M373" s="8" t="n">
        <v>20.34</v>
      </c>
      <c r="N373" s="13" t="inlineStr">
        <is>
          <t>Type I – Tropical Monsoon (PAGASA)</t>
        </is>
      </c>
      <c r="O373" s="13" t="inlineStr">
        <is>
          <t>Wet</t>
        </is>
      </c>
      <c r="P373" s="13" t="inlineStr">
        <is>
          <t>Fine Sand / Sandy Loam</t>
        </is>
      </c>
      <c r="Q373" s="13" t="inlineStr">
        <is>
          <t>Moderately Sloping / Highland</t>
        </is>
      </c>
      <c r="R373" s="14" t="n">
        <v>90</v>
      </c>
      <c r="S373" s="13" t="inlineStr">
        <is>
          <t>—</t>
        </is>
      </c>
      <c r="T373" s="15" t="n">
        <v>709.8</v>
      </c>
      <c r="U373" s="15" t="n">
        <v>49</v>
      </c>
      <c r="V373" s="15" t="n">
        <v>180</v>
      </c>
      <c r="W373" s="15" t="n">
        <v>229</v>
      </c>
      <c r="X373" s="15" t="n"/>
      <c r="Y373" s="15" t="n"/>
      <c r="Z373" s="16" t="n"/>
      <c r="AA373" s="17" t="inlineStr">
        <is>
          <t>Transplanting (Pindot)</t>
        </is>
      </c>
      <c r="AB373" s="17" t="inlineStr">
        <is>
          <t>Minimum Tillage (avoid compaction; sandy structure fragile)</t>
        </is>
      </c>
      <c r="AC373" s="17" t="inlineStr">
        <is>
          <t>Continuous flooding or frequent irrigation; high percolation risk; terrace or bund-assisted water retention essential on slopes</t>
        </is>
      </c>
    </row>
    <row r="374" ht="21.75" customHeight="1" s="101">
      <c r="A374" s="6" t="inlineStr">
        <is>
          <t>Palay</t>
        </is>
      </c>
      <c r="B374" s="6" t="inlineStr">
        <is>
          <t>Moreno</t>
        </is>
      </c>
      <c r="C374" s="6" t="inlineStr">
        <is>
          <t>June</t>
        </is>
      </c>
      <c r="D374" s="6" t="inlineStr">
        <is>
          <t>2019</t>
        </is>
      </c>
      <c r="E374" s="6" t="inlineStr">
        <is>
          <t>WS 2019</t>
        </is>
      </c>
      <c r="F374" s="6" t="inlineStr">
        <is>
          <t>Planting</t>
        </is>
      </c>
      <c r="G374" s="7" t="n">
        <v>11.27</v>
      </c>
      <c r="H374" s="8" t="n">
        <v>27.82</v>
      </c>
      <c r="I374" s="8" t="n">
        <v>23.17</v>
      </c>
      <c r="J374" s="8" t="n">
        <v>34.41</v>
      </c>
      <c r="K374" s="8" t="n">
        <v>81.95999999999999</v>
      </c>
      <c r="L374" s="8" t="n">
        <v>98.17</v>
      </c>
      <c r="M374" s="8" t="n">
        <v>20.34</v>
      </c>
      <c r="N374" s="6" t="inlineStr">
        <is>
          <t>Type I – Tropical Monsoon (PAGASA)</t>
        </is>
      </c>
      <c r="O374" s="6" t="inlineStr">
        <is>
          <t>Wet</t>
        </is>
      </c>
      <c r="P374" s="6" t="inlineStr">
        <is>
          <t>Sandy Loam</t>
        </is>
      </c>
      <c r="Q374" s="6" t="inlineStr">
        <is>
          <t>Moderately Sloping / Highland</t>
        </is>
      </c>
      <c r="R374" s="9" t="n">
        <v>90</v>
      </c>
      <c r="S374" s="6" t="inlineStr">
        <is>
          <t>Alibeng River</t>
        </is>
      </c>
      <c r="T374" s="10" t="n">
        <v>641.76</v>
      </c>
      <c r="U374" s="10" t="n">
        <v>47.4</v>
      </c>
      <c r="V374" s="10" t="n">
        <v>116.6</v>
      </c>
      <c r="W374" s="10" t="n">
        <v>164</v>
      </c>
      <c r="X374" s="10" t="n"/>
      <c r="Y374" s="10" t="n"/>
      <c r="Z374" s="11" t="n"/>
      <c r="AA374" s="12" t="inlineStr">
        <is>
          <t>Transplanting (Pindot) or Direct Seeding (Pinaghandaan)</t>
        </is>
      </c>
      <c r="AB374" s="12" t="inlineStr">
        <is>
          <t>Conventional Tillage: 2 plowings + 2 harrowings; soil workable when moist</t>
        </is>
      </c>
      <c r="AC374" s="12" t="inlineStr">
        <is>
          <t>Intermittent irrigation (Alternate Wetting and Drying — AWD); moderate retention; terrace or bund-assisted water retention essential on slopes</t>
        </is>
      </c>
    </row>
    <row r="375" ht="21.75" customHeight="1" s="101">
      <c r="A375" s="13" t="inlineStr">
        <is>
          <t>Palay</t>
        </is>
      </c>
      <c r="B375" s="13" t="inlineStr">
        <is>
          <t>Cili</t>
        </is>
      </c>
      <c r="C375" s="13" t="inlineStr">
        <is>
          <t>June</t>
        </is>
      </c>
      <c r="D375" s="13" t="inlineStr">
        <is>
          <t>2019</t>
        </is>
      </c>
      <c r="E375" s="13" t="inlineStr">
        <is>
          <t>WS 2019</t>
        </is>
      </c>
      <c r="F375" s="13" t="inlineStr">
        <is>
          <t>Planting</t>
        </is>
      </c>
      <c r="G375" s="7" t="n">
        <v>11.27</v>
      </c>
      <c r="H375" s="8" t="n">
        <v>27.82</v>
      </c>
      <c r="I375" s="8" t="n">
        <v>23.17</v>
      </c>
      <c r="J375" s="8" t="n">
        <v>34.41</v>
      </c>
      <c r="K375" s="8" t="n">
        <v>81.95999999999999</v>
      </c>
      <c r="L375" s="8" t="n">
        <v>98.17</v>
      </c>
      <c r="M375" s="8" t="n">
        <v>20.34</v>
      </c>
      <c r="N375" s="13" t="inlineStr">
        <is>
          <t>Type I – Tropical Monsoon (PAGASA)</t>
        </is>
      </c>
      <c r="O375" s="13" t="inlineStr">
        <is>
          <t>Wet</t>
        </is>
      </c>
      <c r="P375" s="13" t="inlineStr">
        <is>
          <t>Silty Clay Loam</t>
        </is>
      </c>
      <c r="Q375" s="13" t="inlineStr">
        <is>
          <t>Flat / Lowland</t>
        </is>
      </c>
      <c r="R375" s="14" t="n">
        <v>30</v>
      </c>
      <c r="S375" s="13" t="inlineStr">
        <is>
          <t>Alibeng River</t>
        </is>
      </c>
      <c r="T375" s="15" t="n">
        <v>264.6</v>
      </c>
      <c r="U375" s="15" t="n">
        <v>40</v>
      </c>
      <c r="V375" s="15" t="n">
        <v>128</v>
      </c>
      <c r="W375" s="15" t="n">
        <v>168</v>
      </c>
      <c r="X375" s="15" t="n"/>
      <c r="Y375" s="15" t="n"/>
      <c r="Z375" s="16" t="n"/>
      <c r="AA375" s="17" t="inlineStr">
        <is>
          <t>Transplanting (Pindot) — optimal for clay-loam paddy fields</t>
        </is>
      </c>
      <c r="AB375" s="17" t="inlineStr">
        <is>
          <t>Wet Tillage (Puddling): 2 plowings + thorough harrowing under flooded condition</t>
        </is>
      </c>
      <c r="AC375" s="17" t="inlineStr">
        <is>
          <t>Continuous flooding 2–5 cm depth during vegetative stage; drain 2 weeks before harvest</t>
        </is>
      </c>
    </row>
    <row r="376" ht="21.75" customHeight="1" s="101">
      <c r="A376" s="6" t="inlineStr">
        <is>
          <t>Palay</t>
        </is>
      </c>
      <c r="B376" s="6" t="inlineStr">
        <is>
          <t>Linmansangan</t>
        </is>
      </c>
      <c r="C376" s="6" t="inlineStr">
        <is>
          <t>June</t>
        </is>
      </c>
      <c r="D376" s="6" t="inlineStr">
        <is>
          <t>2019</t>
        </is>
      </c>
      <c r="E376" s="6" t="inlineStr">
        <is>
          <t>WS 2019</t>
        </is>
      </c>
      <c r="F376" s="6" t="inlineStr">
        <is>
          <t>Planting</t>
        </is>
      </c>
      <c r="G376" s="7" t="n">
        <v>11.27</v>
      </c>
      <c r="H376" s="8" t="n">
        <v>27.82</v>
      </c>
      <c r="I376" s="8" t="n">
        <v>23.17</v>
      </c>
      <c r="J376" s="8" t="n">
        <v>34.41</v>
      </c>
      <c r="K376" s="8" t="n">
        <v>81.95999999999999</v>
      </c>
      <c r="L376" s="8" t="n">
        <v>98.17</v>
      </c>
      <c r="M376" s="8" t="n">
        <v>20.34</v>
      </c>
      <c r="N376" s="6" t="inlineStr">
        <is>
          <t>Type I – Tropical Monsoon (PAGASA)</t>
        </is>
      </c>
      <c r="O376" s="6" t="inlineStr">
        <is>
          <t>Wet</t>
        </is>
      </c>
      <c r="P376" s="6" t="inlineStr">
        <is>
          <t>Silty Clay Loam</t>
        </is>
      </c>
      <c r="Q376" s="6" t="inlineStr">
        <is>
          <t>Flat / Lowland</t>
        </is>
      </c>
      <c r="R376" s="9" t="n">
        <v>30</v>
      </c>
      <c r="S376" s="6" t="inlineStr">
        <is>
          <t>—</t>
        </is>
      </c>
      <c r="T376" s="10" t="n">
        <v>492.24</v>
      </c>
      <c r="U376" s="10" t="n">
        <v>65.5</v>
      </c>
      <c r="V376" s="10" t="n">
        <v>146</v>
      </c>
      <c r="W376" s="10" t="n">
        <v>211.5</v>
      </c>
      <c r="X376" s="10" t="n"/>
      <c r="Y376" s="10" t="n"/>
      <c r="Z376" s="11" t="n"/>
      <c r="AA376" s="12" t="inlineStr">
        <is>
          <t>Transplanting (Pindot) — optimal for clay-loam paddy fields</t>
        </is>
      </c>
      <c r="AB376" s="12" t="inlineStr">
        <is>
          <t>Wet Tillage (Puddling): 2 plowings + thorough harrowing under flooded condition</t>
        </is>
      </c>
      <c r="AC376" s="12" t="inlineStr">
        <is>
          <t>Continuous flooding 2–5 cm depth during vegetative stage; drain 2 weeks before harvest</t>
        </is>
      </c>
    </row>
    <row r="377" ht="21.75" customHeight="1" s="101">
      <c r="A377" s="13" t="inlineStr">
        <is>
          <t>Palay</t>
        </is>
      </c>
      <c r="B377" s="13" t="inlineStr">
        <is>
          <t>Sumabnit</t>
        </is>
      </c>
      <c r="C377" s="13" t="inlineStr">
        <is>
          <t>June</t>
        </is>
      </c>
      <c r="D377" s="13" t="inlineStr">
        <is>
          <t>2019</t>
        </is>
      </c>
      <c r="E377" s="13" t="inlineStr">
        <is>
          <t>WS 2019</t>
        </is>
      </c>
      <c r="F377" s="13" t="inlineStr">
        <is>
          <t>Planting</t>
        </is>
      </c>
      <c r="G377" s="7" t="n">
        <v>11.27</v>
      </c>
      <c r="H377" s="8" t="n">
        <v>27.82</v>
      </c>
      <c r="I377" s="8" t="n">
        <v>23.17</v>
      </c>
      <c r="J377" s="8" t="n">
        <v>34.41</v>
      </c>
      <c r="K377" s="8" t="n">
        <v>81.95999999999999</v>
      </c>
      <c r="L377" s="8" t="n">
        <v>98.17</v>
      </c>
      <c r="M377" s="8" t="n">
        <v>20.34</v>
      </c>
      <c r="N377" s="13" t="inlineStr">
        <is>
          <t>Type I – Tropical Monsoon (PAGASA)</t>
        </is>
      </c>
      <c r="O377" s="13" t="inlineStr">
        <is>
          <t>Wet</t>
        </is>
      </c>
      <c r="P377" s="13" t="inlineStr">
        <is>
          <t>Silty Clay Loam / Fine Sandy Loam</t>
        </is>
      </c>
      <c r="Q377" s="13" t="inlineStr">
        <is>
          <t>Flat / Lowland</t>
        </is>
      </c>
      <c r="R377" s="14" t="n">
        <v>30</v>
      </c>
      <c r="S377" s="13" t="inlineStr">
        <is>
          <t>Tagamusing River</t>
        </is>
      </c>
      <c r="T377" s="15" t="n">
        <v>406.56</v>
      </c>
      <c r="U377" s="15" t="n">
        <v>133.3</v>
      </c>
      <c r="V377" s="15" t="n">
        <v>123.7</v>
      </c>
      <c r="W377" s="15" t="n">
        <v>257</v>
      </c>
      <c r="X377" s="15" t="n"/>
      <c r="Y377" s="15" t="n"/>
      <c r="Z377" s="16" t="n"/>
      <c r="AA377" s="17" t="inlineStr">
        <is>
          <t>Transplanting (Pindot)</t>
        </is>
      </c>
      <c r="AB377" s="17" t="inlineStr">
        <is>
          <t>Minimum Tillage (avoid compaction; sandy structure fragile)</t>
        </is>
      </c>
      <c r="AC377" s="17" t="inlineStr">
        <is>
          <t>Continuous flooding or frequent irrigation; high percolation risk</t>
        </is>
      </c>
    </row>
    <row r="378" ht="21.75" customHeight="1" s="101">
      <c r="A378" s="6" t="inlineStr">
        <is>
          <t>Palay</t>
        </is>
      </c>
      <c r="B378" s="6" t="inlineStr">
        <is>
          <t>Capas</t>
        </is>
      </c>
      <c r="C378" s="6" t="inlineStr">
        <is>
          <t>June</t>
        </is>
      </c>
      <c r="D378" s="6" t="inlineStr">
        <is>
          <t>2019</t>
        </is>
      </c>
      <c r="E378" s="6" t="inlineStr">
        <is>
          <t>WS 2019</t>
        </is>
      </c>
      <c r="F378" s="6" t="inlineStr">
        <is>
          <t>Planting</t>
        </is>
      </c>
      <c r="G378" s="7" t="n">
        <v>11.27</v>
      </c>
      <c r="H378" s="8" t="n">
        <v>27.82</v>
      </c>
      <c r="I378" s="8" t="n">
        <v>23.17</v>
      </c>
      <c r="J378" s="8" t="n">
        <v>34.41</v>
      </c>
      <c r="K378" s="8" t="n">
        <v>81.95999999999999</v>
      </c>
      <c r="L378" s="8" t="n">
        <v>98.17</v>
      </c>
      <c r="M378" s="8" t="n">
        <v>20.34</v>
      </c>
      <c r="N378" s="6" t="inlineStr">
        <is>
          <t>Type I – Tropical Monsoon (PAGASA)</t>
        </is>
      </c>
      <c r="O378" s="6" t="inlineStr">
        <is>
          <t>Wet</t>
        </is>
      </c>
      <c r="P378" s="6" t="inlineStr">
        <is>
          <t>Sandy Loam</t>
        </is>
      </c>
      <c r="Q378" s="6" t="inlineStr">
        <is>
          <t>Flat / Lowland</t>
        </is>
      </c>
      <c r="R378" s="9" t="n">
        <v>30</v>
      </c>
      <c r="S378" s="6" t="inlineStr">
        <is>
          <t>—</t>
        </is>
      </c>
      <c r="T378" s="10" t="n">
        <v>377.16</v>
      </c>
      <c r="U378" s="10" t="n">
        <v>139</v>
      </c>
      <c r="V378" s="10" t="n">
        <v>164</v>
      </c>
      <c r="W378" s="10" t="n">
        <v>303</v>
      </c>
      <c r="X378" s="10" t="n"/>
      <c r="Y378" s="10" t="n"/>
      <c r="Z378" s="11" t="n"/>
      <c r="AA378" s="12" t="inlineStr">
        <is>
          <t>Transplanting (Pindot) or Direct Seeding (Pinaghandaan)</t>
        </is>
      </c>
      <c r="AB378" s="12" t="inlineStr">
        <is>
          <t>Conventional Tillage: 2 plowings + 2 harrowings; soil workable when moist</t>
        </is>
      </c>
      <c r="AC378" s="12" t="inlineStr">
        <is>
          <t>Intermittent irrigation (Alternate Wetting and Drying — AWD); moderate retention</t>
        </is>
      </c>
    </row>
    <row r="379" ht="21.75" customHeight="1" s="101">
      <c r="A379" s="13" t="inlineStr">
        <is>
          <t>Palay</t>
        </is>
      </c>
      <c r="B379" s="13" t="inlineStr">
        <is>
          <t>Mangkasuy</t>
        </is>
      </c>
      <c r="C379" s="13" t="inlineStr">
        <is>
          <t>June</t>
        </is>
      </c>
      <c r="D379" s="13" t="inlineStr">
        <is>
          <t>2019</t>
        </is>
      </c>
      <c r="E379" s="13" t="inlineStr">
        <is>
          <t>WS 2019</t>
        </is>
      </c>
      <c r="F379" s="13" t="inlineStr">
        <is>
          <t>Planting</t>
        </is>
      </c>
      <c r="G379" s="7" t="n">
        <v>11.27</v>
      </c>
      <c r="H379" s="8" t="n">
        <v>27.82</v>
      </c>
      <c r="I379" s="8" t="n">
        <v>23.17</v>
      </c>
      <c r="J379" s="8" t="n">
        <v>34.41</v>
      </c>
      <c r="K379" s="8" t="n">
        <v>81.95999999999999</v>
      </c>
      <c r="L379" s="8" t="n">
        <v>98.17</v>
      </c>
      <c r="M379" s="8" t="n">
        <v>20.34</v>
      </c>
      <c r="N379" s="13" t="inlineStr">
        <is>
          <t>Type I – Tropical Monsoon (PAGASA)</t>
        </is>
      </c>
      <c r="O379" s="13" t="inlineStr">
        <is>
          <t>Wet</t>
        </is>
      </c>
      <c r="P379" s="13" t="inlineStr">
        <is>
          <t>Sandy Loam</t>
        </is>
      </c>
      <c r="Q379" s="13" t="inlineStr">
        <is>
          <t>Flat / Lowland</t>
        </is>
      </c>
      <c r="R379" s="14" t="n">
        <v>30</v>
      </c>
      <c r="S379" s="13" t="inlineStr">
        <is>
          <t>Tagamusing River</t>
        </is>
      </c>
      <c r="T379" s="15" t="n">
        <v>802.2</v>
      </c>
      <c r="U379" s="15" t="n">
        <v>90</v>
      </c>
      <c r="V379" s="15" t="n">
        <v>262</v>
      </c>
      <c r="W379" s="15" t="n">
        <v>352</v>
      </c>
      <c r="X379" s="15" t="n"/>
      <c r="Y379" s="15" t="n"/>
      <c r="Z379" s="16" t="n"/>
      <c r="AA379" s="17" t="inlineStr">
        <is>
          <t>Transplanting (Pindot) or Direct Seeding (Pinaghandaan)</t>
        </is>
      </c>
      <c r="AB379" s="17" t="inlineStr">
        <is>
          <t>Conventional Tillage: 2 plowings + 2 harrowings; soil workable when moist</t>
        </is>
      </c>
      <c r="AC379" s="17" t="inlineStr">
        <is>
          <t>Intermittent irrigation (Alternate Wetting and Drying — AWD); moderate retention</t>
        </is>
      </c>
    </row>
    <row r="380" ht="21.75" customHeight="1" s="101">
      <c r="A380" s="6" t="inlineStr">
        <is>
          <t>Palay</t>
        </is>
      </c>
      <c r="B380" s="6" t="inlineStr">
        <is>
          <t>San Pablo</t>
        </is>
      </c>
      <c r="C380" s="6" t="inlineStr">
        <is>
          <t>June</t>
        </is>
      </c>
      <c r="D380" s="6" t="inlineStr">
        <is>
          <t>2019</t>
        </is>
      </c>
      <c r="E380" s="6" t="inlineStr">
        <is>
          <t>WS 2019</t>
        </is>
      </c>
      <c r="F380" s="6" t="inlineStr">
        <is>
          <t>Planting</t>
        </is>
      </c>
      <c r="G380" s="7" t="n">
        <v>11.27</v>
      </c>
      <c r="H380" s="8" t="n">
        <v>27.82</v>
      </c>
      <c r="I380" s="8" t="n">
        <v>23.17</v>
      </c>
      <c r="J380" s="8" t="n">
        <v>34.41</v>
      </c>
      <c r="K380" s="8" t="n">
        <v>81.95999999999999</v>
      </c>
      <c r="L380" s="8" t="n">
        <v>98.17</v>
      </c>
      <c r="M380" s="8" t="n">
        <v>20.34</v>
      </c>
      <c r="N380" s="6" t="inlineStr">
        <is>
          <t>Type I – Tropical Monsoon (PAGASA)</t>
        </is>
      </c>
      <c r="O380" s="6" t="inlineStr">
        <is>
          <t>Wet</t>
        </is>
      </c>
      <c r="P380" s="6" t="inlineStr">
        <is>
          <t>Sandy Loam</t>
        </is>
      </c>
      <c r="Q380" s="6" t="inlineStr">
        <is>
          <t>Flat / Lowland</t>
        </is>
      </c>
      <c r="R380" s="9" t="n">
        <v>30</v>
      </c>
      <c r="S380" s="6" t="inlineStr">
        <is>
          <t>San Pablo Creek</t>
        </is>
      </c>
      <c r="T380" s="10" t="n">
        <v>215.04</v>
      </c>
      <c r="U380" s="10" t="n">
        <v>103.5</v>
      </c>
      <c r="V380" s="10" t="n">
        <v>30.5</v>
      </c>
      <c r="W380" s="10" t="n">
        <v>134</v>
      </c>
      <c r="X380" s="10" t="n"/>
      <c r="Y380" s="10" t="n"/>
      <c r="Z380" s="11" t="n"/>
      <c r="AA380" s="12" t="inlineStr">
        <is>
          <t>Transplanting (Pindot) or Direct Seeding (Pinaghandaan)</t>
        </is>
      </c>
      <c r="AB380" s="12" t="inlineStr">
        <is>
          <t>Conventional Tillage: 2 plowings + 2 harrowings; soil workable when moist</t>
        </is>
      </c>
      <c r="AC380" s="12" t="inlineStr">
        <is>
          <t>Intermittent irrigation (Alternate Wetting and Drying — AWD); moderate retention</t>
        </is>
      </c>
    </row>
    <row r="381" ht="21.75" customHeight="1" s="101">
      <c r="A381" s="13" t="inlineStr">
        <is>
          <t>Palay</t>
        </is>
      </c>
      <c r="B381" s="13" t="inlineStr">
        <is>
          <t>Balangobong</t>
        </is>
      </c>
      <c r="C381" s="13" t="inlineStr">
        <is>
          <t>June</t>
        </is>
      </c>
      <c r="D381" s="13" t="inlineStr">
        <is>
          <t>2019</t>
        </is>
      </c>
      <c r="E381" s="13" t="inlineStr">
        <is>
          <t>WS 2019</t>
        </is>
      </c>
      <c r="F381" s="13" t="inlineStr">
        <is>
          <t>Planting</t>
        </is>
      </c>
      <c r="G381" s="7" t="n">
        <v>11.27</v>
      </c>
      <c r="H381" s="8" t="n">
        <v>27.82</v>
      </c>
      <c r="I381" s="8" t="n">
        <v>23.17</v>
      </c>
      <c r="J381" s="8" t="n">
        <v>34.41</v>
      </c>
      <c r="K381" s="8" t="n">
        <v>81.95999999999999</v>
      </c>
      <c r="L381" s="8" t="n">
        <v>98.17</v>
      </c>
      <c r="M381" s="8" t="n">
        <v>20.34</v>
      </c>
      <c r="N381" s="13" t="inlineStr">
        <is>
          <t>Type I – Tropical Monsoon (PAGASA)</t>
        </is>
      </c>
      <c r="O381" s="13" t="inlineStr">
        <is>
          <t>Wet</t>
        </is>
      </c>
      <c r="P381" s="13" t="inlineStr">
        <is>
          <t>Silty Clay Loam</t>
        </is>
      </c>
      <c r="Q381" s="13" t="inlineStr">
        <is>
          <t>Flat / Lowland</t>
        </is>
      </c>
      <c r="R381" s="14" t="n">
        <v>30</v>
      </c>
      <c r="S381" s="13" t="inlineStr">
        <is>
          <t>—</t>
        </is>
      </c>
      <c r="T381" s="15" t="n">
        <v>281.4</v>
      </c>
      <c r="U381" s="15" t="n">
        <v>120</v>
      </c>
      <c r="V381" s="15" t="n">
        <v>15</v>
      </c>
      <c r="W381" s="15" t="n">
        <v>135</v>
      </c>
      <c r="X381" s="15" t="n"/>
      <c r="Y381" s="15" t="n"/>
      <c r="Z381" s="16" t="n"/>
      <c r="AA381" s="17" t="inlineStr">
        <is>
          <t>Transplanting (Pindot) — optimal for clay-loam paddy fields</t>
        </is>
      </c>
      <c r="AB381" s="17" t="inlineStr">
        <is>
          <t>Wet Tillage (Puddling): 2 plowings + thorough harrowing under flooded condition</t>
        </is>
      </c>
      <c r="AC381" s="17" t="inlineStr">
        <is>
          <t>Continuous flooding 2–5 cm depth during vegetative stage; drain 2 weeks before harvest</t>
        </is>
      </c>
    </row>
    <row r="382" ht="21.75" customHeight="1" s="101">
      <c r="A382" s="6" t="inlineStr">
        <is>
          <t>Palay</t>
        </is>
      </c>
      <c r="B382" s="6" t="inlineStr">
        <is>
          <t>San Felipe Central</t>
        </is>
      </c>
      <c r="C382" s="6" t="inlineStr">
        <is>
          <t>June</t>
        </is>
      </c>
      <c r="D382" s="6" t="inlineStr">
        <is>
          <t>2019</t>
        </is>
      </c>
      <c r="E382" s="6" t="inlineStr">
        <is>
          <t>WS 2019</t>
        </is>
      </c>
      <c r="F382" s="6" t="inlineStr">
        <is>
          <t>Planting</t>
        </is>
      </c>
      <c r="G382" s="7" t="n">
        <v>11.27</v>
      </c>
      <c r="H382" s="8" t="n">
        <v>27.82</v>
      </c>
      <c r="I382" s="8" t="n">
        <v>23.17</v>
      </c>
      <c r="J382" s="8" t="n">
        <v>34.41</v>
      </c>
      <c r="K382" s="8" t="n">
        <v>81.95999999999999</v>
      </c>
      <c r="L382" s="8" t="n">
        <v>98.17</v>
      </c>
      <c r="M382" s="8" t="n">
        <v>20.34</v>
      </c>
      <c r="N382" s="6" t="inlineStr">
        <is>
          <t>Type I – Tropical Monsoon (PAGASA)</t>
        </is>
      </c>
      <c r="O382" s="6" t="inlineStr">
        <is>
          <t>Wet</t>
        </is>
      </c>
      <c r="P382" s="6" t="inlineStr">
        <is>
          <t>Sandy Loam</t>
        </is>
      </c>
      <c r="Q382" s="6" t="inlineStr">
        <is>
          <t>Flat / Lowland</t>
        </is>
      </c>
      <c r="R382" s="9" t="n">
        <v>30</v>
      </c>
      <c r="S382" s="6" t="inlineStr">
        <is>
          <t>—</t>
        </is>
      </c>
      <c r="T382" s="10" t="n">
        <v>452.76</v>
      </c>
      <c r="U382" s="10" t="n">
        <v>117</v>
      </c>
      <c r="V382" s="10" t="n">
        <v>62</v>
      </c>
      <c r="W382" s="10" t="n">
        <v>179</v>
      </c>
      <c r="X382" s="10" t="n"/>
      <c r="Y382" s="10" t="n"/>
      <c r="Z382" s="11" t="n"/>
      <c r="AA382" s="12" t="inlineStr">
        <is>
          <t>Transplanting (Pindot) or Direct Seeding (Pinaghandaan)</t>
        </is>
      </c>
      <c r="AB382" s="12" t="inlineStr">
        <is>
          <t>Conventional Tillage: 2 plowings + 2 harrowings; soil workable when moist</t>
        </is>
      </c>
      <c r="AC382" s="12" t="inlineStr">
        <is>
          <t>Intermittent irrigation (Alternate Wetting and Drying — AWD); moderate retention</t>
        </is>
      </c>
    </row>
    <row r="383" ht="21.75" customHeight="1" s="101">
      <c r="A383" s="13" t="inlineStr">
        <is>
          <t>Palay</t>
        </is>
      </c>
      <c r="B383" s="13" t="inlineStr">
        <is>
          <t>San Felipe Sur</t>
        </is>
      </c>
      <c r="C383" s="13" t="inlineStr">
        <is>
          <t>June</t>
        </is>
      </c>
      <c r="D383" s="13" t="inlineStr">
        <is>
          <t>2019</t>
        </is>
      </c>
      <c r="E383" s="13" t="inlineStr">
        <is>
          <t>WS 2019</t>
        </is>
      </c>
      <c r="F383" s="13" t="inlineStr">
        <is>
          <t>Planting</t>
        </is>
      </c>
      <c r="G383" s="7" t="n">
        <v>11.27</v>
      </c>
      <c r="H383" s="8" t="n">
        <v>27.82</v>
      </c>
      <c r="I383" s="8" t="n">
        <v>23.17</v>
      </c>
      <c r="J383" s="8" t="n">
        <v>34.41</v>
      </c>
      <c r="K383" s="8" t="n">
        <v>81.95999999999999</v>
      </c>
      <c r="L383" s="8" t="n">
        <v>98.17</v>
      </c>
      <c r="M383" s="8" t="n">
        <v>20.34</v>
      </c>
      <c r="N383" s="13" t="inlineStr">
        <is>
          <t>Type I – Tropical Monsoon (PAGASA)</t>
        </is>
      </c>
      <c r="O383" s="13" t="inlineStr">
        <is>
          <t>Wet</t>
        </is>
      </c>
      <c r="P383" s="13" t="inlineStr">
        <is>
          <t>Sandy Loam</t>
        </is>
      </c>
      <c r="Q383" s="13" t="inlineStr">
        <is>
          <t>Flat / Lowland</t>
        </is>
      </c>
      <c r="R383" s="14" t="n">
        <v>30</v>
      </c>
      <c r="S383" s="13" t="inlineStr">
        <is>
          <t>Tagamusing River</t>
        </is>
      </c>
      <c r="T383" s="15" t="n">
        <v>504</v>
      </c>
      <c r="U383" s="15" t="n">
        <v>127.5</v>
      </c>
      <c r="V383" s="15" t="n">
        <v>50.5</v>
      </c>
      <c r="W383" s="15" t="n">
        <v>178</v>
      </c>
      <c r="X383" s="15" t="n"/>
      <c r="Y383" s="15" t="n"/>
      <c r="Z383" s="16" t="n"/>
      <c r="AA383" s="17" t="inlineStr">
        <is>
          <t>Transplanting (Pindot) or Direct Seeding (Pinaghandaan)</t>
        </is>
      </c>
      <c r="AB383" s="17" t="inlineStr">
        <is>
          <t>Conventional Tillage: 2 plowings + 2 harrowings; soil workable when moist</t>
        </is>
      </c>
      <c r="AC383" s="17" t="inlineStr">
        <is>
          <t>Intermittent irrigation (Alternate Wetting and Drying — AWD); moderate retention</t>
        </is>
      </c>
    </row>
    <row r="384" ht="21.75" customHeight="1" s="101">
      <c r="A384" s="6" t="inlineStr">
        <is>
          <t>Palay</t>
        </is>
      </c>
      <c r="B384" s="6" t="inlineStr">
        <is>
          <t>Pasileng Sur</t>
        </is>
      </c>
      <c r="C384" s="6" t="inlineStr">
        <is>
          <t>June</t>
        </is>
      </c>
      <c r="D384" s="6" t="inlineStr">
        <is>
          <t>2019</t>
        </is>
      </c>
      <c r="E384" s="6" t="inlineStr">
        <is>
          <t>WS 2019</t>
        </is>
      </c>
      <c r="F384" s="6" t="inlineStr">
        <is>
          <t>Planting</t>
        </is>
      </c>
      <c r="G384" s="7" t="n">
        <v>11.27</v>
      </c>
      <c r="H384" s="8" t="n">
        <v>27.82</v>
      </c>
      <c r="I384" s="8" t="n">
        <v>23.17</v>
      </c>
      <c r="J384" s="8" t="n">
        <v>34.41</v>
      </c>
      <c r="K384" s="8" t="n">
        <v>81.95999999999999</v>
      </c>
      <c r="L384" s="8" t="n">
        <v>98.17</v>
      </c>
      <c r="M384" s="8" t="n">
        <v>20.34</v>
      </c>
      <c r="N384" s="6" t="inlineStr">
        <is>
          <t>Type I – Tropical Monsoon (PAGASA)</t>
        </is>
      </c>
      <c r="O384" s="6" t="inlineStr">
        <is>
          <t>Wet</t>
        </is>
      </c>
      <c r="P384" s="6" t="inlineStr">
        <is>
          <t>Sandy Loam</t>
        </is>
      </c>
      <c r="Q384" s="6" t="inlineStr">
        <is>
          <t>Flat / Lowland</t>
        </is>
      </c>
      <c r="R384" s="9" t="n">
        <v>30</v>
      </c>
      <c r="S384" s="6" t="inlineStr">
        <is>
          <t>Tagamusing River</t>
        </is>
      </c>
      <c r="T384" s="10" t="n">
        <v>414.96</v>
      </c>
      <c r="U384" s="10" t="n">
        <v>150.9</v>
      </c>
      <c r="V384" s="10" t="n">
        <v>29.1</v>
      </c>
      <c r="W384" s="10" t="n">
        <v>180</v>
      </c>
      <c r="X384" s="10" t="n"/>
      <c r="Y384" s="10" t="n"/>
      <c r="Z384" s="11" t="n"/>
      <c r="AA384" s="12" t="inlineStr">
        <is>
          <t>Transplanting (Pindot) or Direct Seeding (Pinaghandaan)</t>
        </is>
      </c>
      <c r="AB384" s="12" t="inlineStr">
        <is>
          <t>Conventional Tillage: 2 plowings + 2 harrowings; soil workable when moist</t>
        </is>
      </c>
      <c r="AC384" s="12" t="inlineStr">
        <is>
          <t>Intermittent irrigation (Alternate Wetting and Drying — AWD); moderate retention</t>
        </is>
      </c>
    </row>
    <row r="385" ht="21.75" customHeight="1" s="101">
      <c r="A385" s="13" t="inlineStr">
        <is>
          <t>Palay</t>
        </is>
      </c>
      <c r="B385" s="13" t="inlineStr">
        <is>
          <t>Sta. Maria Norte</t>
        </is>
      </c>
      <c r="C385" s="13" t="inlineStr">
        <is>
          <t>June</t>
        </is>
      </c>
      <c r="D385" s="13" t="inlineStr">
        <is>
          <t>2019</t>
        </is>
      </c>
      <c r="E385" s="13" t="inlineStr">
        <is>
          <t>WS 2019</t>
        </is>
      </c>
      <c r="F385" s="13" t="inlineStr">
        <is>
          <t>Planting</t>
        </is>
      </c>
      <c r="G385" s="7" t="n">
        <v>11.27</v>
      </c>
      <c r="H385" s="8" t="n">
        <v>27.82</v>
      </c>
      <c r="I385" s="8" t="n">
        <v>23.17</v>
      </c>
      <c r="J385" s="8" t="n">
        <v>34.41</v>
      </c>
      <c r="K385" s="8" t="n">
        <v>81.95999999999999</v>
      </c>
      <c r="L385" s="8" t="n">
        <v>98.17</v>
      </c>
      <c r="M385" s="8" t="n">
        <v>20.34</v>
      </c>
      <c r="N385" s="13" t="inlineStr">
        <is>
          <t>Type I – Tropical Monsoon (PAGASA)</t>
        </is>
      </c>
      <c r="O385" s="13" t="inlineStr">
        <is>
          <t>Wet</t>
        </is>
      </c>
      <c r="P385" s="13" t="inlineStr">
        <is>
          <t>Sandy Loam</t>
        </is>
      </c>
      <c r="Q385" s="13" t="inlineStr">
        <is>
          <t>Flat / Lowland</t>
        </is>
      </c>
      <c r="R385" s="14" t="n">
        <v>30</v>
      </c>
      <c r="S385" s="13" t="inlineStr">
        <is>
          <t>Tagamusing River</t>
        </is>
      </c>
      <c r="T385" s="15" t="n">
        <v>157.08</v>
      </c>
      <c r="U385" s="15" t="n">
        <v>24.5</v>
      </c>
      <c r="V385" s="15" t="n">
        <v>43.5</v>
      </c>
      <c r="W385" s="15" t="n">
        <v>68</v>
      </c>
      <c r="X385" s="15" t="n"/>
      <c r="Y385" s="15" t="n"/>
      <c r="Z385" s="16" t="n"/>
      <c r="AA385" s="17" t="inlineStr">
        <is>
          <t>Transplanting (Pindot) or Direct Seeding (Pinaghandaan)</t>
        </is>
      </c>
      <c r="AB385" s="17" t="inlineStr">
        <is>
          <t>Conventional Tillage: 2 plowings + 2 harrowings; soil workable when moist</t>
        </is>
      </c>
      <c r="AC385" s="17" t="inlineStr">
        <is>
          <t>Intermittent irrigation (Alternate Wetting and Drying — AWD); moderate retention</t>
        </is>
      </c>
    </row>
    <row r="386" ht="21.75" customHeight="1" s="101">
      <c r="A386" s="6" t="inlineStr">
        <is>
          <t>Palay</t>
        </is>
      </c>
      <c r="B386" s="6" t="inlineStr">
        <is>
          <t>Bugayong</t>
        </is>
      </c>
      <c r="C386" s="6" t="inlineStr">
        <is>
          <t>June</t>
        </is>
      </c>
      <c r="D386" s="6" t="inlineStr">
        <is>
          <t>2019</t>
        </is>
      </c>
      <c r="E386" s="6" t="inlineStr">
        <is>
          <t>WS 2019</t>
        </is>
      </c>
      <c r="F386" s="6" t="inlineStr">
        <is>
          <t>Planting</t>
        </is>
      </c>
      <c r="G386" s="7" t="n">
        <v>11.27</v>
      </c>
      <c r="H386" s="8" t="n">
        <v>27.82</v>
      </c>
      <c r="I386" s="8" t="n">
        <v>23.17</v>
      </c>
      <c r="J386" s="8" t="n">
        <v>34.41</v>
      </c>
      <c r="K386" s="8" t="n">
        <v>81.95999999999999</v>
      </c>
      <c r="L386" s="8" t="n">
        <v>98.17</v>
      </c>
      <c r="M386" s="8" t="n">
        <v>20.34</v>
      </c>
      <c r="N386" s="6" t="inlineStr">
        <is>
          <t>Type I – Tropical Monsoon (PAGASA)</t>
        </is>
      </c>
      <c r="O386" s="6" t="inlineStr">
        <is>
          <t>Wet</t>
        </is>
      </c>
      <c r="P386" s="6" t="inlineStr">
        <is>
          <t>Sandy Loam / Silty Clay Loam</t>
        </is>
      </c>
      <c r="Q386" s="6" t="inlineStr">
        <is>
          <t>Flat / Lowland</t>
        </is>
      </c>
      <c r="R386" s="9" t="n">
        <v>30</v>
      </c>
      <c r="S386" s="6" t="inlineStr">
        <is>
          <t>Aloragat River</t>
        </is>
      </c>
      <c r="T386" s="10" t="n">
        <v>346.08</v>
      </c>
      <c r="U386" s="10" t="n">
        <v>25.95</v>
      </c>
      <c r="V386" s="10" t="n">
        <v>52.05</v>
      </c>
      <c r="W386" s="10" t="n">
        <v>78</v>
      </c>
      <c r="X386" s="10" t="n"/>
      <c r="Y386" s="10" t="n"/>
      <c r="Z386" s="11" t="n"/>
      <c r="AA386" s="12" t="inlineStr">
        <is>
          <t>Transplanting (Pindot) — recommended; Direct Seeding possible in dry season</t>
        </is>
      </c>
      <c r="AB386" s="12" t="inlineStr">
        <is>
          <t>Conventional Tillage: 2 plowings + harrowing; puddle thoroughly for transplanting</t>
        </is>
      </c>
      <c r="AC386" s="12" t="inlineStr">
        <is>
          <t>Intermittent to continuous flooding; manage according to drainage section present</t>
        </is>
      </c>
    </row>
    <row r="387" ht="21.75" customHeight="1" s="101">
      <c r="A387" s="13" t="inlineStr">
        <is>
          <t>Palay</t>
        </is>
      </c>
      <c r="B387" s="13" t="inlineStr">
        <is>
          <t>Santiago</t>
        </is>
      </c>
      <c r="C387" s="13" t="inlineStr">
        <is>
          <t>June</t>
        </is>
      </c>
      <c r="D387" s="13" t="inlineStr">
        <is>
          <t>2019</t>
        </is>
      </c>
      <c r="E387" s="13" t="inlineStr">
        <is>
          <t>WS 2019</t>
        </is>
      </c>
      <c r="F387" s="13" t="inlineStr">
        <is>
          <t>Planting</t>
        </is>
      </c>
      <c r="G387" s="7" t="n">
        <v>11.27</v>
      </c>
      <c r="H387" s="8" t="n">
        <v>27.82</v>
      </c>
      <c r="I387" s="8" t="n">
        <v>23.17</v>
      </c>
      <c r="J387" s="8" t="n">
        <v>34.41</v>
      </c>
      <c r="K387" s="8" t="n">
        <v>81.95999999999999</v>
      </c>
      <c r="L387" s="8" t="n">
        <v>98.17</v>
      </c>
      <c r="M387" s="8" t="n">
        <v>20.34</v>
      </c>
      <c r="N387" s="13" t="inlineStr">
        <is>
          <t>Type I – Tropical Monsoon (PAGASA)</t>
        </is>
      </c>
      <c r="O387" s="13" t="inlineStr">
        <is>
          <t>Wet</t>
        </is>
      </c>
      <c r="P387" s="13" t="inlineStr">
        <is>
          <t>Silty Clay Loam</t>
        </is>
      </c>
      <c r="Q387" s="13" t="inlineStr">
        <is>
          <t>Flat / Lowland</t>
        </is>
      </c>
      <c r="R387" s="14" t="n">
        <v>30</v>
      </c>
      <c r="S387" s="13" t="inlineStr">
        <is>
          <t>—</t>
        </is>
      </c>
      <c r="T387" s="15" t="n">
        <v>283.08</v>
      </c>
      <c r="U387" s="15" t="n">
        <v>103.6</v>
      </c>
      <c r="V387" s="15" t="n">
        <v>145.4</v>
      </c>
      <c r="W387" s="15" t="n">
        <v>249</v>
      </c>
      <c r="X387" s="15" t="n"/>
      <c r="Y387" s="15" t="n"/>
      <c r="Z387" s="16" t="n"/>
      <c r="AA387" s="17" t="inlineStr">
        <is>
          <t>Transplanting (Pindot) — optimal for clay-loam paddy fields</t>
        </is>
      </c>
      <c r="AB387" s="17" t="inlineStr">
        <is>
          <t>Wet Tillage (Puddling): 2 plowings + thorough harrowing under flooded condition</t>
        </is>
      </c>
      <c r="AC387" s="17" t="inlineStr">
        <is>
          <t>Continuous flooding 2–5 cm depth during vegetative stage; drain 2 weeks before harvest</t>
        </is>
      </c>
    </row>
    <row r="388" ht="21.75" customHeight="1" s="101">
      <c r="A388" s="6" t="inlineStr">
        <is>
          <t>Palay</t>
        </is>
      </c>
      <c r="B388" s="6" t="inlineStr">
        <is>
          <t>Pasileng Norte</t>
        </is>
      </c>
      <c r="C388" s="6" t="inlineStr">
        <is>
          <t>June</t>
        </is>
      </c>
      <c r="D388" s="6" t="inlineStr">
        <is>
          <t>2020</t>
        </is>
      </c>
      <c r="E388" s="6" t="inlineStr">
        <is>
          <t>WS 2020</t>
        </is>
      </c>
      <c r="F388" s="6" t="inlineStr">
        <is>
          <t>Planting</t>
        </is>
      </c>
      <c r="G388" s="7" t="n">
        <v>10.81</v>
      </c>
      <c r="H388" s="8" t="n">
        <v>27.71</v>
      </c>
      <c r="I388" s="8" t="n">
        <v>23.31</v>
      </c>
      <c r="J388" s="8" t="n">
        <v>34.01</v>
      </c>
      <c r="K388" s="8" t="n">
        <v>81.02</v>
      </c>
      <c r="L388" s="8" t="n">
        <v>98.26000000000001</v>
      </c>
      <c r="M388" s="8" t="n">
        <v>22.26</v>
      </c>
      <c r="N388" s="6" t="inlineStr">
        <is>
          <t>Type I – Tropical Monsoon (PAGASA)</t>
        </is>
      </c>
      <c r="O388" s="6" t="inlineStr">
        <is>
          <t>Wet</t>
        </is>
      </c>
      <c r="P388" s="6" t="inlineStr">
        <is>
          <t>Sandy Loam</t>
        </is>
      </c>
      <c r="Q388" s="6" t="inlineStr">
        <is>
          <t>Flat / Lowland</t>
        </is>
      </c>
      <c r="R388" s="9" t="n">
        <v>30</v>
      </c>
      <c r="S388" s="6" t="inlineStr">
        <is>
          <t>Tagamusing River</t>
        </is>
      </c>
      <c r="T388" s="10" t="n">
        <v>140.28</v>
      </c>
      <c r="U388" s="10" t="n">
        <v>78.34999999999999</v>
      </c>
      <c r="V388" s="10" t="n">
        <v>2.65</v>
      </c>
      <c r="W388" s="10" t="n">
        <v>81</v>
      </c>
      <c r="X388" s="10" t="n"/>
      <c r="Y388" s="10" t="n"/>
      <c r="Z388" s="11" t="n"/>
      <c r="AA388" s="12" t="inlineStr">
        <is>
          <t>Transplanting (Pindot) or Direct Seeding (Pinaghandaan)</t>
        </is>
      </c>
      <c r="AB388" s="12" t="inlineStr">
        <is>
          <t>Conventional Tillage: 2 plowings + 2 harrowings; soil workable when moist</t>
        </is>
      </c>
      <c r="AC388" s="12" t="inlineStr">
        <is>
          <t>Intermittent irrigation (Alternate Wetting and Drying — AWD); moderate retention</t>
        </is>
      </c>
    </row>
    <row r="389" ht="21.75" customHeight="1" s="101">
      <c r="A389" s="13" t="inlineStr">
        <is>
          <t>Palay</t>
        </is>
      </c>
      <c r="B389" s="13" t="inlineStr">
        <is>
          <t>Tabuyoc</t>
        </is>
      </c>
      <c r="C389" s="13" t="inlineStr">
        <is>
          <t>June</t>
        </is>
      </c>
      <c r="D389" s="13" t="inlineStr">
        <is>
          <t>2020</t>
        </is>
      </c>
      <c r="E389" s="13" t="inlineStr">
        <is>
          <t>WS 2020</t>
        </is>
      </c>
      <c r="F389" s="13" t="inlineStr">
        <is>
          <t>Planting</t>
        </is>
      </c>
      <c r="G389" s="7" t="n">
        <v>10.81</v>
      </c>
      <c r="H389" s="8" t="n">
        <v>27.71</v>
      </c>
      <c r="I389" s="8" t="n">
        <v>23.31</v>
      </c>
      <c r="J389" s="8" t="n">
        <v>34.01</v>
      </c>
      <c r="K389" s="8" t="n">
        <v>81.02</v>
      </c>
      <c r="L389" s="8" t="n">
        <v>98.26000000000001</v>
      </c>
      <c r="M389" s="8" t="n">
        <v>22.26</v>
      </c>
      <c r="N389" s="13" t="inlineStr">
        <is>
          <t>Type I – Tropical Monsoon (PAGASA)</t>
        </is>
      </c>
      <c r="O389" s="13" t="inlineStr">
        <is>
          <t>Wet</t>
        </is>
      </c>
      <c r="P389" s="13" t="inlineStr">
        <is>
          <t>Silty Clay Loam</t>
        </is>
      </c>
      <c r="Q389" s="13" t="inlineStr">
        <is>
          <t>Flat / Lowland</t>
        </is>
      </c>
      <c r="R389" s="14" t="n">
        <v>30</v>
      </c>
      <c r="S389" s="13" t="inlineStr">
        <is>
          <t>—</t>
        </is>
      </c>
      <c r="T389" s="15" t="n">
        <v>277.2</v>
      </c>
      <c r="U389" s="15" t="n">
        <v>134</v>
      </c>
      <c r="V389" s="15" t="n">
        <v>5</v>
      </c>
      <c r="W389" s="15" t="n">
        <v>139</v>
      </c>
      <c r="X389" s="15" t="n"/>
      <c r="Y389" s="15" t="n"/>
      <c r="Z389" s="16" t="n"/>
      <c r="AA389" s="17" t="inlineStr">
        <is>
          <t>Transplanting (Pindot) — optimal for clay-loam paddy fields</t>
        </is>
      </c>
      <c r="AB389" s="17" t="inlineStr">
        <is>
          <t>Wet Tillage (Puddling): 2 plowings + thorough harrowing under flooded condition</t>
        </is>
      </c>
      <c r="AC389" s="17" t="inlineStr">
        <is>
          <t>Continuous flooding 2–5 cm depth during vegetative stage; drain 2 weeks before harvest</t>
        </is>
      </c>
    </row>
    <row r="390" ht="21.75" customHeight="1" s="101">
      <c r="A390" s="6" t="inlineStr">
        <is>
          <t>Palay</t>
        </is>
      </c>
      <c r="B390" s="6" t="inlineStr">
        <is>
          <t>Bued</t>
        </is>
      </c>
      <c r="C390" s="6" t="inlineStr">
        <is>
          <t>June</t>
        </is>
      </c>
      <c r="D390" s="6" t="inlineStr">
        <is>
          <t>2020</t>
        </is>
      </c>
      <c r="E390" s="6" t="inlineStr">
        <is>
          <t>WS 2020</t>
        </is>
      </c>
      <c r="F390" s="6" t="inlineStr">
        <is>
          <t>Planting</t>
        </is>
      </c>
      <c r="G390" s="7" t="n">
        <v>10.81</v>
      </c>
      <c r="H390" s="8" t="n">
        <v>27.71</v>
      </c>
      <c r="I390" s="8" t="n">
        <v>23.31</v>
      </c>
      <c r="J390" s="8" t="n">
        <v>34.01</v>
      </c>
      <c r="K390" s="8" t="n">
        <v>81.02</v>
      </c>
      <c r="L390" s="8" t="n">
        <v>98.26000000000001</v>
      </c>
      <c r="M390" s="8" t="n">
        <v>22.26</v>
      </c>
      <c r="N390" s="6" t="inlineStr">
        <is>
          <t>Type I – Tropical Monsoon (PAGASA)</t>
        </is>
      </c>
      <c r="O390" s="6" t="inlineStr">
        <is>
          <t>Wet</t>
        </is>
      </c>
      <c r="P390" s="6" t="inlineStr">
        <is>
          <t>Silty Clay Loam</t>
        </is>
      </c>
      <c r="Q390" s="6" t="inlineStr">
        <is>
          <t>Flat / Lowland</t>
        </is>
      </c>
      <c r="R390" s="9" t="n">
        <v>30</v>
      </c>
      <c r="S390" s="6" t="inlineStr">
        <is>
          <t>Tagamusing River</t>
        </is>
      </c>
      <c r="T390" s="10" t="n">
        <v>210.84</v>
      </c>
      <c r="U390" s="10" t="n">
        <v>56.5</v>
      </c>
      <c r="V390" s="10" t="n">
        <v>37.5</v>
      </c>
      <c r="W390" s="10" t="n">
        <v>94</v>
      </c>
      <c r="X390" s="10" t="n"/>
      <c r="Y390" s="10" t="n"/>
      <c r="Z390" s="11" t="n"/>
      <c r="AA390" s="12" t="inlineStr">
        <is>
          <t>Transplanting (Pindot) — optimal for clay-loam paddy fields</t>
        </is>
      </c>
      <c r="AB390" s="12" t="inlineStr">
        <is>
          <t>Wet Tillage (Puddling): 2 plowings + thorough harrowing under flooded condition</t>
        </is>
      </c>
      <c r="AC390" s="12" t="inlineStr">
        <is>
          <t>Continuous flooding 2–5 cm depth during vegetative stage; drain 2 weeks before harvest</t>
        </is>
      </c>
    </row>
    <row r="391" ht="21.75" customHeight="1" s="101">
      <c r="A391" s="13" t="inlineStr">
        <is>
          <t>Palay</t>
        </is>
      </c>
      <c r="B391" s="13" t="inlineStr">
        <is>
          <t>Dumayat</t>
        </is>
      </c>
      <c r="C391" s="13" t="inlineStr">
        <is>
          <t>June</t>
        </is>
      </c>
      <c r="D391" s="13" t="inlineStr">
        <is>
          <t>2020</t>
        </is>
      </c>
      <c r="E391" s="13" t="inlineStr">
        <is>
          <t>WS 2020</t>
        </is>
      </c>
      <c r="F391" s="13" t="inlineStr">
        <is>
          <t>Planting</t>
        </is>
      </c>
      <c r="G391" s="7" t="n">
        <v>10.81</v>
      </c>
      <c r="H391" s="8" t="n">
        <v>27.71</v>
      </c>
      <c r="I391" s="8" t="n">
        <v>23.31</v>
      </c>
      <c r="J391" s="8" t="n">
        <v>34.01</v>
      </c>
      <c r="K391" s="8" t="n">
        <v>81.02</v>
      </c>
      <c r="L391" s="8" t="n">
        <v>98.26000000000001</v>
      </c>
      <c r="M391" s="8" t="n">
        <v>22.26</v>
      </c>
      <c r="N391" s="13" t="inlineStr">
        <is>
          <t>Type I – Tropical Monsoon (PAGASA)</t>
        </is>
      </c>
      <c r="O391" s="13" t="inlineStr">
        <is>
          <t>Wet</t>
        </is>
      </c>
      <c r="P391" s="13" t="inlineStr">
        <is>
          <t>Silty Clay Loam</t>
        </is>
      </c>
      <c r="Q391" s="13" t="inlineStr">
        <is>
          <t>Flat / Lowland</t>
        </is>
      </c>
      <c r="R391" s="14" t="n">
        <v>30</v>
      </c>
      <c r="S391" s="13" t="inlineStr">
        <is>
          <t>—</t>
        </is>
      </c>
      <c r="T391" s="15" t="n">
        <v>266.28</v>
      </c>
      <c r="U391" s="15" t="n">
        <v>56</v>
      </c>
      <c r="V391" s="15" t="n">
        <v>30</v>
      </c>
      <c r="W391" s="15" t="n">
        <v>86</v>
      </c>
      <c r="X391" s="15" t="n"/>
      <c r="Y391" s="15" t="n"/>
      <c r="Z391" s="16" t="n"/>
      <c r="AA391" s="17" t="inlineStr">
        <is>
          <t>Transplanting (Pindot) — optimal for clay-loam paddy fields</t>
        </is>
      </c>
      <c r="AB391" s="17" t="inlineStr">
        <is>
          <t>Wet Tillage (Puddling): 2 plowings + thorough harrowing under flooded condition</t>
        </is>
      </c>
      <c r="AC391" s="17" t="inlineStr">
        <is>
          <t>Continuous flooding 2–5 cm depth during vegetative stage; drain 2 weeks before harvest</t>
        </is>
      </c>
    </row>
    <row r="392" ht="21.75" customHeight="1" s="101">
      <c r="A392" s="6" t="inlineStr">
        <is>
          <t>Palay</t>
        </is>
      </c>
      <c r="B392" s="6" t="inlineStr">
        <is>
          <t>Camanggaan</t>
        </is>
      </c>
      <c r="C392" s="6" t="inlineStr">
        <is>
          <t>June</t>
        </is>
      </c>
      <c r="D392" s="6" t="inlineStr">
        <is>
          <t>2020</t>
        </is>
      </c>
      <c r="E392" s="6" t="inlineStr">
        <is>
          <t>WS 2020</t>
        </is>
      </c>
      <c r="F392" s="6" t="inlineStr">
        <is>
          <t>Planting</t>
        </is>
      </c>
      <c r="G392" s="7" t="n">
        <v>10.81</v>
      </c>
      <c r="H392" s="8" t="n">
        <v>27.71</v>
      </c>
      <c r="I392" s="8" t="n">
        <v>23.31</v>
      </c>
      <c r="J392" s="8" t="n">
        <v>34.01</v>
      </c>
      <c r="K392" s="8" t="n">
        <v>81.02</v>
      </c>
      <c r="L392" s="8" t="n">
        <v>98.26000000000001</v>
      </c>
      <c r="M392" s="8" t="n">
        <v>22.26</v>
      </c>
      <c r="N392" s="6" t="inlineStr">
        <is>
          <t>Type I – Tropical Monsoon (PAGASA)</t>
        </is>
      </c>
      <c r="O392" s="6" t="inlineStr">
        <is>
          <t>Wet</t>
        </is>
      </c>
      <c r="P392" s="6" t="inlineStr">
        <is>
          <t>Sandy Loam</t>
        </is>
      </c>
      <c r="Q392" s="6" t="inlineStr">
        <is>
          <t>Flat / Lowland</t>
        </is>
      </c>
      <c r="R392" s="9" t="n">
        <v>30</v>
      </c>
      <c r="S392" s="6" t="inlineStr">
        <is>
          <t>—</t>
        </is>
      </c>
      <c r="T392" s="10" t="n">
        <v>244.44</v>
      </c>
      <c r="U392" s="10" t="n">
        <v>19</v>
      </c>
      <c r="V392" s="10" t="n">
        <v>68</v>
      </c>
      <c r="W392" s="10" t="n">
        <v>87</v>
      </c>
      <c r="X392" s="10" t="n"/>
      <c r="Y392" s="10" t="n"/>
      <c r="Z392" s="11" t="n"/>
      <c r="AA392" s="12" t="inlineStr">
        <is>
          <t>Transplanting (Pindot) or Direct Seeding (Pinaghandaan)</t>
        </is>
      </c>
      <c r="AB392" s="12" t="inlineStr">
        <is>
          <t>Conventional Tillage: 2 plowings + 2 harrowings; soil workable when moist</t>
        </is>
      </c>
      <c r="AC392" s="12" t="inlineStr">
        <is>
          <t>Intermittent irrigation (Alternate Wetting and Drying — AWD); moderate retention</t>
        </is>
      </c>
    </row>
    <row r="393" ht="21.75" customHeight="1" s="101">
      <c r="A393" s="13" t="inlineStr">
        <is>
          <t>Palay</t>
        </is>
      </c>
      <c r="B393" s="13" t="inlineStr">
        <is>
          <t>Vacante</t>
        </is>
      </c>
      <c r="C393" s="13" t="inlineStr">
        <is>
          <t>June</t>
        </is>
      </c>
      <c r="D393" s="13" t="inlineStr">
        <is>
          <t>2020</t>
        </is>
      </c>
      <c r="E393" s="13" t="inlineStr">
        <is>
          <t>WS 2020</t>
        </is>
      </c>
      <c r="F393" s="13" t="inlineStr">
        <is>
          <t>Planting</t>
        </is>
      </c>
      <c r="G393" s="7" t="n">
        <v>10.81</v>
      </c>
      <c r="H393" s="8" t="n">
        <v>27.71</v>
      </c>
      <c r="I393" s="8" t="n">
        <v>23.31</v>
      </c>
      <c r="J393" s="8" t="n">
        <v>34.01</v>
      </c>
      <c r="K393" s="8" t="n">
        <v>81.02</v>
      </c>
      <c r="L393" s="8" t="n">
        <v>98.26000000000001</v>
      </c>
      <c r="M393" s="8" t="n">
        <v>22.26</v>
      </c>
      <c r="N393" s="13" t="inlineStr">
        <is>
          <t>Type I – Tropical Monsoon (PAGASA)</t>
        </is>
      </c>
      <c r="O393" s="13" t="inlineStr">
        <is>
          <t>Wet</t>
        </is>
      </c>
      <c r="P393" s="13" t="inlineStr">
        <is>
          <t>Silty Clay Loam</t>
        </is>
      </c>
      <c r="Q393" s="13" t="inlineStr">
        <is>
          <t>Flat / Lowland</t>
        </is>
      </c>
      <c r="R393" s="14" t="n">
        <v>30</v>
      </c>
      <c r="S393" s="13" t="inlineStr">
        <is>
          <t>Aloragat River</t>
        </is>
      </c>
      <c r="T393" s="15" t="n">
        <v>484.68</v>
      </c>
      <c r="U393" s="15" t="n">
        <v>28</v>
      </c>
      <c r="V393" s="15" t="n">
        <v>81</v>
      </c>
      <c r="W393" s="15" t="n">
        <v>109</v>
      </c>
      <c r="X393" s="15" t="n"/>
      <c r="Y393" s="15" t="n"/>
      <c r="Z393" s="16" t="n"/>
      <c r="AA393" s="17" t="inlineStr">
        <is>
          <t>Transplanting (Pindot) — optimal for clay-loam paddy fields</t>
        </is>
      </c>
      <c r="AB393" s="17" t="inlineStr">
        <is>
          <t>Wet Tillage (Puddling): 2 plowings + thorough harrowing under flooded condition</t>
        </is>
      </c>
      <c r="AC393" s="17" t="inlineStr">
        <is>
          <t>Continuous flooding 2–5 cm depth during vegetative stage; drain 2 weeks before harvest</t>
        </is>
      </c>
    </row>
    <row r="394" ht="21.75" customHeight="1" s="101">
      <c r="A394" s="6" t="inlineStr">
        <is>
          <t>Palay</t>
        </is>
      </c>
      <c r="B394" s="6" t="inlineStr">
        <is>
          <t>Sta. Catalina</t>
        </is>
      </c>
      <c r="C394" s="6" t="inlineStr">
        <is>
          <t>June</t>
        </is>
      </c>
      <c r="D394" s="6" t="inlineStr">
        <is>
          <t>2020</t>
        </is>
      </c>
      <c r="E394" s="6" t="inlineStr">
        <is>
          <t>WS 2020</t>
        </is>
      </c>
      <c r="F394" s="6" t="inlineStr">
        <is>
          <t>Planting</t>
        </is>
      </c>
      <c r="G394" s="7" t="n">
        <v>10.81</v>
      </c>
      <c r="H394" s="8" t="n">
        <v>27.71</v>
      </c>
      <c r="I394" s="8" t="n">
        <v>23.31</v>
      </c>
      <c r="J394" s="8" t="n">
        <v>34.01</v>
      </c>
      <c r="K394" s="8" t="n">
        <v>81.02</v>
      </c>
      <c r="L394" s="8" t="n">
        <v>98.26000000000001</v>
      </c>
      <c r="M394" s="8" t="n">
        <v>22.26</v>
      </c>
      <c r="N394" s="6" t="inlineStr">
        <is>
          <t>Type I – Tropical Monsoon (PAGASA)</t>
        </is>
      </c>
      <c r="O394" s="6" t="inlineStr">
        <is>
          <t>Wet</t>
        </is>
      </c>
      <c r="P394" s="6" t="inlineStr">
        <is>
          <t>Fine Sand / Sandy Loam</t>
        </is>
      </c>
      <c r="Q394" s="6" t="inlineStr">
        <is>
          <t>Moderately Sloping / Highland</t>
        </is>
      </c>
      <c r="R394" s="9" t="n">
        <v>90</v>
      </c>
      <c r="S394" s="6" t="inlineStr">
        <is>
          <t>—</t>
        </is>
      </c>
      <c r="T394" s="10" t="n">
        <v>709.8</v>
      </c>
      <c r="U394" s="10" t="n">
        <v>49</v>
      </c>
      <c r="V394" s="10" t="n">
        <v>180</v>
      </c>
      <c r="W394" s="10" t="n">
        <v>229</v>
      </c>
      <c r="X394" s="10" t="n"/>
      <c r="Y394" s="10" t="n"/>
      <c r="Z394" s="11" t="n"/>
      <c r="AA394" s="12" t="inlineStr">
        <is>
          <t>Transplanting (Pindot)</t>
        </is>
      </c>
      <c r="AB394" s="12" t="inlineStr">
        <is>
          <t>Minimum Tillage (avoid compaction; sandy structure fragile)</t>
        </is>
      </c>
      <c r="AC394" s="12" t="inlineStr">
        <is>
          <t>Continuous flooding or frequent irrigation; high percolation risk; terrace or bund-assisted water retention essential on slopes</t>
        </is>
      </c>
    </row>
    <row r="395" ht="21.75" customHeight="1" s="101">
      <c r="A395" s="13" t="inlineStr">
        <is>
          <t>Palay</t>
        </is>
      </c>
      <c r="B395" s="13" t="inlineStr">
        <is>
          <t>Moreno</t>
        </is>
      </c>
      <c r="C395" s="13" t="inlineStr">
        <is>
          <t>June</t>
        </is>
      </c>
      <c r="D395" s="13" t="inlineStr">
        <is>
          <t>2020</t>
        </is>
      </c>
      <c r="E395" s="13" t="inlineStr">
        <is>
          <t>WS 2020</t>
        </is>
      </c>
      <c r="F395" s="13" t="inlineStr">
        <is>
          <t>Planting</t>
        </is>
      </c>
      <c r="G395" s="7" t="n">
        <v>10.81</v>
      </c>
      <c r="H395" s="8" t="n">
        <v>27.71</v>
      </c>
      <c r="I395" s="8" t="n">
        <v>23.31</v>
      </c>
      <c r="J395" s="8" t="n">
        <v>34.01</v>
      </c>
      <c r="K395" s="8" t="n">
        <v>81.02</v>
      </c>
      <c r="L395" s="8" t="n">
        <v>98.26000000000001</v>
      </c>
      <c r="M395" s="8" t="n">
        <v>22.26</v>
      </c>
      <c r="N395" s="13" t="inlineStr">
        <is>
          <t>Type I – Tropical Monsoon (PAGASA)</t>
        </is>
      </c>
      <c r="O395" s="13" t="inlineStr">
        <is>
          <t>Wet</t>
        </is>
      </c>
      <c r="P395" s="13" t="inlineStr">
        <is>
          <t>Sandy Loam</t>
        </is>
      </c>
      <c r="Q395" s="13" t="inlineStr">
        <is>
          <t>Moderately Sloping / Highland</t>
        </is>
      </c>
      <c r="R395" s="14" t="n">
        <v>90</v>
      </c>
      <c r="S395" s="13" t="inlineStr">
        <is>
          <t>Alibeng River</t>
        </is>
      </c>
      <c r="T395" s="15" t="n">
        <v>641.76</v>
      </c>
      <c r="U395" s="15" t="n">
        <v>47.4</v>
      </c>
      <c r="V395" s="15" t="n">
        <v>116.6</v>
      </c>
      <c r="W395" s="15" t="n">
        <v>164</v>
      </c>
      <c r="X395" s="15" t="n"/>
      <c r="Y395" s="15" t="n"/>
      <c r="Z395" s="16" t="n"/>
      <c r="AA395" s="17" t="inlineStr">
        <is>
          <t>Transplanting (Pindot) or Direct Seeding (Pinaghandaan)</t>
        </is>
      </c>
      <c r="AB395" s="17" t="inlineStr">
        <is>
          <t>Conventional Tillage: 2 plowings + 2 harrowings; soil workable when moist</t>
        </is>
      </c>
      <c r="AC395" s="17" t="inlineStr">
        <is>
          <t>Intermittent irrigation (Alternate Wetting and Drying — AWD); moderate retention; terrace or bund-assisted water retention essential on slopes</t>
        </is>
      </c>
    </row>
    <row r="396" ht="21.75" customHeight="1" s="101">
      <c r="A396" s="6" t="inlineStr">
        <is>
          <t>Palay</t>
        </is>
      </c>
      <c r="B396" s="6" t="inlineStr">
        <is>
          <t>Cili</t>
        </is>
      </c>
      <c r="C396" s="6" t="inlineStr">
        <is>
          <t>June</t>
        </is>
      </c>
      <c r="D396" s="6" t="inlineStr">
        <is>
          <t>2020</t>
        </is>
      </c>
      <c r="E396" s="6" t="inlineStr">
        <is>
          <t>WS 2020</t>
        </is>
      </c>
      <c r="F396" s="6" t="inlineStr">
        <is>
          <t>Planting</t>
        </is>
      </c>
      <c r="G396" s="7" t="n">
        <v>10.81</v>
      </c>
      <c r="H396" s="8" t="n">
        <v>27.71</v>
      </c>
      <c r="I396" s="8" t="n">
        <v>23.31</v>
      </c>
      <c r="J396" s="8" t="n">
        <v>34.01</v>
      </c>
      <c r="K396" s="8" t="n">
        <v>81.02</v>
      </c>
      <c r="L396" s="8" t="n">
        <v>98.26000000000001</v>
      </c>
      <c r="M396" s="8" t="n">
        <v>22.26</v>
      </c>
      <c r="N396" s="6" t="inlineStr">
        <is>
          <t>Type I – Tropical Monsoon (PAGASA)</t>
        </is>
      </c>
      <c r="O396" s="6" t="inlineStr">
        <is>
          <t>Wet</t>
        </is>
      </c>
      <c r="P396" s="6" t="inlineStr">
        <is>
          <t>Silty Clay Loam</t>
        </is>
      </c>
      <c r="Q396" s="6" t="inlineStr">
        <is>
          <t>Flat / Lowland</t>
        </is>
      </c>
      <c r="R396" s="9" t="n">
        <v>30</v>
      </c>
      <c r="S396" s="6" t="inlineStr">
        <is>
          <t>Alibeng River</t>
        </is>
      </c>
      <c r="T396" s="10" t="n">
        <v>264.6</v>
      </c>
      <c r="U396" s="10" t="n">
        <v>40</v>
      </c>
      <c r="V396" s="10" t="n">
        <v>128</v>
      </c>
      <c r="W396" s="10" t="n">
        <v>168</v>
      </c>
      <c r="X396" s="10" t="n"/>
      <c r="Y396" s="10" t="n"/>
      <c r="Z396" s="11" t="n"/>
      <c r="AA396" s="12" t="inlineStr">
        <is>
          <t>Transplanting (Pindot) — optimal for clay-loam paddy fields</t>
        </is>
      </c>
      <c r="AB396" s="12" t="inlineStr">
        <is>
          <t>Wet Tillage (Puddling): 2 plowings + thorough harrowing under flooded condition</t>
        </is>
      </c>
      <c r="AC396" s="12" t="inlineStr">
        <is>
          <t>Continuous flooding 2–5 cm depth during vegetative stage; drain 2 weeks before harvest</t>
        </is>
      </c>
    </row>
    <row r="397" ht="21.75" customHeight="1" s="101">
      <c r="A397" s="13" t="inlineStr">
        <is>
          <t>Palay</t>
        </is>
      </c>
      <c r="B397" s="13" t="inlineStr">
        <is>
          <t>Linmansangan</t>
        </is>
      </c>
      <c r="C397" s="13" t="inlineStr">
        <is>
          <t>June</t>
        </is>
      </c>
      <c r="D397" s="13" t="inlineStr">
        <is>
          <t>2020</t>
        </is>
      </c>
      <c r="E397" s="13" t="inlineStr">
        <is>
          <t>WS 2020</t>
        </is>
      </c>
      <c r="F397" s="13" t="inlineStr">
        <is>
          <t>Planting</t>
        </is>
      </c>
      <c r="G397" s="7" t="n">
        <v>10.81</v>
      </c>
      <c r="H397" s="8" t="n">
        <v>27.71</v>
      </c>
      <c r="I397" s="8" t="n">
        <v>23.31</v>
      </c>
      <c r="J397" s="8" t="n">
        <v>34.01</v>
      </c>
      <c r="K397" s="8" t="n">
        <v>81.02</v>
      </c>
      <c r="L397" s="8" t="n">
        <v>98.26000000000001</v>
      </c>
      <c r="M397" s="8" t="n">
        <v>22.26</v>
      </c>
      <c r="N397" s="13" t="inlineStr">
        <is>
          <t>Type I – Tropical Monsoon (PAGASA)</t>
        </is>
      </c>
      <c r="O397" s="13" t="inlineStr">
        <is>
          <t>Wet</t>
        </is>
      </c>
      <c r="P397" s="13" t="inlineStr">
        <is>
          <t>Silty Clay Loam</t>
        </is>
      </c>
      <c r="Q397" s="13" t="inlineStr">
        <is>
          <t>Flat / Lowland</t>
        </is>
      </c>
      <c r="R397" s="14" t="n">
        <v>30</v>
      </c>
      <c r="S397" s="13" t="inlineStr">
        <is>
          <t>—</t>
        </is>
      </c>
      <c r="T397" s="15" t="n">
        <v>492.24</v>
      </c>
      <c r="U397" s="15" t="n">
        <v>65.5</v>
      </c>
      <c r="V397" s="15" t="n">
        <v>146</v>
      </c>
      <c r="W397" s="15" t="n">
        <v>211.5</v>
      </c>
      <c r="X397" s="15" t="n"/>
      <c r="Y397" s="15" t="n"/>
      <c r="Z397" s="16" t="n"/>
      <c r="AA397" s="17" t="inlineStr">
        <is>
          <t>Transplanting (Pindot) — optimal for clay-loam paddy fields</t>
        </is>
      </c>
      <c r="AB397" s="17" t="inlineStr">
        <is>
          <t>Wet Tillage (Puddling): 2 plowings + thorough harrowing under flooded condition</t>
        </is>
      </c>
      <c r="AC397" s="17" t="inlineStr">
        <is>
          <t>Continuous flooding 2–5 cm depth during vegetative stage; drain 2 weeks before harvest</t>
        </is>
      </c>
    </row>
    <row r="398" ht="21.75" customHeight="1" s="101">
      <c r="A398" s="6" t="inlineStr">
        <is>
          <t>Palay</t>
        </is>
      </c>
      <c r="B398" s="6" t="inlineStr">
        <is>
          <t>Sumabnit</t>
        </is>
      </c>
      <c r="C398" s="6" t="inlineStr">
        <is>
          <t>June</t>
        </is>
      </c>
      <c r="D398" s="6" t="inlineStr">
        <is>
          <t>2020</t>
        </is>
      </c>
      <c r="E398" s="6" t="inlineStr">
        <is>
          <t>WS 2020</t>
        </is>
      </c>
      <c r="F398" s="6" t="inlineStr">
        <is>
          <t>Planting</t>
        </is>
      </c>
      <c r="G398" s="7" t="n">
        <v>10.81</v>
      </c>
      <c r="H398" s="8" t="n">
        <v>27.71</v>
      </c>
      <c r="I398" s="8" t="n">
        <v>23.31</v>
      </c>
      <c r="J398" s="8" t="n">
        <v>34.01</v>
      </c>
      <c r="K398" s="8" t="n">
        <v>81.02</v>
      </c>
      <c r="L398" s="8" t="n">
        <v>98.26000000000001</v>
      </c>
      <c r="M398" s="8" t="n">
        <v>22.26</v>
      </c>
      <c r="N398" s="6" t="inlineStr">
        <is>
          <t>Type I – Tropical Monsoon (PAGASA)</t>
        </is>
      </c>
      <c r="O398" s="6" t="inlineStr">
        <is>
          <t>Wet</t>
        </is>
      </c>
      <c r="P398" s="6" t="inlineStr">
        <is>
          <t>Silty Clay Loam / Fine Sandy Loam</t>
        </is>
      </c>
      <c r="Q398" s="6" t="inlineStr">
        <is>
          <t>Flat / Lowland</t>
        </is>
      </c>
      <c r="R398" s="9" t="n">
        <v>30</v>
      </c>
      <c r="S398" s="6" t="inlineStr">
        <is>
          <t>Tagamusing River</t>
        </is>
      </c>
      <c r="T398" s="10" t="n">
        <v>406.56</v>
      </c>
      <c r="U398" s="10" t="n">
        <v>133.3</v>
      </c>
      <c r="V398" s="10" t="n">
        <v>123.7</v>
      </c>
      <c r="W398" s="10" t="n">
        <v>257</v>
      </c>
      <c r="X398" s="10" t="n"/>
      <c r="Y398" s="10" t="n"/>
      <c r="Z398" s="11" t="n"/>
      <c r="AA398" s="12" t="inlineStr">
        <is>
          <t>Transplanting (Pindot)</t>
        </is>
      </c>
      <c r="AB398" s="12" t="inlineStr">
        <is>
          <t>Minimum Tillage (avoid compaction; sandy structure fragile)</t>
        </is>
      </c>
      <c r="AC398" s="12" t="inlineStr">
        <is>
          <t>Continuous flooding or frequent irrigation; high percolation risk</t>
        </is>
      </c>
    </row>
    <row r="399" ht="21.75" customHeight="1" s="101">
      <c r="A399" s="13" t="inlineStr">
        <is>
          <t>Palay</t>
        </is>
      </c>
      <c r="B399" s="13" t="inlineStr">
        <is>
          <t>Capas</t>
        </is>
      </c>
      <c r="C399" s="13" t="inlineStr">
        <is>
          <t>June</t>
        </is>
      </c>
      <c r="D399" s="13" t="inlineStr">
        <is>
          <t>2020</t>
        </is>
      </c>
      <c r="E399" s="13" t="inlineStr">
        <is>
          <t>WS 2020</t>
        </is>
      </c>
      <c r="F399" s="13" t="inlineStr">
        <is>
          <t>Planting</t>
        </is>
      </c>
      <c r="G399" s="7" t="n">
        <v>10.81</v>
      </c>
      <c r="H399" s="8" t="n">
        <v>27.71</v>
      </c>
      <c r="I399" s="8" t="n">
        <v>23.31</v>
      </c>
      <c r="J399" s="8" t="n">
        <v>34.01</v>
      </c>
      <c r="K399" s="8" t="n">
        <v>81.02</v>
      </c>
      <c r="L399" s="8" t="n">
        <v>98.26000000000001</v>
      </c>
      <c r="M399" s="8" t="n">
        <v>22.26</v>
      </c>
      <c r="N399" s="13" t="inlineStr">
        <is>
          <t>Type I – Tropical Monsoon (PAGASA)</t>
        </is>
      </c>
      <c r="O399" s="13" t="inlineStr">
        <is>
          <t>Wet</t>
        </is>
      </c>
      <c r="P399" s="13" t="inlineStr">
        <is>
          <t>Sandy Loam</t>
        </is>
      </c>
      <c r="Q399" s="13" t="inlineStr">
        <is>
          <t>Flat / Lowland</t>
        </is>
      </c>
      <c r="R399" s="14" t="n">
        <v>30</v>
      </c>
      <c r="S399" s="13" t="inlineStr">
        <is>
          <t>—</t>
        </is>
      </c>
      <c r="T399" s="15" t="n">
        <v>377.16</v>
      </c>
      <c r="U399" s="15" t="n">
        <v>139</v>
      </c>
      <c r="V399" s="15" t="n">
        <v>164</v>
      </c>
      <c r="W399" s="15" t="n">
        <v>303</v>
      </c>
      <c r="X399" s="15" t="n"/>
      <c r="Y399" s="15" t="n"/>
      <c r="Z399" s="16" t="n"/>
      <c r="AA399" s="17" t="inlineStr">
        <is>
          <t>Transplanting (Pindot) or Direct Seeding (Pinaghandaan)</t>
        </is>
      </c>
      <c r="AB399" s="17" t="inlineStr">
        <is>
          <t>Conventional Tillage: 2 plowings + 2 harrowings; soil workable when moist</t>
        </is>
      </c>
      <c r="AC399" s="17" t="inlineStr">
        <is>
          <t>Intermittent irrigation (Alternate Wetting and Drying — AWD); moderate retention</t>
        </is>
      </c>
    </row>
    <row r="400" ht="21.75" customHeight="1" s="101">
      <c r="A400" s="6" t="inlineStr">
        <is>
          <t>Palay</t>
        </is>
      </c>
      <c r="B400" s="6" t="inlineStr">
        <is>
          <t>Mangkasuy</t>
        </is>
      </c>
      <c r="C400" s="6" t="inlineStr">
        <is>
          <t>June</t>
        </is>
      </c>
      <c r="D400" s="6" t="inlineStr">
        <is>
          <t>2020</t>
        </is>
      </c>
      <c r="E400" s="6" t="inlineStr">
        <is>
          <t>WS 2020</t>
        </is>
      </c>
      <c r="F400" s="6" t="inlineStr">
        <is>
          <t>Planting</t>
        </is>
      </c>
      <c r="G400" s="7" t="n">
        <v>10.81</v>
      </c>
      <c r="H400" s="8" t="n">
        <v>27.71</v>
      </c>
      <c r="I400" s="8" t="n">
        <v>23.31</v>
      </c>
      <c r="J400" s="8" t="n">
        <v>34.01</v>
      </c>
      <c r="K400" s="8" t="n">
        <v>81.02</v>
      </c>
      <c r="L400" s="8" t="n">
        <v>98.26000000000001</v>
      </c>
      <c r="M400" s="8" t="n">
        <v>22.26</v>
      </c>
      <c r="N400" s="6" t="inlineStr">
        <is>
          <t>Type I – Tropical Monsoon (PAGASA)</t>
        </is>
      </c>
      <c r="O400" s="6" t="inlineStr">
        <is>
          <t>Wet</t>
        </is>
      </c>
      <c r="P400" s="6" t="inlineStr">
        <is>
          <t>Sandy Loam</t>
        </is>
      </c>
      <c r="Q400" s="6" t="inlineStr">
        <is>
          <t>Flat / Lowland</t>
        </is>
      </c>
      <c r="R400" s="9" t="n">
        <v>30</v>
      </c>
      <c r="S400" s="6" t="inlineStr">
        <is>
          <t>Tagamusing River</t>
        </is>
      </c>
      <c r="T400" s="10" t="n">
        <v>802.2</v>
      </c>
      <c r="U400" s="10" t="n">
        <v>90</v>
      </c>
      <c r="V400" s="10" t="n">
        <v>262</v>
      </c>
      <c r="W400" s="10" t="n">
        <v>352</v>
      </c>
      <c r="X400" s="10" t="n"/>
      <c r="Y400" s="10" t="n"/>
      <c r="Z400" s="11" t="n"/>
      <c r="AA400" s="12" t="inlineStr">
        <is>
          <t>Transplanting (Pindot) or Direct Seeding (Pinaghandaan)</t>
        </is>
      </c>
      <c r="AB400" s="12" t="inlineStr">
        <is>
          <t>Conventional Tillage: 2 plowings + 2 harrowings; soil workable when moist</t>
        </is>
      </c>
      <c r="AC400" s="12" t="inlineStr">
        <is>
          <t>Intermittent irrigation (Alternate Wetting and Drying — AWD); moderate retention</t>
        </is>
      </c>
    </row>
    <row r="401" ht="21.75" customHeight="1" s="101">
      <c r="A401" s="13" t="inlineStr">
        <is>
          <t>Palay</t>
        </is>
      </c>
      <c r="B401" s="13" t="inlineStr">
        <is>
          <t>San Pablo</t>
        </is>
      </c>
      <c r="C401" s="13" t="inlineStr">
        <is>
          <t>June</t>
        </is>
      </c>
      <c r="D401" s="13" t="inlineStr">
        <is>
          <t>2020</t>
        </is>
      </c>
      <c r="E401" s="13" t="inlineStr">
        <is>
          <t>WS 2020</t>
        </is>
      </c>
      <c r="F401" s="13" t="inlineStr">
        <is>
          <t>Planting</t>
        </is>
      </c>
      <c r="G401" s="7" t="n">
        <v>10.81</v>
      </c>
      <c r="H401" s="8" t="n">
        <v>27.71</v>
      </c>
      <c r="I401" s="8" t="n">
        <v>23.31</v>
      </c>
      <c r="J401" s="8" t="n">
        <v>34.01</v>
      </c>
      <c r="K401" s="8" t="n">
        <v>81.02</v>
      </c>
      <c r="L401" s="8" t="n">
        <v>98.26000000000001</v>
      </c>
      <c r="M401" s="8" t="n">
        <v>22.26</v>
      </c>
      <c r="N401" s="13" t="inlineStr">
        <is>
          <t>Type I – Tropical Monsoon (PAGASA)</t>
        </is>
      </c>
      <c r="O401" s="13" t="inlineStr">
        <is>
          <t>Wet</t>
        </is>
      </c>
      <c r="P401" s="13" t="inlineStr">
        <is>
          <t>Sandy Loam</t>
        </is>
      </c>
      <c r="Q401" s="13" t="inlineStr">
        <is>
          <t>Flat / Lowland</t>
        </is>
      </c>
      <c r="R401" s="14" t="n">
        <v>30</v>
      </c>
      <c r="S401" s="13" t="inlineStr">
        <is>
          <t>San Pablo Creek</t>
        </is>
      </c>
      <c r="T401" s="15" t="n">
        <v>215.04</v>
      </c>
      <c r="U401" s="15" t="n">
        <v>103.5</v>
      </c>
      <c r="V401" s="15" t="n">
        <v>30.5</v>
      </c>
      <c r="W401" s="15" t="n">
        <v>134</v>
      </c>
      <c r="X401" s="15" t="n"/>
      <c r="Y401" s="15" t="n"/>
      <c r="Z401" s="16" t="n"/>
      <c r="AA401" s="17" t="inlineStr">
        <is>
          <t>Transplanting (Pindot) or Direct Seeding (Pinaghandaan)</t>
        </is>
      </c>
      <c r="AB401" s="17" t="inlineStr">
        <is>
          <t>Conventional Tillage: 2 plowings + 2 harrowings; soil workable when moist</t>
        </is>
      </c>
      <c r="AC401" s="17" t="inlineStr">
        <is>
          <t>Intermittent irrigation (Alternate Wetting and Drying — AWD); moderate retention</t>
        </is>
      </c>
    </row>
    <row r="402" ht="21.75" customHeight="1" s="101">
      <c r="A402" s="6" t="inlineStr">
        <is>
          <t>Palay</t>
        </is>
      </c>
      <c r="B402" s="6" t="inlineStr">
        <is>
          <t>Balangobong</t>
        </is>
      </c>
      <c r="C402" s="6" t="inlineStr">
        <is>
          <t>June</t>
        </is>
      </c>
      <c r="D402" s="6" t="inlineStr">
        <is>
          <t>2020</t>
        </is>
      </c>
      <c r="E402" s="6" t="inlineStr">
        <is>
          <t>WS 2020</t>
        </is>
      </c>
      <c r="F402" s="6" t="inlineStr">
        <is>
          <t>Planting</t>
        </is>
      </c>
      <c r="G402" s="7" t="n">
        <v>10.81</v>
      </c>
      <c r="H402" s="8" t="n">
        <v>27.71</v>
      </c>
      <c r="I402" s="8" t="n">
        <v>23.31</v>
      </c>
      <c r="J402" s="8" t="n">
        <v>34.01</v>
      </c>
      <c r="K402" s="8" t="n">
        <v>81.02</v>
      </c>
      <c r="L402" s="8" t="n">
        <v>98.26000000000001</v>
      </c>
      <c r="M402" s="8" t="n">
        <v>22.26</v>
      </c>
      <c r="N402" s="6" t="inlineStr">
        <is>
          <t>Type I – Tropical Monsoon (PAGASA)</t>
        </is>
      </c>
      <c r="O402" s="6" t="inlineStr">
        <is>
          <t>Wet</t>
        </is>
      </c>
      <c r="P402" s="6" t="inlineStr">
        <is>
          <t>Silty Clay Loam</t>
        </is>
      </c>
      <c r="Q402" s="6" t="inlineStr">
        <is>
          <t>Flat / Lowland</t>
        </is>
      </c>
      <c r="R402" s="9" t="n">
        <v>30</v>
      </c>
      <c r="S402" s="6" t="inlineStr">
        <is>
          <t>—</t>
        </is>
      </c>
      <c r="T402" s="10" t="n">
        <v>281.4</v>
      </c>
      <c r="U402" s="10" t="n">
        <v>120</v>
      </c>
      <c r="V402" s="10" t="n">
        <v>15</v>
      </c>
      <c r="W402" s="10" t="n">
        <v>135</v>
      </c>
      <c r="X402" s="10" t="n"/>
      <c r="Y402" s="10" t="n"/>
      <c r="Z402" s="11" t="n"/>
      <c r="AA402" s="12" t="inlineStr">
        <is>
          <t>Transplanting (Pindot) — optimal for clay-loam paddy fields</t>
        </is>
      </c>
      <c r="AB402" s="12" t="inlineStr">
        <is>
          <t>Wet Tillage (Puddling): 2 plowings + thorough harrowing under flooded condition</t>
        </is>
      </c>
      <c r="AC402" s="12" t="inlineStr">
        <is>
          <t>Continuous flooding 2–5 cm depth during vegetative stage; drain 2 weeks before harvest</t>
        </is>
      </c>
    </row>
    <row r="403" ht="21.75" customHeight="1" s="101">
      <c r="A403" s="13" t="inlineStr">
        <is>
          <t>Palay</t>
        </is>
      </c>
      <c r="B403" s="13" t="inlineStr">
        <is>
          <t>San Felipe Central</t>
        </is>
      </c>
      <c r="C403" s="13" t="inlineStr">
        <is>
          <t>June</t>
        </is>
      </c>
      <c r="D403" s="13" t="inlineStr">
        <is>
          <t>2020</t>
        </is>
      </c>
      <c r="E403" s="13" t="inlineStr">
        <is>
          <t>WS 2020</t>
        </is>
      </c>
      <c r="F403" s="13" t="inlineStr">
        <is>
          <t>Planting</t>
        </is>
      </c>
      <c r="G403" s="7" t="n">
        <v>10.81</v>
      </c>
      <c r="H403" s="8" t="n">
        <v>27.71</v>
      </c>
      <c r="I403" s="8" t="n">
        <v>23.31</v>
      </c>
      <c r="J403" s="8" t="n">
        <v>34.01</v>
      </c>
      <c r="K403" s="8" t="n">
        <v>81.02</v>
      </c>
      <c r="L403" s="8" t="n">
        <v>98.26000000000001</v>
      </c>
      <c r="M403" s="8" t="n">
        <v>22.26</v>
      </c>
      <c r="N403" s="13" t="inlineStr">
        <is>
          <t>Type I – Tropical Monsoon (PAGASA)</t>
        </is>
      </c>
      <c r="O403" s="13" t="inlineStr">
        <is>
          <t>Wet</t>
        </is>
      </c>
      <c r="P403" s="13" t="inlineStr">
        <is>
          <t>Sandy Loam</t>
        </is>
      </c>
      <c r="Q403" s="13" t="inlineStr">
        <is>
          <t>Flat / Lowland</t>
        </is>
      </c>
      <c r="R403" s="14" t="n">
        <v>30</v>
      </c>
      <c r="S403" s="13" t="inlineStr">
        <is>
          <t>—</t>
        </is>
      </c>
      <c r="T403" s="15" t="n">
        <v>452.76</v>
      </c>
      <c r="U403" s="15" t="n">
        <v>117</v>
      </c>
      <c r="V403" s="15" t="n">
        <v>62</v>
      </c>
      <c r="W403" s="15" t="n">
        <v>179</v>
      </c>
      <c r="X403" s="15" t="n"/>
      <c r="Y403" s="15" t="n"/>
      <c r="Z403" s="16" t="n"/>
      <c r="AA403" s="17" t="inlineStr">
        <is>
          <t>Transplanting (Pindot) or Direct Seeding (Pinaghandaan)</t>
        </is>
      </c>
      <c r="AB403" s="17" t="inlineStr">
        <is>
          <t>Conventional Tillage: 2 plowings + 2 harrowings; soil workable when moist</t>
        </is>
      </c>
      <c r="AC403" s="17" t="inlineStr">
        <is>
          <t>Intermittent irrigation (Alternate Wetting and Drying — AWD); moderate retention</t>
        </is>
      </c>
    </row>
    <row r="404" ht="21.75" customHeight="1" s="101">
      <c r="A404" s="6" t="inlineStr">
        <is>
          <t>Palay</t>
        </is>
      </c>
      <c r="B404" s="6" t="inlineStr">
        <is>
          <t>San Felipe Sur</t>
        </is>
      </c>
      <c r="C404" s="6" t="inlineStr">
        <is>
          <t>June</t>
        </is>
      </c>
      <c r="D404" s="6" t="inlineStr">
        <is>
          <t>2020</t>
        </is>
      </c>
      <c r="E404" s="6" t="inlineStr">
        <is>
          <t>WS 2020</t>
        </is>
      </c>
      <c r="F404" s="6" t="inlineStr">
        <is>
          <t>Planting</t>
        </is>
      </c>
      <c r="G404" s="7" t="n">
        <v>10.81</v>
      </c>
      <c r="H404" s="8" t="n">
        <v>27.71</v>
      </c>
      <c r="I404" s="8" t="n">
        <v>23.31</v>
      </c>
      <c r="J404" s="8" t="n">
        <v>34.01</v>
      </c>
      <c r="K404" s="8" t="n">
        <v>81.02</v>
      </c>
      <c r="L404" s="8" t="n">
        <v>98.26000000000001</v>
      </c>
      <c r="M404" s="8" t="n">
        <v>22.26</v>
      </c>
      <c r="N404" s="6" t="inlineStr">
        <is>
          <t>Type I – Tropical Monsoon (PAGASA)</t>
        </is>
      </c>
      <c r="O404" s="6" t="inlineStr">
        <is>
          <t>Wet</t>
        </is>
      </c>
      <c r="P404" s="6" t="inlineStr">
        <is>
          <t>Sandy Loam</t>
        </is>
      </c>
      <c r="Q404" s="6" t="inlineStr">
        <is>
          <t>Flat / Lowland</t>
        </is>
      </c>
      <c r="R404" s="9" t="n">
        <v>30</v>
      </c>
      <c r="S404" s="6" t="inlineStr">
        <is>
          <t>Tagamusing River</t>
        </is>
      </c>
      <c r="T404" s="10" t="n">
        <v>504</v>
      </c>
      <c r="U404" s="10" t="n">
        <v>127.5</v>
      </c>
      <c r="V404" s="10" t="n">
        <v>50.5</v>
      </c>
      <c r="W404" s="10" t="n">
        <v>178</v>
      </c>
      <c r="X404" s="10" t="n"/>
      <c r="Y404" s="10" t="n"/>
      <c r="Z404" s="11" t="n"/>
      <c r="AA404" s="12" t="inlineStr">
        <is>
          <t>Transplanting (Pindot) or Direct Seeding (Pinaghandaan)</t>
        </is>
      </c>
      <c r="AB404" s="12" t="inlineStr">
        <is>
          <t>Conventional Tillage: 2 plowings + 2 harrowings; soil workable when moist</t>
        </is>
      </c>
      <c r="AC404" s="12" t="inlineStr">
        <is>
          <t>Intermittent irrigation (Alternate Wetting and Drying — AWD); moderate retention</t>
        </is>
      </c>
    </row>
    <row r="405" ht="21.75" customHeight="1" s="101">
      <c r="A405" s="13" t="inlineStr">
        <is>
          <t>Palay</t>
        </is>
      </c>
      <c r="B405" s="13" t="inlineStr">
        <is>
          <t>Pasileng Sur</t>
        </is>
      </c>
      <c r="C405" s="13" t="inlineStr">
        <is>
          <t>June</t>
        </is>
      </c>
      <c r="D405" s="13" t="inlineStr">
        <is>
          <t>2020</t>
        </is>
      </c>
      <c r="E405" s="13" t="inlineStr">
        <is>
          <t>WS 2020</t>
        </is>
      </c>
      <c r="F405" s="13" t="inlineStr">
        <is>
          <t>Planting</t>
        </is>
      </c>
      <c r="G405" s="7" t="n">
        <v>10.81</v>
      </c>
      <c r="H405" s="8" t="n">
        <v>27.71</v>
      </c>
      <c r="I405" s="8" t="n">
        <v>23.31</v>
      </c>
      <c r="J405" s="8" t="n">
        <v>34.01</v>
      </c>
      <c r="K405" s="8" t="n">
        <v>81.02</v>
      </c>
      <c r="L405" s="8" t="n">
        <v>98.26000000000001</v>
      </c>
      <c r="M405" s="8" t="n">
        <v>22.26</v>
      </c>
      <c r="N405" s="13" t="inlineStr">
        <is>
          <t>Type I – Tropical Monsoon (PAGASA)</t>
        </is>
      </c>
      <c r="O405" s="13" t="inlineStr">
        <is>
          <t>Wet</t>
        </is>
      </c>
      <c r="P405" s="13" t="inlineStr">
        <is>
          <t>Sandy Loam</t>
        </is>
      </c>
      <c r="Q405" s="13" t="inlineStr">
        <is>
          <t>Flat / Lowland</t>
        </is>
      </c>
      <c r="R405" s="14" t="n">
        <v>30</v>
      </c>
      <c r="S405" s="13" t="inlineStr">
        <is>
          <t>Tagamusing River</t>
        </is>
      </c>
      <c r="T405" s="15" t="n">
        <v>414.96</v>
      </c>
      <c r="U405" s="15" t="n">
        <v>150.9</v>
      </c>
      <c r="V405" s="15" t="n">
        <v>29.1</v>
      </c>
      <c r="W405" s="15" t="n">
        <v>180</v>
      </c>
      <c r="X405" s="15" t="n"/>
      <c r="Y405" s="15" t="n"/>
      <c r="Z405" s="16" t="n"/>
      <c r="AA405" s="17" t="inlineStr">
        <is>
          <t>Transplanting (Pindot) or Direct Seeding (Pinaghandaan)</t>
        </is>
      </c>
      <c r="AB405" s="17" t="inlineStr">
        <is>
          <t>Conventional Tillage: 2 plowings + 2 harrowings; soil workable when moist</t>
        </is>
      </c>
      <c r="AC405" s="17" t="inlineStr">
        <is>
          <t>Intermittent irrigation (Alternate Wetting and Drying — AWD); moderate retention</t>
        </is>
      </c>
    </row>
    <row r="406" ht="21.75" customHeight="1" s="101">
      <c r="A406" s="6" t="inlineStr">
        <is>
          <t>Palay</t>
        </is>
      </c>
      <c r="B406" s="6" t="inlineStr">
        <is>
          <t>Sta. Maria Norte</t>
        </is>
      </c>
      <c r="C406" s="6" t="inlineStr">
        <is>
          <t>June</t>
        </is>
      </c>
      <c r="D406" s="6" t="inlineStr">
        <is>
          <t>2020</t>
        </is>
      </c>
      <c r="E406" s="6" t="inlineStr">
        <is>
          <t>WS 2020</t>
        </is>
      </c>
      <c r="F406" s="6" t="inlineStr">
        <is>
          <t>Planting</t>
        </is>
      </c>
      <c r="G406" s="7" t="n">
        <v>10.81</v>
      </c>
      <c r="H406" s="8" t="n">
        <v>27.71</v>
      </c>
      <c r="I406" s="8" t="n">
        <v>23.31</v>
      </c>
      <c r="J406" s="8" t="n">
        <v>34.01</v>
      </c>
      <c r="K406" s="8" t="n">
        <v>81.02</v>
      </c>
      <c r="L406" s="8" t="n">
        <v>98.26000000000001</v>
      </c>
      <c r="M406" s="8" t="n">
        <v>22.26</v>
      </c>
      <c r="N406" s="6" t="inlineStr">
        <is>
          <t>Type I – Tropical Monsoon (PAGASA)</t>
        </is>
      </c>
      <c r="O406" s="6" t="inlineStr">
        <is>
          <t>Wet</t>
        </is>
      </c>
      <c r="P406" s="6" t="inlineStr">
        <is>
          <t>Sandy Loam</t>
        </is>
      </c>
      <c r="Q406" s="6" t="inlineStr">
        <is>
          <t>Flat / Lowland</t>
        </is>
      </c>
      <c r="R406" s="9" t="n">
        <v>30</v>
      </c>
      <c r="S406" s="6" t="inlineStr">
        <is>
          <t>Tagamusing River</t>
        </is>
      </c>
      <c r="T406" s="10" t="n">
        <v>157.08</v>
      </c>
      <c r="U406" s="10" t="n">
        <v>24.5</v>
      </c>
      <c r="V406" s="10" t="n">
        <v>43.5</v>
      </c>
      <c r="W406" s="10" t="n">
        <v>68</v>
      </c>
      <c r="X406" s="10" t="n"/>
      <c r="Y406" s="10" t="n"/>
      <c r="Z406" s="11" t="n"/>
      <c r="AA406" s="12" t="inlineStr">
        <is>
          <t>Transplanting (Pindot) or Direct Seeding (Pinaghandaan)</t>
        </is>
      </c>
      <c r="AB406" s="12" t="inlineStr">
        <is>
          <t>Conventional Tillage: 2 plowings + 2 harrowings; soil workable when moist</t>
        </is>
      </c>
      <c r="AC406" s="12" t="inlineStr">
        <is>
          <t>Intermittent irrigation (Alternate Wetting and Drying — AWD); moderate retention</t>
        </is>
      </c>
    </row>
    <row r="407" ht="21.75" customHeight="1" s="101">
      <c r="A407" s="13" t="inlineStr">
        <is>
          <t>Palay</t>
        </is>
      </c>
      <c r="B407" s="13" t="inlineStr">
        <is>
          <t>Bugayong</t>
        </is>
      </c>
      <c r="C407" s="13" t="inlineStr">
        <is>
          <t>June</t>
        </is>
      </c>
      <c r="D407" s="13" t="inlineStr">
        <is>
          <t>2020</t>
        </is>
      </c>
      <c r="E407" s="13" t="inlineStr">
        <is>
          <t>WS 2020</t>
        </is>
      </c>
      <c r="F407" s="13" t="inlineStr">
        <is>
          <t>Planting</t>
        </is>
      </c>
      <c r="G407" s="7" t="n">
        <v>10.81</v>
      </c>
      <c r="H407" s="8" t="n">
        <v>27.71</v>
      </c>
      <c r="I407" s="8" t="n">
        <v>23.31</v>
      </c>
      <c r="J407" s="8" t="n">
        <v>34.01</v>
      </c>
      <c r="K407" s="8" t="n">
        <v>81.02</v>
      </c>
      <c r="L407" s="8" t="n">
        <v>98.26000000000001</v>
      </c>
      <c r="M407" s="8" t="n">
        <v>22.26</v>
      </c>
      <c r="N407" s="13" t="inlineStr">
        <is>
          <t>Type I – Tropical Monsoon (PAGASA)</t>
        </is>
      </c>
      <c r="O407" s="13" t="inlineStr">
        <is>
          <t>Wet</t>
        </is>
      </c>
      <c r="P407" s="13" t="inlineStr">
        <is>
          <t>Sandy Loam / Silty Clay Loam</t>
        </is>
      </c>
      <c r="Q407" s="13" t="inlineStr">
        <is>
          <t>Flat / Lowland</t>
        </is>
      </c>
      <c r="R407" s="14" t="n">
        <v>30</v>
      </c>
      <c r="S407" s="13" t="inlineStr">
        <is>
          <t>Aloragat River</t>
        </is>
      </c>
      <c r="T407" s="15" t="n">
        <v>346.08</v>
      </c>
      <c r="U407" s="15" t="n">
        <v>25.95</v>
      </c>
      <c r="V407" s="15" t="n">
        <v>52.05</v>
      </c>
      <c r="W407" s="15" t="n">
        <v>78</v>
      </c>
      <c r="X407" s="15" t="n"/>
      <c r="Y407" s="15" t="n"/>
      <c r="Z407" s="16" t="n"/>
      <c r="AA407" s="17" t="inlineStr">
        <is>
          <t>Transplanting (Pindot) — recommended; Direct Seeding possible in dry season</t>
        </is>
      </c>
      <c r="AB407" s="17" t="inlineStr">
        <is>
          <t>Conventional Tillage: 2 plowings + harrowing; puddle thoroughly for transplanting</t>
        </is>
      </c>
      <c r="AC407" s="17" t="inlineStr">
        <is>
          <t>Intermittent to continuous flooding; manage according to drainage section present</t>
        </is>
      </c>
    </row>
    <row r="408" ht="21.75" customHeight="1" s="101">
      <c r="A408" s="6" t="inlineStr">
        <is>
          <t>Palay</t>
        </is>
      </c>
      <c r="B408" s="6" t="inlineStr">
        <is>
          <t>Santiago</t>
        </is>
      </c>
      <c r="C408" s="6" t="inlineStr">
        <is>
          <t>June</t>
        </is>
      </c>
      <c r="D408" s="6" t="inlineStr">
        <is>
          <t>2020</t>
        </is>
      </c>
      <c r="E408" s="6" t="inlineStr">
        <is>
          <t>WS 2020</t>
        </is>
      </c>
      <c r="F408" s="6" t="inlineStr">
        <is>
          <t>Planting</t>
        </is>
      </c>
      <c r="G408" s="7" t="n">
        <v>10.81</v>
      </c>
      <c r="H408" s="8" t="n">
        <v>27.71</v>
      </c>
      <c r="I408" s="8" t="n">
        <v>23.31</v>
      </c>
      <c r="J408" s="8" t="n">
        <v>34.01</v>
      </c>
      <c r="K408" s="8" t="n">
        <v>81.02</v>
      </c>
      <c r="L408" s="8" t="n">
        <v>98.26000000000001</v>
      </c>
      <c r="M408" s="8" t="n">
        <v>22.26</v>
      </c>
      <c r="N408" s="6" t="inlineStr">
        <is>
          <t>Type I – Tropical Monsoon (PAGASA)</t>
        </is>
      </c>
      <c r="O408" s="6" t="inlineStr">
        <is>
          <t>Wet</t>
        </is>
      </c>
      <c r="P408" s="6" t="inlineStr">
        <is>
          <t>Silty Clay Loam</t>
        </is>
      </c>
      <c r="Q408" s="6" t="inlineStr">
        <is>
          <t>Flat / Lowland</t>
        </is>
      </c>
      <c r="R408" s="9" t="n">
        <v>30</v>
      </c>
      <c r="S408" s="6" t="inlineStr">
        <is>
          <t>—</t>
        </is>
      </c>
      <c r="T408" s="10" t="n">
        <v>283.08</v>
      </c>
      <c r="U408" s="10" t="n">
        <v>103.6</v>
      </c>
      <c r="V408" s="10" t="n">
        <v>145.4</v>
      </c>
      <c r="W408" s="10" t="n">
        <v>249</v>
      </c>
      <c r="X408" s="10" t="n"/>
      <c r="Y408" s="10" t="n"/>
      <c r="Z408" s="11" t="n"/>
      <c r="AA408" s="12" t="inlineStr">
        <is>
          <t>Transplanting (Pindot) — optimal for clay-loam paddy fields</t>
        </is>
      </c>
      <c r="AB408" s="12" t="inlineStr">
        <is>
          <t>Wet Tillage (Puddling): 2 plowings + thorough harrowing under flooded condition</t>
        </is>
      </c>
      <c r="AC408" s="12" t="inlineStr">
        <is>
          <t>Continuous flooding 2–5 cm depth during vegetative stage; drain 2 weeks before harvest</t>
        </is>
      </c>
    </row>
    <row r="409" ht="21.75" customHeight="1" s="101">
      <c r="A409" s="13" t="inlineStr">
        <is>
          <t>Palay</t>
        </is>
      </c>
      <c r="B409" s="13" t="inlineStr">
        <is>
          <t>Balangobong</t>
        </is>
      </c>
      <c r="C409" s="13" t="inlineStr">
        <is>
          <t>June</t>
        </is>
      </c>
      <c r="D409" s="13" t="inlineStr">
        <is>
          <t>2023</t>
        </is>
      </c>
      <c r="E409" s="13" t="inlineStr">
        <is>
          <t>WS 2023</t>
        </is>
      </c>
      <c r="F409" s="13" t="inlineStr">
        <is>
          <t>Planting</t>
        </is>
      </c>
      <c r="G409" s="7" t="n">
        <v>12.88</v>
      </c>
      <c r="H409" s="8" t="n">
        <v>27.25</v>
      </c>
      <c r="I409" s="8" t="n">
        <v>23.24</v>
      </c>
      <c r="J409" s="8" t="n">
        <v>32.84</v>
      </c>
      <c r="K409" s="8" t="n">
        <v>85.62</v>
      </c>
      <c r="L409" s="8" t="n">
        <v>98.18000000000001</v>
      </c>
      <c r="M409" s="8" t="n">
        <v>18.77</v>
      </c>
      <c r="N409" s="13" t="inlineStr">
        <is>
          <t>Type I – Tropical Monsoon (PAGASA)</t>
        </is>
      </c>
      <c r="O409" s="13" t="inlineStr">
        <is>
          <t>Wet</t>
        </is>
      </c>
      <c r="P409" s="13" t="inlineStr">
        <is>
          <t>Silty Clay Loam</t>
        </is>
      </c>
      <c r="Q409" s="13" t="inlineStr">
        <is>
          <t>Flat / Lowland</t>
        </is>
      </c>
      <c r="R409" s="14" t="n">
        <v>30</v>
      </c>
      <c r="S409" s="13" t="inlineStr">
        <is>
          <t>—</t>
        </is>
      </c>
      <c r="T409" s="15" t="n">
        <v>281.4</v>
      </c>
      <c r="U409" s="15" t="n">
        <v>110.61</v>
      </c>
      <c r="V409" s="15" t="n">
        <v>43.84</v>
      </c>
      <c r="W409" s="15" t="n">
        <v>15</v>
      </c>
      <c r="X409" s="15" t="n"/>
      <c r="Y409" s="15" t="n"/>
      <c r="Z409" s="16" t="n"/>
      <c r="AA409" s="17" t="inlineStr">
        <is>
          <t>Transplanting (Pindot) — optimal for clay-loam paddy fields</t>
        </is>
      </c>
      <c r="AB409" s="17" t="inlineStr">
        <is>
          <t>Wet Tillage (Puddling): 2 plowings + thorough harrowing under flooded condition</t>
        </is>
      </c>
      <c r="AC409" s="17" t="inlineStr">
        <is>
          <t>Continuous flooding 2–5 cm depth during vegetative stage; drain 2 weeks before harvest</t>
        </is>
      </c>
    </row>
    <row r="410" ht="21.75" customHeight="1" s="101">
      <c r="A410" s="6" t="inlineStr">
        <is>
          <t>Palay</t>
        </is>
      </c>
      <c r="B410" s="6" t="inlineStr">
        <is>
          <t>Bued</t>
        </is>
      </c>
      <c r="C410" s="6" t="inlineStr">
        <is>
          <t>June</t>
        </is>
      </c>
      <c r="D410" s="6" t="inlineStr">
        <is>
          <t>2023</t>
        </is>
      </c>
      <c r="E410" s="6" t="inlineStr">
        <is>
          <t>WS 2023</t>
        </is>
      </c>
      <c r="F410" s="6" t="inlineStr">
        <is>
          <t>Planting</t>
        </is>
      </c>
      <c r="G410" s="7" t="n">
        <v>12.88</v>
      </c>
      <c r="H410" s="8" t="n">
        <v>27.25</v>
      </c>
      <c r="I410" s="8" t="n">
        <v>23.24</v>
      </c>
      <c r="J410" s="8" t="n">
        <v>32.84</v>
      </c>
      <c r="K410" s="8" t="n">
        <v>85.62</v>
      </c>
      <c r="L410" s="8" t="n">
        <v>98.18000000000001</v>
      </c>
      <c r="M410" s="8" t="n">
        <v>18.77</v>
      </c>
      <c r="N410" s="6" t="inlineStr">
        <is>
          <t>Type I – Tropical Monsoon (PAGASA)</t>
        </is>
      </c>
      <c r="O410" s="6" t="inlineStr">
        <is>
          <t>Wet</t>
        </is>
      </c>
      <c r="P410" s="6" t="inlineStr">
        <is>
          <t>Silty Clay Loam</t>
        </is>
      </c>
      <c r="Q410" s="6" t="inlineStr">
        <is>
          <t>Flat / Lowland</t>
        </is>
      </c>
      <c r="R410" s="9" t="n">
        <v>30</v>
      </c>
      <c r="S410" s="6" t="inlineStr">
        <is>
          <t>Tagamusing River</t>
        </is>
      </c>
      <c r="T410" s="10" t="n">
        <v>210.84</v>
      </c>
      <c r="U410" s="10" t="n">
        <v>83.58</v>
      </c>
      <c r="V410" s="10" t="n">
        <v>41.18</v>
      </c>
      <c r="W410" s="10" t="n">
        <v>37.5</v>
      </c>
      <c r="X410" s="10" t="n"/>
      <c r="Y410" s="10" t="n"/>
      <c r="Z410" s="11" t="n"/>
      <c r="AA410" s="12" t="inlineStr">
        <is>
          <t>Transplanting (Pindot) — optimal for clay-loam paddy fields</t>
        </is>
      </c>
      <c r="AB410" s="12" t="inlineStr">
        <is>
          <t>Wet Tillage (Puddling): 2 plowings + thorough harrowing under flooded condition</t>
        </is>
      </c>
      <c r="AC410" s="12" t="inlineStr">
        <is>
          <t>Continuous flooding 2–5 cm depth during vegetative stage; drain 2 weeks before harvest</t>
        </is>
      </c>
    </row>
    <row r="411" ht="21.75" customHeight="1" s="101">
      <c r="A411" s="13" t="inlineStr">
        <is>
          <t>Palay</t>
        </is>
      </c>
      <c r="B411" s="13" t="inlineStr">
        <is>
          <t>Bugayong</t>
        </is>
      </c>
      <c r="C411" s="13" t="inlineStr">
        <is>
          <t>June</t>
        </is>
      </c>
      <c r="D411" s="13" t="inlineStr">
        <is>
          <t>2023</t>
        </is>
      </c>
      <c r="E411" s="13" t="inlineStr">
        <is>
          <t>WS 2023</t>
        </is>
      </c>
      <c r="F411" s="13" t="inlineStr">
        <is>
          <t>Planting</t>
        </is>
      </c>
      <c r="G411" s="7" t="n">
        <v>12.88</v>
      </c>
      <c r="H411" s="8" t="n">
        <v>27.25</v>
      </c>
      <c r="I411" s="8" t="n">
        <v>23.24</v>
      </c>
      <c r="J411" s="8" t="n">
        <v>32.84</v>
      </c>
      <c r="K411" s="8" t="n">
        <v>85.62</v>
      </c>
      <c r="L411" s="8" t="n">
        <v>98.18000000000001</v>
      </c>
      <c r="M411" s="8" t="n">
        <v>18.77</v>
      </c>
      <c r="N411" s="13" t="inlineStr">
        <is>
          <t>Type I – Tropical Monsoon (PAGASA)</t>
        </is>
      </c>
      <c r="O411" s="13" t="inlineStr">
        <is>
          <t>Wet</t>
        </is>
      </c>
      <c r="P411" s="13" t="inlineStr">
        <is>
          <t>Sandy Loam / Silty Clay Loam</t>
        </is>
      </c>
      <c r="Q411" s="13" t="inlineStr">
        <is>
          <t>Flat / Lowland</t>
        </is>
      </c>
      <c r="R411" s="14" t="n">
        <v>30</v>
      </c>
      <c r="S411" s="13" t="inlineStr">
        <is>
          <t>Aloragat River</t>
        </is>
      </c>
      <c r="T411" s="15" t="n">
        <v>346.08</v>
      </c>
      <c r="U411" s="15" t="n">
        <v>24.5</v>
      </c>
      <c r="V411" s="15" t="n">
        <v>41.45</v>
      </c>
      <c r="W411" s="15" t="n">
        <v>52.05</v>
      </c>
      <c r="X411" s="15" t="n"/>
      <c r="Y411" s="15" t="n"/>
      <c r="Z411" s="16" t="n"/>
      <c r="AA411" s="17" t="inlineStr">
        <is>
          <t>Transplanting (Pindot) — recommended; Direct Seeding possible in dry season</t>
        </is>
      </c>
      <c r="AB411" s="17" t="inlineStr">
        <is>
          <t>Conventional Tillage: 2 plowings + harrowing; puddle thoroughly for transplanting</t>
        </is>
      </c>
      <c r="AC411" s="17" t="inlineStr">
        <is>
          <t>Intermittent to continuous flooding; manage according to drainage section present</t>
        </is>
      </c>
    </row>
    <row r="412" ht="21.75" customHeight="1" s="101">
      <c r="A412" s="6" t="inlineStr">
        <is>
          <t>Palay</t>
        </is>
      </c>
      <c r="B412" s="6" t="inlineStr">
        <is>
          <t>Camanggaan</t>
        </is>
      </c>
      <c r="C412" s="6" t="inlineStr">
        <is>
          <t>June</t>
        </is>
      </c>
      <c r="D412" s="6" t="inlineStr">
        <is>
          <t>2023</t>
        </is>
      </c>
      <c r="E412" s="6" t="inlineStr">
        <is>
          <t>WS 2023</t>
        </is>
      </c>
      <c r="F412" s="6" t="inlineStr">
        <is>
          <t>Planting</t>
        </is>
      </c>
      <c r="G412" s="7" t="n">
        <v>12.88</v>
      </c>
      <c r="H412" s="8" t="n">
        <v>27.25</v>
      </c>
      <c r="I412" s="8" t="n">
        <v>23.24</v>
      </c>
      <c r="J412" s="8" t="n">
        <v>32.84</v>
      </c>
      <c r="K412" s="8" t="n">
        <v>85.62</v>
      </c>
      <c r="L412" s="8" t="n">
        <v>98.18000000000001</v>
      </c>
      <c r="M412" s="8" t="n">
        <v>18.77</v>
      </c>
      <c r="N412" s="6" t="inlineStr">
        <is>
          <t>Type I – Tropical Monsoon (PAGASA)</t>
        </is>
      </c>
      <c r="O412" s="6" t="inlineStr">
        <is>
          <t>Wet</t>
        </is>
      </c>
      <c r="P412" s="6" t="inlineStr">
        <is>
          <t>Sandy Loam</t>
        </is>
      </c>
      <c r="Q412" s="6" t="inlineStr">
        <is>
          <t>Flat / Lowland</t>
        </is>
      </c>
      <c r="R412" s="9" t="n">
        <v>30</v>
      </c>
      <c r="S412" s="6" t="inlineStr">
        <is>
          <t>—</t>
        </is>
      </c>
      <c r="T412" s="10" t="n">
        <v>244.44</v>
      </c>
      <c r="U412" s="10" t="n">
        <v>38.85</v>
      </c>
      <c r="V412" s="10" t="n">
        <v>134.09</v>
      </c>
      <c r="W412" s="10" t="n">
        <v>68</v>
      </c>
      <c r="X412" s="10" t="n"/>
      <c r="Y412" s="10" t="n"/>
      <c r="Z412" s="11" t="n"/>
      <c r="AA412" s="12" t="inlineStr">
        <is>
          <t>Transplanting (Pindot) or Direct Seeding (Pinaghandaan)</t>
        </is>
      </c>
      <c r="AB412" s="12" t="inlineStr">
        <is>
          <t>Conventional Tillage: 2 plowings + 2 harrowings; soil workable when moist</t>
        </is>
      </c>
      <c r="AC412" s="12" t="inlineStr">
        <is>
          <t>Intermittent irrigation (Alternate Wetting and Drying — AWD); moderate retention</t>
        </is>
      </c>
    </row>
    <row r="413" ht="21.75" customHeight="1" s="101">
      <c r="A413" s="13" t="inlineStr">
        <is>
          <t>Palay</t>
        </is>
      </c>
      <c r="B413" s="13" t="inlineStr">
        <is>
          <t>Capas</t>
        </is>
      </c>
      <c r="C413" s="13" t="inlineStr">
        <is>
          <t>June</t>
        </is>
      </c>
      <c r="D413" s="13" t="inlineStr">
        <is>
          <t>2023</t>
        </is>
      </c>
      <c r="E413" s="13" t="inlineStr">
        <is>
          <t>WS 2023</t>
        </is>
      </c>
      <c r="F413" s="13" t="inlineStr">
        <is>
          <t>Planting</t>
        </is>
      </c>
      <c r="G413" s="7" t="n">
        <v>12.88</v>
      </c>
      <c r="H413" s="8" t="n">
        <v>27.25</v>
      </c>
      <c r="I413" s="8" t="n">
        <v>23.24</v>
      </c>
      <c r="J413" s="8" t="n">
        <v>32.84</v>
      </c>
      <c r="K413" s="8" t="n">
        <v>85.62</v>
      </c>
      <c r="L413" s="8" t="n">
        <v>98.18000000000001</v>
      </c>
      <c r="M413" s="8" t="n">
        <v>18.77</v>
      </c>
      <c r="N413" s="13" t="inlineStr">
        <is>
          <t>Type I – Tropical Monsoon (PAGASA)</t>
        </is>
      </c>
      <c r="O413" s="13" t="inlineStr">
        <is>
          <t>Wet</t>
        </is>
      </c>
      <c r="P413" s="13" t="inlineStr">
        <is>
          <t>Sandy Loam</t>
        </is>
      </c>
      <c r="Q413" s="13" t="inlineStr">
        <is>
          <t>Flat / Lowland</t>
        </is>
      </c>
      <c r="R413" s="14" t="n">
        <v>30</v>
      </c>
      <c r="S413" s="13" t="inlineStr">
        <is>
          <t>—</t>
        </is>
      </c>
      <c r="T413" s="15" t="n">
        <v>377.16</v>
      </c>
      <c r="U413" s="15" t="n">
        <v>117.69</v>
      </c>
      <c r="V413" s="15" t="n">
        <v>156.07</v>
      </c>
      <c r="W413" s="15" t="n">
        <v>164</v>
      </c>
      <c r="X413" s="15" t="n"/>
      <c r="Y413" s="15" t="n"/>
      <c r="Z413" s="16" t="n"/>
      <c r="AA413" s="17" t="inlineStr">
        <is>
          <t>Transplanting (Pindot) or Direct Seeding (Pinaghandaan)</t>
        </is>
      </c>
      <c r="AB413" s="17" t="inlineStr">
        <is>
          <t>Conventional Tillage: 2 plowings + 2 harrowings; soil workable when moist</t>
        </is>
      </c>
      <c r="AC413" s="17" t="inlineStr">
        <is>
          <t>Intermittent irrigation (Alternate Wetting and Drying — AWD); moderate retention</t>
        </is>
      </c>
    </row>
    <row r="414" ht="21.75" customHeight="1" s="101">
      <c r="A414" s="6" t="inlineStr">
        <is>
          <t>Palay</t>
        </is>
      </c>
      <c r="B414" s="6" t="inlineStr">
        <is>
          <t>Cili</t>
        </is>
      </c>
      <c r="C414" s="6" t="inlineStr">
        <is>
          <t>June</t>
        </is>
      </c>
      <c r="D414" s="6" t="inlineStr">
        <is>
          <t>2023</t>
        </is>
      </c>
      <c r="E414" s="6" t="inlineStr">
        <is>
          <t>WS 2023</t>
        </is>
      </c>
      <c r="F414" s="6" t="inlineStr">
        <is>
          <t>Planting</t>
        </is>
      </c>
      <c r="G414" s="7" t="n">
        <v>12.88</v>
      </c>
      <c r="H414" s="8" t="n">
        <v>27.25</v>
      </c>
      <c r="I414" s="8" t="n">
        <v>23.24</v>
      </c>
      <c r="J414" s="8" t="n">
        <v>32.84</v>
      </c>
      <c r="K414" s="8" t="n">
        <v>85.62</v>
      </c>
      <c r="L414" s="8" t="n">
        <v>98.18000000000001</v>
      </c>
      <c r="M414" s="8" t="n">
        <v>18.77</v>
      </c>
      <c r="N414" s="6" t="inlineStr">
        <is>
          <t>Type I – Tropical Monsoon (PAGASA)</t>
        </is>
      </c>
      <c r="O414" s="6" t="inlineStr">
        <is>
          <t>Wet</t>
        </is>
      </c>
      <c r="P414" s="6" t="inlineStr">
        <is>
          <t>Silty Clay Loam</t>
        </is>
      </c>
      <c r="Q414" s="6" t="inlineStr">
        <is>
          <t>Flat / Lowland</t>
        </is>
      </c>
      <c r="R414" s="9" t="n">
        <v>30</v>
      </c>
      <c r="S414" s="6" t="inlineStr">
        <is>
          <t>Alibeng River</t>
        </is>
      </c>
      <c r="T414" s="10" t="n">
        <v>264.6</v>
      </c>
      <c r="U414" s="10" t="n">
        <v>47.56</v>
      </c>
      <c r="V414" s="10" t="n">
        <v>43.56</v>
      </c>
      <c r="W414" s="10" t="n">
        <v>128</v>
      </c>
      <c r="X414" s="10" t="n"/>
      <c r="Y414" s="10" t="n"/>
      <c r="Z414" s="11" t="n"/>
      <c r="AA414" s="12" t="inlineStr">
        <is>
          <t>Transplanting (Pindot) — optimal for clay-loam paddy fields</t>
        </is>
      </c>
      <c r="AB414" s="12" t="inlineStr">
        <is>
          <t>Wet Tillage (Puddling): 2 plowings + thorough harrowing under flooded condition</t>
        </is>
      </c>
      <c r="AC414" s="12" t="inlineStr">
        <is>
          <t>Continuous flooding 2–5 cm depth during vegetative stage; drain 2 weeks before harvest</t>
        </is>
      </c>
    </row>
    <row r="415" ht="21.75" customHeight="1" s="101">
      <c r="A415" s="13" t="inlineStr">
        <is>
          <t>Palay</t>
        </is>
      </c>
      <c r="B415" s="13" t="inlineStr">
        <is>
          <t>Dumayat</t>
        </is>
      </c>
      <c r="C415" s="13" t="inlineStr">
        <is>
          <t>June</t>
        </is>
      </c>
      <c r="D415" s="13" t="inlineStr">
        <is>
          <t>2023</t>
        </is>
      </c>
      <c r="E415" s="13" t="inlineStr">
        <is>
          <t>WS 2023</t>
        </is>
      </c>
      <c r="F415" s="13" t="inlineStr">
        <is>
          <t>Planting</t>
        </is>
      </c>
      <c r="G415" s="7" t="n">
        <v>12.88</v>
      </c>
      <c r="H415" s="8" t="n">
        <v>27.25</v>
      </c>
      <c r="I415" s="8" t="n">
        <v>23.24</v>
      </c>
      <c r="J415" s="8" t="n">
        <v>32.84</v>
      </c>
      <c r="K415" s="8" t="n">
        <v>85.62</v>
      </c>
      <c r="L415" s="8" t="n">
        <v>98.18000000000001</v>
      </c>
      <c r="M415" s="8" t="n">
        <v>18.77</v>
      </c>
      <c r="N415" s="13" t="inlineStr">
        <is>
          <t>Type I – Tropical Monsoon (PAGASA)</t>
        </is>
      </c>
      <c r="O415" s="13" t="inlineStr">
        <is>
          <t>Wet</t>
        </is>
      </c>
      <c r="P415" s="13" t="inlineStr">
        <is>
          <t>Silty Clay Loam</t>
        </is>
      </c>
      <c r="Q415" s="13" t="inlineStr">
        <is>
          <t>Flat / Lowland</t>
        </is>
      </c>
      <c r="R415" s="14" t="n">
        <v>30</v>
      </c>
      <c r="S415" s="13" t="inlineStr">
        <is>
          <t>—</t>
        </is>
      </c>
      <c r="T415" s="15" t="n">
        <v>266.28</v>
      </c>
      <c r="U415" s="15" t="n">
        <v>48.74</v>
      </c>
      <c r="V415" s="15" t="n">
        <v>42.94</v>
      </c>
      <c r="W415" s="15" t="n">
        <v>30</v>
      </c>
      <c r="X415" s="15" t="n"/>
      <c r="Y415" s="15" t="n"/>
      <c r="Z415" s="16" t="n"/>
      <c r="AA415" s="17" t="inlineStr">
        <is>
          <t>Transplanting (Pindot) — optimal for clay-loam paddy fields</t>
        </is>
      </c>
      <c r="AB415" s="17" t="inlineStr">
        <is>
          <t>Wet Tillage (Puddling): 2 plowings + thorough harrowing under flooded condition</t>
        </is>
      </c>
      <c r="AC415" s="17" t="inlineStr">
        <is>
          <t>Continuous flooding 2–5 cm depth during vegetative stage; drain 2 weeks before harvest</t>
        </is>
      </c>
    </row>
    <row r="416" ht="21.75" customHeight="1" s="101">
      <c r="A416" s="6" t="inlineStr">
        <is>
          <t>Palay</t>
        </is>
      </c>
      <c r="B416" s="6" t="inlineStr">
        <is>
          <t>Linmansangan</t>
        </is>
      </c>
      <c r="C416" s="6" t="inlineStr">
        <is>
          <t>June</t>
        </is>
      </c>
      <c r="D416" s="6" t="inlineStr">
        <is>
          <t>2023</t>
        </is>
      </c>
      <c r="E416" s="6" t="inlineStr">
        <is>
          <t>WS 2023</t>
        </is>
      </c>
      <c r="F416" s="6" t="inlineStr">
        <is>
          <t>Planting</t>
        </is>
      </c>
      <c r="G416" s="7" t="n">
        <v>12.88</v>
      </c>
      <c r="H416" s="8" t="n">
        <v>27.25</v>
      </c>
      <c r="I416" s="8" t="n">
        <v>23.24</v>
      </c>
      <c r="J416" s="8" t="n">
        <v>32.84</v>
      </c>
      <c r="K416" s="8" t="n">
        <v>85.62</v>
      </c>
      <c r="L416" s="8" t="n">
        <v>98.18000000000001</v>
      </c>
      <c r="M416" s="8" t="n">
        <v>18.77</v>
      </c>
      <c r="N416" s="6" t="inlineStr">
        <is>
          <t>Type I – Tropical Monsoon (PAGASA)</t>
        </is>
      </c>
      <c r="O416" s="6" t="inlineStr">
        <is>
          <t>Wet</t>
        </is>
      </c>
      <c r="P416" s="6" t="inlineStr">
        <is>
          <t>Silty Clay Loam</t>
        </is>
      </c>
      <c r="Q416" s="6" t="inlineStr">
        <is>
          <t>Flat / Lowland</t>
        </is>
      </c>
      <c r="R416" s="9" t="n">
        <v>30</v>
      </c>
      <c r="S416" s="6" t="inlineStr">
        <is>
          <t>—</t>
        </is>
      </c>
      <c r="T416" s="10" t="n">
        <v>492.24</v>
      </c>
      <c r="U416" s="10" t="n">
        <v>65.5</v>
      </c>
      <c r="V416" s="10" t="n">
        <v>147.19</v>
      </c>
      <c r="W416" s="10" t="n">
        <v>129.5</v>
      </c>
      <c r="X416" s="10" t="n"/>
      <c r="Y416" s="10" t="n"/>
      <c r="Z416" s="11" t="n"/>
      <c r="AA416" s="12" t="inlineStr">
        <is>
          <t>Transplanting (Pindot) — optimal for clay-loam paddy fields</t>
        </is>
      </c>
      <c r="AB416" s="12" t="inlineStr">
        <is>
          <t>Wet Tillage (Puddling): 2 plowings + thorough harrowing under flooded condition</t>
        </is>
      </c>
      <c r="AC416" s="12" t="inlineStr">
        <is>
          <t>Continuous flooding 2–5 cm depth during vegetative stage; drain 2 weeks before harvest</t>
        </is>
      </c>
    </row>
    <row r="417" ht="21.75" customHeight="1" s="101">
      <c r="A417" s="13" t="inlineStr">
        <is>
          <t>Palay</t>
        </is>
      </c>
      <c r="B417" s="13" t="inlineStr">
        <is>
          <t>Mangkasuy</t>
        </is>
      </c>
      <c r="C417" s="13" t="inlineStr">
        <is>
          <t>June</t>
        </is>
      </c>
      <c r="D417" s="13" t="inlineStr">
        <is>
          <t>2023</t>
        </is>
      </c>
      <c r="E417" s="13" t="inlineStr">
        <is>
          <t>WS 2023</t>
        </is>
      </c>
      <c r="F417" s="13" t="inlineStr">
        <is>
          <t>Planting</t>
        </is>
      </c>
      <c r="G417" s="7" t="n">
        <v>12.88</v>
      </c>
      <c r="H417" s="8" t="n">
        <v>27.25</v>
      </c>
      <c r="I417" s="8" t="n">
        <v>23.24</v>
      </c>
      <c r="J417" s="8" t="n">
        <v>32.84</v>
      </c>
      <c r="K417" s="8" t="n">
        <v>85.62</v>
      </c>
      <c r="L417" s="8" t="n">
        <v>98.18000000000001</v>
      </c>
      <c r="M417" s="8" t="n">
        <v>18.77</v>
      </c>
      <c r="N417" s="13" t="inlineStr">
        <is>
          <t>Type I – Tropical Monsoon (PAGASA)</t>
        </is>
      </c>
      <c r="O417" s="13" t="inlineStr">
        <is>
          <t>Wet</t>
        </is>
      </c>
      <c r="P417" s="13" t="inlineStr">
        <is>
          <t>Sandy Loam</t>
        </is>
      </c>
      <c r="Q417" s="13" t="inlineStr">
        <is>
          <t>Flat / Lowland</t>
        </is>
      </c>
      <c r="R417" s="14" t="n">
        <v>30</v>
      </c>
      <c r="S417" s="13" t="inlineStr">
        <is>
          <t>Tagamusing River</t>
        </is>
      </c>
      <c r="T417" s="15" t="n">
        <v>802.2</v>
      </c>
      <c r="U417" s="15" t="n">
        <v>65.5</v>
      </c>
      <c r="V417" s="15" t="n">
        <v>164</v>
      </c>
      <c r="W417" s="15" t="n">
        <v>262</v>
      </c>
      <c r="X417" s="15" t="n"/>
      <c r="Y417" s="15" t="n"/>
      <c r="Z417" s="16" t="n"/>
      <c r="AA417" s="17" t="inlineStr">
        <is>
          <t>Transplanting (Pindot) or Direct Seeding (Pinaghandaan)</t>
        </is>
      </c>
      <c r="AB417" s="17" t="inlineStr">
        <is>
          <t>Conventional Tillage: 2 plowings + 2 harrowings; soil workable when moist</t>
        </is>
      </c>
      <c r="AC417" s="17" t="inlineStr">
        <is>
          <t>Intermittent irrigation (Alternate Wetting and Drying — AWD); moderate retention</t>
        </is>
      </c>
    </row>
    <row r="418" ht="21.75" customHeight="1" s="101">
      <c r="A418" s="6" t="inlineStr">
        <is>
          <t>Palay</t>
        </is>
      </c>
      <c r="B418" s="6" t="inlineStr">
        <is>
          <t>Moreno</t>
        </is>
      </c>
      <c r="C418" s="6" t="inlineStr">
        <is>
          <t>June</t>
        </is>
      </c>
      <c r="D418" s="6" t="inlineStr">
        <is>
          <t>2023</t>
        </is>
      </c>
      <c r="E418" s="6" t="inlineStr">
        <is>
          <t>WS 2023</t>
        </is>
      </c>
      <c r="F418" s="6" t="inlineStr">
        <is>
          <t>Planting</t>
        </is>
      </c>
      <c r="G418" s="7" t="n">
        <v>12.88</v>
      </c>
      <c r="H418" s="8" t="n">
        <v>27.25</v>
      </c>
      <c r="I418" s="8" t="n">
        <v>23.24</v>
      </c>
      <c r="J418" s="8" t="n">
        <v>32.84</v>
      </c>
      <c r="K418" s="8" t="n">
        <v>85.62</v>
      </c>
      <c r="L418" s="8" t="n">
        <v>98.18000000000001</v>
      </c>
      <c r="M418" s="8" t="n">
        <v>18.77</v>
      </c>
      <c r="N418" s="6" t="inlineStr">
        <is>
          <t>Type I – Tropical Monsoon (PAGASA)</t>
        </is>
      </c>
      <c r="O418" s="6" t="inlineStr">
        <is>
          <t>Wet</t>
        </is>
      </c>
      <c r="P418" s="6" t="inlineStr">
        <is>
          <t>Sandy Loam</t>
        </is>
      </c>
      <c r="Q418" s="6" t="inlineStr">
        <is>
          <t>Moderately Sloping / Highland</t>
        </is>
      </c>
      <c r="R418" s="9" t="n">
        <v>90</v>
      </c>
      <c r="S418" s="6" t="inlineStr">
        <is>
          <t>Alibeng River</t>
        </is>
      </c>
      <c r="T418" s="10" t="n">
        <v>641.76</v>
      </c>
      <c r="U418" s="10" t="n">
        <v>65.5</v>
      </c>
      <c r="V418" s="10" t="n">
        <v>130.56</v>
      </c>
      <c r="W418" s="10" t="n">
        <v>116.6</v>
      </c>
      <c r="X418" s="10" t="n"/>
      <c r="Y418" s="10" t="n"/>
      <c r="Z418" s="11" t="n"/>
      <c r="AA418" s="12" t="inlineStr">
        <is>
          <t>Transplanting (Pindot) or Direct Seeding (Pinaghandaan)</t>
        </is>
      </c>
      <c r="AB418" s="12" t="inlineStr">
        <is>
          <t>Conventional Tillage: 2 plowings + 2 harrowings; soil workable when moist</t>
        </is>
      </c>
      <c r="AC418" s="12" t="inlineStr">
        <is>
          <t>Intermittent irrigation (Alternate Wetting and Drying — AWD); moderate retention; terrace or bund-assisted water retention essential on slopes</t>
        </is>
      </c>
    </row>
    <row r="419" ht="21.75" customHeight="1" s="101">
      <c r="A419" s="13" t="inlineStr">
        <is>
          <t>Palay</t>
        </is>
      </c>
      <c r="B419" s="13" t="inlineStr">
        <is>
          <t>Pasileng Norte</t>
        </is>
      </c>
      <c r="C419" s="13" t="inlineStr">
        <is>
          <t>June</t>
        </is>
      </c>
      <c r="D419" s="13" t="inlineStr">
        <is>
          <t>2023</t>
        </is>
      </c>
      <c r="E419" s="13" t="inlineStr">
        <is>
          <t>WS 2023</t>
        </is>
      </c>
      <c r="F419" s="13" t="inlineStr">
        <is>
          <t>Planting</t>
        </is>
      </c>
      <c r="G419" s="7" t="n">
        <v>12.88</v>
      </c>
      <c r="H419" s="8" t="n">
        <v>27.25</v>
      </c>
      <c r="I419" s="8" t="n">
        <v>23.24</v>
      </c>
      <c r="J419" s="8" t="n">
        <v>32.84</v>
      </c>
      <c r="K419" s="8" t="n">
        <v>85.62</v>
      </c>
      <c r="L419" s="8" t="n">
        <v>98.18000000000001</v>
      </c>
      <c r="M419" s="8" t="n">
        <v>18.77</v>
      </c>
      <c r="N419" s="13" t="inlineStr">
        <is>
          <t>Type I – Tropical Monsoon (PAGASA)</t>
        </is>
      </c>
      <c r="O419" s="13" t="inlineStr">
        <is>
          <t>Wet</t>
        </is>
      </c>
      <c r="P419" s="13" t="inlineStr">
        <is>
          <t>Sandy Loam</t>
        </is>
      </c>
      <c r="Q419" s="13" t="inlineStr">
        <is>
          <t>Flat / Lowland</t>
        </is>
      </c>
      <c r="R419" s="14" t="n">
        <v>30</v>
      </c>
      <c r="S419" s="13" t="inlineStr">
        <is>
          <t>Tagamusing River</t>
        </is>
      </c>
      <c r="T419" s="15" t="n">
        <v>140.28</v>
      </c>
      <c r="U419" s="15" t="n">
        <v>65.5</v>
      </c>
      <c r="V419" s="15" t="n">
        <v>25.35</v>
      </c>
      <c r="W419" s="15" t="n">
        <v>2.65</v>
      </c>
      <c r="X419" s="15" t="n"/>
      <c r="Y419" s="15" t="n"/>
      <c r="Z419" s="16" t="n"/>
      <c r="AA419" s="17" t="inlineStr">
        <is>
          <t>Transplanting (Pindot) or Direct Seeding (Pinaghandaan)</t>
        </is>
      </c>
      <c r="AB419" s="17" t="inlineStr">
        <is>
          <t>Conventional Tillage: 2 plowings + 2 harrowings; soil workable when moist</t>
        </is>
      </c>
      <c r="AC419" s="17" t="inlineStr">
        <is>
          <t>Intermittent irrigation (Alternate Wetting and Drying — AWD); moderate retention</t>
        </is>
      </c>
    </row>
    <row r="420" ht="21.75" customHeight="1" s="101">
      <c r="A420" s="6" t="inlineStr">
        <is>
          <t>Palay</t>
        </is>
      </c>
      <c r="B420" s="6" t="inlineStr">
        <is>
          <t>Pasileng Sur</t>
        </is>
      </c>
      <c r="C420" s="6" t="inlineStr">
        <is>
          <t>June</t>
        </is>
      </c>
      <c r="D420" s="6" t="inlineStr">
        <is>
          <t>2023</t>
        </is>
      </c>
      <c r="E420" s="6" t="inlineStr">
        <is>
          <t>WS 2023</t>
        </is>
      </c>
      <c r="F420" s="6" t="inlineStr">
        <is>
          <t>Planting</t>
        </is>
      </c>
      <c r="G420" s="7" t="n">
        <v>12.88</v>
      </c>
      <c r="H420" s="8" t="n">
        <v>27.25</v>
      </c>
      <c r="I420" s="8" t="n">
        <v>23.24</v>
      </c>
      <c r="J420" s="8" t="n">
        <v>32.84</v>
      </c>
      <c r="K420" s="8" t="n">
        <v>85.62</v>
      </c>
      <c r="L420" s="8" t="n">
        <v>98.18000000000001</v>
      </c>
      <c r="M420" s="8" t="n">
        <v>18.77</v>
      </c>
      <c r="N420" s="6" t="inlineStr">
        <is>
          <t>Type I – Tropical Monsoon (PAGASA)</t>
        </is>
      </c>
      <c r="O420" s="6" t="inlineStr">
        <is>
          <t>Wet</t>
        </is>
      </c>
      <c r="P420" s="6" t="inlineStr">
        <is>
          <t>Sandy Loam</t>
        </is>
      </c>
      <c r="Q420" s="6" t="inlineStr">
        <is>
          <t>Flat / Lowland</t>
        </is>
      </c>
      <c r="R420" s="9" t="n">
        <v>30</v>
      </c>
      <c r="S420" s="6" t="inlineStr">
        <is>
          <t>Tagamusing River</t>
        </is>
      </c>
      <c r="T420" s="10" t="n">
        <v>414.96</v>
      </c>
      <c r="U420" s="10" t="n">
        <v>130.4</v>
      </c>
      <c r="V420" s="10" t="n">
        <v>36.61</v>
      </c>
      <c r="W420" s="10" t="n">
        <v>29.1</v>
      </c>
      <c r="X420" s="10" t="n"/>
      <c r="Y420" s="10" t="n"/>
      <c r="Z420" s="11" t="n"/>
      <c r="AA420" s="12" t="inlineStr">
        <is>
          <t>Transplanting (Pindot) or Direct Seeding (Pinaghandaan)</t>
        </is>
      </c>
      <c r="AB420" s="12" t="inlineStr">
        <is>
          <t>Conventional Tillage: 2 plowings + 2 harrowings; soil workable when moist</t>
        </is>
      </c>
      <c r="AC420" s="12" t="inlineStr">
        <is>
          <t>Intermittent irrigation (Alternate Wetting and Drying — AWD); moderate retention</t>
        </is>
      </c>
    </row>
    <row r="421" ht="21.75" customHeight="1" s="101">
      <c r="A421" s="13" t="inlineStr">
        <is>
          <t>Palay</t>
        </is>
      </c>
      <c r="B421" s="13" t="inlineStr">
        <is>
          <t>San Felipe Central</t>
        </is>
      </c>
      <c r="C421" s="13" t="inlineStr">
        <is>
          <t>June</t>
        </is>
      </c>
      <c r="D421" s="13" t="inlineStr">
        <is>
          <t>2023</t>
        </is>
      </c>
      <c r="E421" s="13" t="inlineStr">
        <is>
          <t>WS 2023</t>
        </is>
      </c>
      <c r="F421" s="13" t="inlineStr">
        <is>
          <t>Planting</t>
        </is>
      </c>
      <c r="G421" s="7" t="n">
        <v>12.88</v>
      </c>
      <c r="H421" s="8" t="n">
        <v>27.25</v>
      </c>
      <c r="I421" s="8" t="n">
        <v>23.24</v>
      </c>
      <c r="J421" s="8" t="n">
        <v>32.84</v>
      </c>
      <c r="K421" s="8" t="n">
        <v>85.62</v>
      </c>
      <c r="L421" s="8" t="n">
        <v>98.18000000000001</v>
      </c>
      <c r="M421" s="8" t="n">
        <v>18.77</v>
      </c>
      <c r="N421" s="13" t="inlineStr">
        <is>
          <t>Type I – Tropical Monsoon (PAGASA)</t>
        </is>
      </c>
      <c r="O421" s="13" t="inlineStr">
        <is>
          <t>Wet</t>
        </is>
      </c>
      <c r="P421" s="13" t="inlineStr">
        <is>
          <t>Sandy Loam</t>
        </is>
      </c>
      <c r="Q421" s="13" t="inlineStr">
        <is>
          <t>Flat / Lowland</t>
        </is>
      </c>
      <c r="R421" s="14" t="n">
        <v>30</v>
      </c>
      <c r="S421" s="13" t="inlineStr">
        <is>
          <t>—</t>
        </is>
      </c>
      <c r="T421" s="15" t="n">
        <v>452.76</v>
      </c>
      <c r="U421" s="15" t="n">
        <v>130.4</v>
      </c>
      <c r="V421" s="15" t="n">
        <v>37.71</v>
      </c>
      <c r="W421" s="15" t="n">
        <v>62</v>
      </c>
      <c r="X421" s="15" t="n"/>
      <c r="Y421" s="15" t="n"/>
      <c r="Z421" s="16" t="n"/>
      <c r="AA421" s="17" t="inlineStr">
        <is>
          <t>Transplanting (Pindot) or Direct Seeding (Pinaghandaan)</t>
        </is>
      </c>
      <c r="AB421" s="17" t="inlineStr">
        <is>
          <t>Conventional Tillage: 2 plowings + 2 harrowings; soil workable when moist</t>
        </is>
      </c>
      <c r="AC421" s="17" t="inlineStr">
        <is>
          <t>Intermittent irrigation (Alternate Wetting and Drying — AWD); moderate retention</t>
        </is>
      </c>
    </row>
    <row r="422" ht="21.75" customHeight="1" s="101">
      <c r="A422" s="6" t="inlineStr">
        <is>
          <t>Palay</t>
        </is>
      </c>
      <c r="B422" s="6" t="inlineStr">
        <is>
          <t>San Felipe Sur</t>
        </is>
      </c>
      <c r="C422" s="6" t="inlineStr">
        <is>
          <t>June</t>
        </is>
      </c>
      <c r="D422" s="6" t="inlineStr">
        <is>
          <t>2023</t>
        </is>
      </c>
      <c r="E422" s="6" t="inlineStr">
        <is>
          <t>WS 2023</t>
        </is>
      </c>
      <c r="F422" s="6" t="inlineStr">
        <is>
          <t>Planting</t>
        </is>
      </c>
      <c r="G422" s="7" t="n">
        <v>12.88</v>
      </c>
      <c r="H422" s="8" t="n">
        <v>27.25</v>
      </c>
      <c r="I422" s="8" t="n">
        <v>23.24</v>
      </c>
      <c r="J422" s="8" t="n">
        <v>32.84</v>
      </c>
      <c r="K422" s="8" t="n">
        <v>85.62</v>
      </c>
      <c r="L422" s="8" t="n">
        <v>98.18000000000001</v>
      </c>
      <c r="M422" s="8" t="n">
        <v>18.77</v>
      </c>
      <c r="N422" s="6" t="inlineStr">
        <is>
          <t>Type I – Tropical Monsoon (PAGASA)</t>
        </is>
      </c>
      <c r="O422" s="6" t="inlineStr">
        <is>
          <t>Wet</t>
        </is>
      </c>
      <c r="P422" s="6" t="inlineStr">
        <is>
          <t>Sandy Loam</t>
        </is>
      </c>
      <c r="Q422" s="6" t="inlineStr">
        <is>
          <t>Flat / Lowland</t>
        </is>
      </c>
      <c r="R422" s="9" t="n">
        <v>30</v>
      </c>
      <c r="S422" s="6" t="inlineStr">
        <is>
          <t>Tagamusing River</t>
        </is>
      </c>
      <c r="T422" s="10" t="n">
        <v>504</v>
      </c>
      <c r="U422" s="10" t="n">
        <v>130.4</v>
      </c>
      <c r="V422" s="10" t="n">
        <v>38.87</v>
      </c>
      <c r="W422" s="10" t="n">
        <v>50.5</v>
      </c>
      <c r="X422" s="10" t="n"/>
      <c r="Y422" s="10" t="n"/>
      <c r="Z422" s="11" t="n"/>
      <c r="AA422" s="12" t="inlineStr">
        <is>
          <t>Transplanting (Pindot) or Direct Seeding (Pinaghandaan)</t>
        </is>
      </c>
      <c r="AB422" s="12" t="inlineStr">
        <is>
          <t>Conventional Tillage: 2 plowings + 2 harrowings; soil workable when moist</t>
        </is>
      </c>
      <c r="AC422" s="12" t="inlineStr">
        <is>
          <t>Intermittent irrigation (Alternate Wetting and Drying — AWD); moderate retention</t>
        </is>
      </c>
    </row>
    <row r="423" ht="21.75" customHeight="1" s="101">
      <c r="A423" s="13" t="inlineStr">
        <is>
          <t>Palay</t>
        </is>
      </c>
      <c r="B423" s="13" t="inlineStr">
        <is>
          <t>San Pablo</t>
        </is>
      </c>
      <c r="C423" s="13" t="inlineStr">
        <is>
          <t>June</t>
        </is>
      </c>
      <c r="D423" s="13" t="inlineStr">
        <is>
          <t>2023</t>
        </is>
      </c>
      <c r="E423" s="13" t="inlineStr">
        <is>
          <t>WS 2023</t>
        </is>
      </c>
      <c r="F423" s="13" t="inlineStr">
        <is>
          <t>Planting</t>
        </is>
      </c>
      <c r="G423" s="7" t="n">
        <v>12.88</v>
      </c>
      <c r="H423" s="8" t="n">
        <v>27.25</v>
      </c>
      <c r="I423" s="8" t="n">
        <v>23.24</v>
      </c>
      <c r="J423" s="8" t="n">
        <v>32.84</v>
      </c>
      <c r="K423" s="8" t="n">
        <v>85.62</v>
      </c>
      <c r="L423" s="8" t="n">
        <v>98.18000000000001</v>
      </c>
      <c r="M423" s="8" t="n">
        <v>18.77</v>
      </c>
      <c r="N423" s="13" t="inlineStr">
        <is>
          <t>Type I – Tropical Monsoon (PAGASA)</t>
        </is>
      </c>
      <c r="O423" s="13" t="inlineStr">
        <is>
          <t>Wet</t>
        </is>
      </c>
      <c r="P423" s="13" t="inlineStr">
        <is>
          <t>Sandy Loam</t>
        </is>
      </c>
      <c r="Q423" s="13" t="inlineStr">
        <is>
          <t>Flat / Lowland</t>
        </is>
      </c>
      <c r="R423" s="14" t="n">
        <v>30</v>
      </c>
      <c r="S423" s="13" t="inlineStr">
        <is>
          <t>San Pablo Creek</t>
        </is>
      </c>
      <c r="T423" s="15" t="n">
        <v>215.04</v>
      </c>
      <c r="U423" s="15" t="n">
        <v>53.09</v>
      </c>
      <c r="V423" s="15" t="n">
        <v>38.17</v>
      </c>
      <c r="W423" s="15" t="n">
        <v>30.5</v>
      </c>
      <c r="X423" s="15" t="n"/>
      <c r="Y423" s="15" t="n"/>
      <c r="Z423" s="16" t="n"/>
      <c r="AA423" s="17" t="inlineStr">
        <is>
          <t>Transplanting (Pindot) or Direct Seeding (Pinaghandaan)</t>
        </is>
      </c>
      <c r="AB423" s="17" t="inlineStr">
        <is>
          <t>Conventional Tillage: 2 plowings + 2 harrowings; soil workable when moist</t>
        </is>
      </c>
      <c r="AC423" s="17" t="inlineStr">
        <is>
          <t>Intermittent irrigation (Alternate Wetting and Drying — AWD); moderate retention</t>
        </is>
      </c>
    </row>
    <row r="424" ht="21.75" customHeight="1" s="101">
      <c r="A424" s="6" t="inlineStr">
        <is>
          <t>Palay</t>
        </is>
      </c>
      <c r="B424" s="6" t="inlineStr">
        <is>
          <t>Santiago</t>
        </is>
      </c>
      <c r="C424" s="6" t="inlineStr">
        <is>
          <t>June</t>
        </is>
      </c>
      <c r="D424" s="6" t="inlineStr">
        <is>
          <t>2023</t>
        </is>
      </c>
      <c r="E424" s="6" t="inlineStr">
        <is>
          <t>WS 2023</t>
        </is>
      </c>
      <c r="F424" s="6" t="inlineStr">
        <is>
          <t>Planting</t>
        </is>
      </c>
      <c r="G424" s="7" t="n">
        <v>12.88</v>
      </c>
      <c r="H424" s="8" t="n">
        <v>27.25</v>
      </c>
      <c r="I424" s="8" t="n">
        <v>23.24</v>
      </c>
      <c r="J424" s="8" t="n">
        <v>32.84</v>
      </c>
      <c r="K424" s="8" t="n">
        <v>85.62</v>
      </c>
      <c r="L424" s="8" t="n">
        <v>98.18000000000001</v>
      </c>
      <c r="M424" s="8" t="n">
        <v>18.77</v>
      </c>
      <c r="N424" s="6" t="inlineStr">
        <is>
          <t>Type I – Tropical Monsoon (PAGASA)</t>
        </is>
      </c>
      <c r="O424" s="6" t="inlineStr">
        <is>
          <t>Wet</t>
        </is>
      </c>
      <c r="P424" s="6" t="inlineStr">
        <is>
          <t>Silty Clay Loam</t>
        </is>
      </c>
      <c r="Q424" s="6" t="inlineStr">
        <is>
          <t>Flat / Lowland</t>
        </is>
      </c>
      <c r="R424" s="9" t="n">
        <v>30</v>
      </c>
      <c r="S424" s="6" t="inlineStr">
        <is>
          <t>—</t>
        </is>
      </c>
      <c r="T424" s="10" t="n">
        <v>283.08</v>
      </c>
      <c r="U424" s="10" t="n">
        <v>130.4</v>
      </c>
      <c r="V424" s="10" t="n">
        <v>116.29</v>
      </c>
      <c r="W424" s="10" t="n">
        <v>144.9</v>
      </c>
      <c r="X424" s="10" t="n"/>
      <c r="Y424" s="10" t="n"/>
      <c r="Z424" s="11" t="n"/>
      <c r="AA424" s="12" t="inlineStr">
        <is>
          <t>Transplanting (Pindot) — optimal for clay-loam paddy fields</t>
        </is>
      </c>
      <c r="AB424" s="12" t="inlineStr">
        <is>
          <t>Wet Tillage (Puddling): 2 plowings + thorough harrowing under flooded condition</t>
        </is>
      </c>
      <c r="AC424" s="12" t="inlineStr">
        <is>
          <t>Continuous flooding 2–5 cm depth during vegetative stage; drain 2 weeks before harvest</t>
        </is>
      </c>
    </row>
    <row r="425" ht="21.75" customHeight="1" s="101">
      <c r="A425" s="13" t="inlineStr">
        <is>
          <t>Palay</t>
        </is>
      </c>
      <c r="B425" s="13" t="inlineStr">
        <is>
          <t>Sta. Catalina</t>
        </is>
      </c>
      <c r="C425" s="13" t="inlineStr">
        <is>
          <t>June</t>
        </is>
      </c>
      <c r="D425" s="13" t="inlineStr">
        <is>
          <t>2023</t>
        </is>
      </c>
      <c r="E425" s="13" t="inlineStr">
        <is>
          <t>WS 2023</t>
        </is>
      </c>
      <c r="F425" s="13" t="inlineStr">
        <is>
          <t>Planting</t>
        </is>
      </c>
      <c r="G425" s="7" t="n">
        <v>12.88</v>
      </c>
      <c r="H425" s="8" t="n">
        <v>27.25</v>
      </c>
      <c r="I425" s="8" t="n">
        <v>23.24</v>
      </c>
      <c r="J425" s="8" t="n">
        <v>32.84</v>
      </c>
      <c r="K425" s="8" t="n">
        <v>85.62</v>
      </c>
      <c r="L425" s="8" t="n">
        <v>98.18000000000001</v>
      </c>
      <c r="M425" s="8" t="n">
        <v>18.77</v>
      </c>
      <c r="N425" s="13" t="inlineStr">
        <is>
          <t>Type I – Tropical Monsoon (PAGASA)</t>
        </is>
      </c>
      <c r="O425" s="13" t="inlineStr">
        <is>
          <t>Wet</t>
        </is>
      </c>
      <c r="P425" s="13" t="inlineStr">
        <is>
          <t>Fine Sand / Sandy Loam</t>
        </is>
      </c>
      <c r="Q425" s="13" t="inlineStr">
        <is>
          <t>Moderately Sloping / Highland</t>
        </is>
      </c>
      <c r="R425" s="14" t="n">
        <v>90</v>
      </c>
      <c r="S425" s="13" t="inlineStr">
        <is>
          <t>—</t>
        </is>
      </c>
      <c r="T425" s="15" t="n">
        <v>709.8</v>
      </c>
      <c r="U425" s="15" t="n">
        <v>65.5</v>
      </c>
      <c r="V425" s="15" t="n">
        <v>158.1</v>
      </c>
      <c r="W425" s="15" t="n">
        <v>180</v>
      </c>
      <c r="X425" s="15" t="n"/>
      <c r="Y425" s="15" t="n"/>
      <c r="Z425" s="16" t="n"/>
      <c r="AA425" s="17" t="inlineStr">
        <is>
          <t>Transplanting (Pindot)</t>
        </is>
      </c>
      <c r="AB425" s="17" t="inlineStr">
        <is>
          <t>Minimum Tillage (avoid compaction; sandy structure fragile)</t>
        </is>
      </c>
      <c r="AC425" s="17" t="inlineStr">
        <is>
          <t>Continuous flooding or frequent irrigation; high percolation risk; terrace or bund-assisted water retention essential on slopes</t>
        </is>
      </c>
    </row>
    <row r="426" ht="21.75" customHeight="1" s="101">
      <c r="A426" s="6" t="inlineStr">
        <is>
          <t>Palay</t>
        </is>
      </c>
      <c r="B426" s="6" t="inlineStr">
        <is>
          <t>Sta. Maria Norte</t>
        </is>
      </c>
      <c r="C426" s="6" t="inlineStr">
        <is>
          <t>June</t>
        </is>
      </c>
      <c r="D426" s="6" t="inlineStr">
        <is>
          <t>2023</t>
        </is>
      </c>
      <c r="E426" s="6" t="inlineStr">
        <is>
          <t>WS 2023</t>
        </is>
      </c>
      <c r="F426" s="6" t="inlineStr">
        <is>
          <t>Planting</t>
        </is>
      </c>
      <c r="G426" s="7" t="n">
        <v>12.88</v>
      </c>
      <c r="H426" s="8" t="n">
        <v>27.25</v>
      </c>
      <c r="I426" s="8" t="n">
        <v>23.24</v>
      </c>
      <c r="J426" s="8" t="n">
        <v>32.84</v>
      </c>
      <c r="K426" s="8" t="n">
        <v>85.62</v>
      </c>
      <c r="L426" s="8" t="n">
        <v>98.18000000000001</v>
      </c>
      <c r="M426" s="8" t="n">
        <v>18.77</v>
      </c>
      <c r="N426" s="6" t="inlineStr">
        <is>
          <t>Type I – Tropical Monsoon (PAGASA)</t>
        </is>
      </c>
      <c r="O426" s="6" t="inlineStr">
        <is>
          <t>Wet</t>
        </is>
      </c>
      <c r="P426" s="6" t="inlineStr">
        <is>
          <t>Sandy Loam</t>
        </is>
      </c>
      <c r="Q426" s="6" t="inlineStr">
        <is>
          <t>Flat / Lowland</t>
        </is>
      </c>
      <c r="R426" s="9" t="n">
        <v>30</v>
      </c>
      <c r="S426" s="6" t="inlineStr">
        <is>
          <t>Tagamusing River</t>
        </is>
      </c>
      <c r="T426" s="10" t="n">
        <v>157.08</v>
      </c>
      <c r="U426" s="10" t="n">
        <v>30.49</v>
      </c>
      <c r="V426" s="10" t="n">
        <v>39.11</v>
      </c>
      <c r="W426" s="10" t="n">
        <v>43.5</v>
      </c>
      <c r="X426" s="10" t="n"/>
      <c r="Y426" s="10" t="n"/>
      <c r="Z426" s="11" t="n"/>
      <c r="AA426" s="12" t="inlineStr">
        <is>
          <t>Transplanting (Pindot) or Direct Seeding (Pinaghandaan)</t>
        </is>
      </c>
      <c r="AB426" s="12" t="inlineStr">
        <is>
          <t>Conventional Tillage: 2 plowings + 2 harrowings; soil workable when moist</t>
        </is>
      </c>
      <c r="AC426" s="12" t="inlineStr">
        <is>
          <t>Intermittent irrigation (Alternate Wetting and Drying — AWD); moderate retention</t>
        </is>
      </c>
    </row>
    <row r="427" ht="21.75" customHeight="1" s="101">
      <c r="A427" s="13" t="inlineStr">
        <is>
          <t>Palay</t>
        </is>
      </c>
      <c r="B427" s="13" t="inlineStr">
        <is>
          <t>Sumabnit</t>
        </is>
      </c>
      <c r="C427" s="13" t="inlineStr">
        <is>
          <t>June</t>
        </is>
      </c>
      <c r="D427" s="13" t="inlineStr">
        <is>
          <t>2023</t>
        </is>
      </c>
      <c r="E427" s="13" t="inlineStr">
        <is>
          <t>WS 2023</t>
        </is>
      </c>
      <c r="F427" s="13" t="inlineStr">
        <is>
          <t>Planting</t>
        </is>
      </c>
      <c r="G427" s="7" t="n">
        <v>12.88</v>
      </c>
      <c r="H427" s="8" t="n">
        <v>27.25</v>
      </c>
      <c r="I427" s="8" t="n">
        <v>23.24</v>
      </c>
      <c r="J427" s="8" t="n">
        <v>32.84</v>
      </c>
      <c r="K427" s="8" t="n">
        <v>85.62</v>
      </c>
      <c r="L427" s="8" t="n">
        <v>98.18000000000001</v>
      </c>
      <c r="M427" s="8" t="n">
        <v>18.77</v>
      </c>
      <c r="N427" s="13" t="inlineStr">
        <is>
          <t>Type I – Tropical Monsoon (PAGASA)</t>
        </is>
      </c>
      <c r="O427" s="13" t="inlineStr">
        <is>
          <t>Wet</t>
        </is>
      </c>
      <c r="P427" s="13" t="inlineStr">
        <is>
          <t>Silty Clay Loam / Fine Sandy Loam</t>
        </is>
      </c>
      <c r="Q427" s="13" t="inlineStr">
        <is>
          <t>Flat / Lowland</t>
        </is>
      </c>
      <c r="R427" s="14" t="n">
        <v>30</v>
      </c>
      <c r="S427" s="13" t="inlineStr">
        <is>
          <t>Tagamusing River</t>
        </is>
      </c>
      <c r="T427" s="15" t="n">
        <v>406.56</v>
      </c>
      <c r="U427" s="15" t="n">
        <v>130.4</v>
      </c>
      <c r="V427" s="15" t="n">
        <v>116.6</v>
      </c>
      <c r="W427" s="15" t="n">
        <v>123.7</v>
      </c>
      <c r="X427" s="15" t="n"/>
      <c r="Y427" s="15" t="n"/>
      <c r="Z427" s="16" t="n"/>
      <c r="AA427" s="17" t="inlineStr">
        <is>
          <t>Transplanting (Pindot)</t>
        </is>
      </c>
      <c r="AB427" s="17" t="inlineStr">
        <is>
          <t>Minimum Tillage (avoid compaction; sandy structure fragile)</t>
        </is>
      </c>
      <c r="AC427" s="17" t="inlineStr">
        <is>
          <t>Continuous flooding or frequent irrigation; high percolation risk</t>
        </is>
      </c>
    </row>
    <row r="428" ht="21.75" customHeight="1" s="101">
      <c r="A428" s="6" t="inlineStr">
        <is>
          <t>Palay</t>
        </is>
      </c>
      <c r="B428" s="6" t="inlineStr">
        <is>
          <t>Tabuyoc</t>
        </is>
      </c>
      <c r="C428" s="6" t="inlineStr">
        <is>
          <t>June</t>
        </is>
      </c>
      <c r="D428" s="6" t="inlineStr">
        <is>
          <t>2023</t>
        </is>
      </c>
      <c r="E428" s="6" t="inlineStr">
        <is>
          <t>WS 2023</t>
        </is>
      </c>
      <c r="F428" s="6" t="inlineStr">
        <is>
          <t>Planting</t>
        </is>
      </c>
      <c r="G428" s="7" t="n">
        <v>12.88</v>
      </c>
      <c r="H428" s="8" t="n">
        <v>27.25</v>
      </c>
      <c r="I428" s="8" t="n">
        <v>23.24</v>
      </c>
      <c r="J428" s="8" t="n">
        <v>32.84</v>
      </c>
      <c r="K428" s="8" t="n">
        <v>85.62</v>
      </c>
      <c r="L428" s="8" t="n">
        <v>98.18000000000001</v>
      </c>
      <c r="M428" s="8" t="n">
        <v>18.77</v>
      </c>
      <c r="N428" s="6" t="inlineStr">
        <is>
          <t>Type I – Tropical Monsoon (PAGASA)</t>
        </is>
      </c>
      <c r="O428" s="6" t="inlineStr">
        <is>
          <t>Wet</t>
        </is>
      </c>
      <c r="P428" s="6" t="inlineStr">
        <is>
          <t>Silty Clay Loam</t>
        </is>
      </c>
      <c r="Q428" s="6" t="inlineStr">
        <is>
          <t>Flat / Lowland</t>
        </is>
      </c>
      <c r="R428" s="9" t="n">
        <v>30</v>
      </c>
      <c r="S428" s="6" t="inlineStr">
        <is>
          <t>—</t>
        </is>
      </c>
      <c r="T428" s="10" t="n">
        <v>277.2</v>
      </c>
      <c r="U428" s="10" t="n">
        <v>130.4</v>
      </c>
      <c r="V428" s="10" t="n">
        <v>80.19</v>
      </c>
      <c r="W428" s="10" t="n">
        <v>5</v>
      </c>
      <c r="X428" s="10" t="n"/>
      <c r="Y428" s="10" t="n"/>
      <c r="Z428" s="11" t="n"/>
      <c r="AA428" s="12" t="inlineStr">
        <is>
          <t>Transplanting (Pindot) — optimal for clay-loam paddy fields</t>
        </is>
      </c>
      <c r="AB428" s="12" t="inlineStr">
        <is>
          <t>Wet Tillage (Puddling): 2 plowings + thorough harrowing under flooded condition</t>
        </is>
      </c>
      <c r="AC428" s="12" t="inlineStr">
        <is>
          <t>Continuous flooding 2–5 cm depth during vegetative stage; drain 2 weeks before harvest</t>
        </is>
      </c>
    </row>
    <row r="429" ht="21.75" customHeight="1" s="101">
      <c r="A429" s="13" t="inlineStr">
        <is>
          <t>Palay</t>
        </is>
      </c>
      <c r="B429" s="13" t="inlineStr">
        <is>
          <t>Vacante</t>
        </is>
      </c>
      <c r="C429" s="13" t="inlineStr">
        <is>
          <t>June</t>
        </is>
      </c>
      <c r="D429" s="13" t="inlineStr">
        <is>
          <t>2023</t>
        </is>
      </c>
      <c r="E429" s="13" t="inlineStr">
        <is>
          <t>WS 2023</t>
        </is>
      </c>
      <c r="F429" s="13" t="inlineStr">
        <is>
          <t>Planting</t>
        </is>
      </c>
      <c r="G429" s="7" t="n">
        <v>12.88</v>
      </c>
      <c r="H429" s="8" t="n">
        <v>27.25</v>
      </c>
      <c r="I429" s="8" t="n">
        <v>23.24</v>
      </c>
      <c r="J429" s="8" t="n">
        <v>32.84</v>
      </c>
      <c r="K429" s="8" t="n">
        <v>85.62</v>
      </c>
      <c r="L429" s="8" t="n">
        <v>98.18000000000001</v>
      </c>
      <c r="M429" s="8" t="n">
        <v>18.77</v>
      </c>
      <c r="N429" s="13" t="inlineStr">
        <is>
          <t>Type I – Tropical Monsoon (PAGASA)</t>
        </is>
      </c>
      <c r="O429" s="13" t="inlineStr">
        <is>
          <t>Wet</t>
        </is>
      </c>
      <c r="P429" s="13" t="inlineStr">
        <is>
          <t>Silty Clay Loam</t>
        </is>
      </c>
      <c r="Q429" s="13" t="inlineStr">
        <is>
          <t>Flat / Lowland</t>
        </is>
      </c>
      <c r="R429" s="14" t="n">
        <v>30</v>
      </c>
      <c r="S429" s="13" t="inlineStr">
        <is>
          <t>Aloragat River</t>
        </is>
      </c>
      <c r="T429" s="15" t="n">
        <v>484.68</v>
      </c>
      <c r="U429" s="15" t="n">
        <v>24.5</v>
      </c>
      <c r="V429" s="15" t="n">
        <v>116.6</v>
      </c>
      <c r="W429" s="15" t="n">
        <v>81</v>
      </c>
      <c r="X429" s="15" t="n"/>
      <c r="Y429" s="15" t="n"/>
      <c r="Z429" s="16" t="n"/>
      <c r="AA429" s="17" t="inlineStr">
        <is>
          <t>Transplanting (Pindot) — optimal for clay-loam paddy fields</t>
        </is>
      </c>
      <c r="AB429" s="17" t="inlineStr">
        <is>
          <t>Wet Tillage (Puddling): 2 plowings + thorough harrowing under flooded condition</t>
        </is>
      </c>
      <c r="AC429" s="17" t="inlineStr">
        <is>
          <t>Continuous flooding 2–5 cm depth during vegetative stage; drain 2 weeks before harvest</t>
        </is>
      </c>
    </row>
    <row r="430" ht="21.75" customHeight="1" s="101">
      <c r="A430" s="6" t="inlineStr">
        <is>
          <t>Palay</t>
        </is>
      </c>
      <c r="B430" s="6" t="inlineStr">
        <is>
          <t>Pasileng Norte</t>
        </is>
      </c>
      <c r="C430" s="6" t="inlineStr">
        <is>
          <t>October</t>
        </is>
      </c>
      <c r="D430" s="6" t="inlineStr">
        <is>
          <t>2016</t>
        </is>
      </c>
      <c r="E430" s="6" t="inlineStr">
        <is>
          <t>WS 2016</t>
        </is>
      </c>
      <c r="F430" s="6" t="inlineStr">
        <is>
          <t>Harvest</t>
        </is>
      </c>
      <c r="G430" s="7" t="n">
        <v>16.23</v>
      </c>
      <c r="H430" s="8" t="n">
        <v>26</v>
      </c>
      <c r="I430" s="8" t="n">
        <v>21.16</v>
      </c>
      <c r="J430" s="8" t="n">
        <v>32.03</v>
      </c>
      <c r="K430" s="8" t="n">
        <v>87.93000000000001</v>
      </c>
      <c r="L430" s="8" t="n">
        <v>98.16</v>
      </c>
      <c r="M430" s="8" t="n">
        <v>16.33</v>
      </c>
      <c r="N430" s="6" t="inlineStr">
        <is>
          <t>Type I – Tropical Monsoon (PAGASA)</t>
        </is>
      </c>
      <c r="O430" s="6" t="inlineStr">
        <is>
          <t>Wet</t>
        </is>
      </c>
      <c r="P430" s="6" t="inlineStr">
        <is>
          <t>Sandy Loam</t>
        </is>
      </c>
      <c r="Q430" s="6" t="inlineStr">
        <is>
          <t>Flat / Lowland</t>
        </is>
      </c>
      <c r="R430" s="9" t="n">
        <v>30</v>
      </c>
      <c r="S430" s="6" t="inlineStr">
        <is>
          <t>Tagamusing River</t>
        </is>
      </c>
      <c r="T430" s="10" t="n">
        <v>140.28</v>
      </c>
      <c r="U430" s="10" t="n"/>
      <c r="V430" s="10" t="n"/>
      <c r="W430" s="10" t="n"/>
      <c r="X430" s="10" t="n">
        <v>2.17</v>
      </c>
      <c r="Y430" s="10" t="n">
        <v>17.36</v>
      </c>
      <c r="Z430" s="11" t="n">
        <v>8</v>
      </c>
      <c r="AA430" s="12" t="inlineStr">
        <is>
          <t>Transplanting (Pindot) or Direct Seeding (Pinaghandaan)</t>
        </is>
      </c>
      <c r="AB430" s="12" t="inlineStr">
        <is>
          <t>Conventional Tillage: 2 plowings + 2 harrowings; soil workable when moist</t>
        </is>
      </c>
      <c r="AC430" s="12" t="inlineStr">
        <is>
          <t>Intermittent irrigation (Alternate Wetting and Drying — AWD); moderate retention</t>
        </is>
      </c>
    </row>
    <row r="431" ht="21.75" customHeight="1" s="101">
      <c r="A431" s="13" t="inlineStr">
        <is>
          <t>Palay</t>
        </is>
      </c>
      <c r="B431" s="13" t="inlineStr">
        <is>
          <t>Tabuyoc</t>
        </is>
      </c>
      <c r="C431" s="13" t="inlineStr">
        <is>
          <t>October</t>
        </is>
      </c>
      <c r="D431" s="13" t="inlineStr">
        <is>
          <t>2016</t>
        </is>
      </c>
      <c r="E431" s="13" t="inlineStr">
        <is>
          <t>WS 2016</t>
        </is>
      </c>
      <c r="F431" s="13" t="inlineStr">
        <is>
          <t>Harvest</t>
        </is>
      </c>
      <c r="G431" s="7" t="n">
        <v>16.23</v>
      </c>
      <c r="H431" s="8" t="n">
        <v>26</v>
      </c>
      <c r="I431" s="8" t="n">
        <v>21.16</v>
      </c>
      <c r="J431" s="8" t="n">
        <v>32.03</v>
      </c>
      <c r="K431" s="8" t="n">
        <v>87.93000000000001</v>
      </c>
      <c r="L431" s="8" t="n">
        <v>98.16</v>
      </c>
      <c r="M431" s="8" t="n">
        <v>16.33</v>
      </c>
      <c r="N431" s="13" t="inlineStr">
        <is>
          <t>Type I – Tropical Monsoon (PAGASA)</t>
        </is>
      </c>
      <c r="O431" s="13" t="inlineStr">
        <is>
          <t>Wet</t>
        </is>
      </c>
      <c r="P431" s="13" t="inlineStr">
        <is>
          <t>Silty Clay Loam</t>
        </is>
      </c>
      <c r="Q431" s="13" t="inlineStr">
        <is>
          <t>Flat / Lowland</t>
        </is>
      </c>
      <c r="R431" s="14" t="n">
        <v>30</v>
      </c>
      <c r="S431" s="13" t="inlineStr">
        <is>
          <t>—</t>
        </is>
      </c>
      <c r="T431" s="15" t="n">
        <v>277.2</v>
      </c>
      <c r="U431" s="15" t="n"/>
      <c r="V431" s="15" t="n"/>
      <c r="W431" s="15" t="n"/>
      <c r="X431" s="15" t="n">
        <v>4</v>
      </c>
      <c r="Y431" s="15" t="n">
        <v>10.87</v>
      </c>
      <c r="Z431" s="16" t="n">
        <v>2.72</v>
      </c>
      <c r="AA431" s="17" t="inlineStr">
        <is>
          <t>Transplanting (Pindot) — optimal for clay-loam paddy fields</t>
        </is>
      </c>
      <c r="AB431" s="17" t="inlineStr">
        <is>
          <t>Wet Tillage (Puddling): 2 plowings + thorough harrowing under flooded condition</t>
        </is>
      </c>
      <c r="AC431" s="17" t="inlineStr">
        <is>
          <t>Continuous flooding 2–5 cm depth during vegetative stage; drain 2 weeks before harvest</t>
        </is>
      </c>
    </row>
    <row r="432" ht="21.75" customHeight="1" s="101">
      <c r="A432" s="6" t="inlineStr">
        <is>
          <t>Palay</t>
        </is>
      </c>
      <c r="B432" s="6" t="inlineStr">
        <is>
          <t>Bued</t>
        </is>
      </c>
      <c r="C432" s="6" t="inlineStr">
        <is>
          <t>October</t>
        </is>
      </c>
      <c r="D432" s="6" t="inlineStr">
        <is>
          <t>2016</t>
        </is>
      </c>
      <c r="E432" s="6" t="inlineStr">
        <is>
          <t>WS 2016</t>
        </is>
      </c>
      <c r="F432" s="6" t="inlineStr">
        <is>
          <t>Harvest</t>
        </is>
      </c>
      <c r="G432" s="7" t="n">
        <v>16.23</v>
      </c>
      <c r="H432" s="8" t="n">
        <v>26</v>
      </c>
      <c r="I432" s="8" t="n">
        <v>21.16</v>
      </c>
      <c r="J432" s="8" t="n">
        <v>32.03</v>
      </c>
      <c r="K432" s="8" t="n">
        <v>87.93000000000001</v>
      </c>
      <c r="L432" s="8" t="n">
        <v>98.16</v>
      </c>
      <c r="M432" s="8" t="n">
        <v>16.33</v>
      </c>
      <c r="N432" s="6" t="inlineStr">
        <is>
          <t>Type I – Tropical Monsoon (PAGASA)</t>
        </is>
      </c>
      <c r="O432" s="6" t="inlineStr">
        <is>
          <t>Wet</t>
        </is>
      </c>
      <c r="P432" s="6" t="inlineStr">
        <is>
          <t>Silty Clay Loam</t>
        </is>
      </c>
      <c r="Q432" s="6" t="inlineStr">
        <is>
          <t>Flat / Lowland</t>
        </is>
      </c>
      <c r="R432" s="9" t="n">
        <v>30</v>
      </c>
      <c r="S432" s="6" t="inlineStr">
        <is>
          <t>Tagamusing River</t>
        </is>
      </c>
      <c r="T432" s="10" t="n">
        <v>210.84</v>
      </c>
      <c r="U432" s="10" t="n"/>
      <c r="V432" s="10" t="n"/>
      <c r="W432" s="10" t="n"/>
      <c r="X432" s="10" t="n">
        <v>24.01</v>
      </c>
      <c r="Y432" s="10" t="n">
        <v>106.3</v>
      </c>
      <c r="Z432" s="11" t="n">
        <v>4.43</v>
      </c>
      <c r="AA432" s="12" t="inlineStr">
        <is>
          <t>Transplanting (Pindot) — optimal for clay-loam paddy fields</t>
        </is>
      </c>
      <c r="AB432" s="12" t="inlineStr">
        <is>
          <t>Wet Tillage (Puddling): 2 plowings + thorough harrowing under flooded condition</t>
        </is>
      </c>
      <c r="AC432" s="12" t="inlineStr">
        <is>
          <t>Continuous flooding 2–5 cm depth during vegetative stage; drain 2 weeks before harvest</t>
        </is>
      </c>
    </row>
    <row r="433" ht="21.75" customHeight="1" s="101">
      <c r="A433" s="13" t="inlineStr">
        <is>
          <t>Palay</t>
        </is>
      </c>
      <c r="B433" s="13" t="inlineStr">
        <is>
          <t>Dumayat</t>
        </is>
      </c>
      <c r="C433" s="13" t="inlineStr">
        <is>
          <t>October</t>
        </is>
      </c>
      <c r="D433" s="13" t="inlineStr">
        <is>
          <t>2016</t>
        </is>
      </c>
      <c r="E433" s="13" t="inlineStr">
        <is>
          <t>WS 2016</t>
        </is>
      </c>
      <c r="F433" s="13" t="inlineStr">
        <is>
          <t>Harvest</t>
        </is>
      </c>
      <c r="G433" s="7" t="n">
        <v>16.23</v>
      </c>
      <c r="H433" s="8" t="n">
        <v>26</v>
      </c>
      <c r="I433" s="8" t="n">
        <v>21.16</v>
      </c>
      <c r="J433" s="8" t="n">
        <v>32.03</v>
      </c>
      <c r="K433" s="8" t="n">
        <v>87.93000000000001</v>
      </c>
      <c r="L433" s="8" t="n">
        <v>98.16</v>
      </c>
      <c r="M433" s="8" t="n">
        <v>16.33</v>
      </c>
      <c r="N433" s="13" t="inlineStr">
        <is>
          <t>Type I – Tropical Monsoon (PAGASA)</t>
        </is>
      </c>
      <c r="O433" s="13" t="inlineStr">
        <is>
          <t>Wet</t>
        </is>
      </c>
      <c r="P433" s="13" t="inlineStr">
        <is>
          <t>Silty Clay Loam</t>
        </is>
      </c>
      <c r="Q433" s="13" t="inlineStr">
        <is>
          <t>Flat / Lowland</t>
        </is>
      </c>
      <c r="R433" s="14" t="n">
        <v>30</v>
      </c>
      <c r="S433" s="13" t="inlineStr">
        <is>
          <t>—</t>
        </is>
      </c>
      <c r="T433" s="15" t="n">
        <v>266.28</v>
      </c>
      <c r="U433" s="15" t="n"/>
      <c r="V433" s="15" t="n"/>
      <c r="W433" s="15" t="n"/>
      <c r="X433" s="15" t="n">
        <v>8</v>
      </c>
      <c r="Y433" s="15" t="n">
        <v>30.24</v>
      </c>
      <c r="Z433" s="16" t="n">
        <v>3.78</v>
      </c>
      <c r="AA433" s="17" t="inlineStr">
        <is>
          <t>Transplanting (Pindot) — optimal for clay-loam paddy fields</t>
        </is>
      </c>
      <c r="AB433" s="17" t="inlineStr">
        <is>
          <t>Wet Tillage (Puddling): 2 plowings + thorough harrowing under flooded condition</t>
        </is>
      </c>
      <c r="AC433" s="17" t="inlineStr">
        <is>
          <t>Continuous flooding 2–5 cm depth during vegetative stage; drain 2 weeks before harvest</t>
        </is>
      </c>
    </row>
    <row r="434" ht="21.75" customHeight="1" s="101">
      <c r="A434" s="6" t="inlineStr">
        <is>
          <t>Palay</t>
        </is>
      </c>
      <c r="B434" s="6" t="inlineStr">
        <is>
          <t>Camanggaan</t>
        </is>
      </c>
      <c r="C434" s="6" t="inlineStr">
        <is>
          <t>October</t>
        </is>
      </c>
      <c r="D434" s="6" t="inlineStr">
        <is>
          <t>2016</t>
        </is>
      </c>
      <c r="E434" s="6" t="inlineStr">
        <is>
          <t>WS 2016</t>
        </is>
      </c>
      <c r="F434" s="6" t="inlineStr">
        <is>
          <t>Harvest</t>
        </is>
      </c>
      <c r="G434" s="7" t="n">
        <v>16.23</v>
      </c>
      <c r="H434" s="8" t="n">
        <v>26</v>
      </c>
      <c r="I434" s="8" t="n">
        <v>21.16</v>
      </c>
      <c r="J434" s="8" t="n">
        <v>32.03</v>
      </c>
      <c r="K434" s="8" t="n">
        <v>87.93000000000001</v>
      </c>
      <c r="L434" s="8" t="n">
        <v>98.16</v>
      </c>
      <c r="M434" s="8" t="n">
        <v>16.33</v>
      </c>
      <c r="N434" s="6" t="inlineStr">
        <is>
          <t>Type I – Tropical Monsoon (PAGASA)</t>
        </is>
      </c>
      <c r="O434" s="6" t="inlineStr">
        <is>
          <t>Wet</t>
        </is>
      </c>
      <c r="P434" s="6" t="inlineStr">
        <is>
          <t>Sandy Loam</t>
        </is>
      </c>
      <c r="Q434" s="6" t="inlineStr">
        <is>
          <t>Flat / Lowland</t>
        </is>
      </c>
      <c r="R434" s="9" t="n">
        <v>30</v>
      </c>
      <c r="S434" s="6" t="inlineStr">
        <is>
          <t>—</t>
        </is>
      </c>
      <c r="T434" s="10" t="n">
        <v>244.44</v>
      </c>
      <c r="U434" s="10" t="n"/>
      <c r="V434" s="10" t="n"/>
      <c r="W434" s="10" t="n"/>
      <c r="X434" s="10" t="n">
        <v>16</v>
      </c>
      <c r="Y434" s="10" t="n">
        <v>60</v>
      </c>
      <c r="Z434" s="11" t="n">
        <v>3.75</v>
      </c>
      <c r="AA434" s="12" t="inlineStr">
        <is>
          <t>Transplanting (Pindot) or Direct Seeding (Pinaghandaan)</t>
        </is>
      </c>
      <c r="AB434" s="12" t="inlineStr">
        <is>
          <t>Conventional Tillage: 2 plowings + 2 harrowings; soil workable when moist</t>
        </is>
      </c>
      <c r="AC434" s="12" t="inlineStr">
        <is>
          <t>Intermittent irrigation (Alternate Wetting and Drying — AWD); moderate retention</t>
        </is>
      </c>
    </row>
    <row r="435" ht="21.75" customHeight="1" s="101">
      <c r="A435" s="13" t="inlineStr">
        <is>
          <t>Palay</t>
        </is>
      </c>
      <c r="B435" s="13" t="inlineStr">
        <is>
          <t>Vacante</t>
        </is>
      </c>
      <c r="C435" s="13" t="inlineStr">
        <is>
          <t>October</t>
        </is>
      </c>
      <c r="D435" s="13" t="inlineStr">
        <is>
          <t>2016</t>
        </is>
      </c>
      <c r="E435" s="13" t="inlineStr">
        <is>
          <t>WS 2016</t>
        </is>
      </c>
      <c r="F435" s="13" t="inlineStr">
        <is>
          <t>Harvest</t>
        </is>
      </c>
      <c r="G435" s="7" t="n">
        <v>16.23</v>
      </c>
      <c r="H435" s="8" t="n">
        <v>26</v>
      </c>
      <c r="I435" s="8" t="n">
        <v>21.16</v>
      </c>
      <c r="J435" s="8" t="n">
        <v>32.03</v>
      </c>
      <c r="K435" s="8" t="n">
        <v>87.93000000000001</v>
      </c>
      <c r="L435" s="8" t="n">
        <v>98.16</v>
      </c>
      <c r="M435" s="8" t="n">
        <v>16.33</v>
      </c>
      <c r="N435" s="13" t="inlineStr">
        <is>
          <t>Type I – Tropical Monsoon (PAGASA)</t>
        </is>
      </c>
      <c r="O435" s="13" t="inlineStr">
        <is>
          <t>Wet</t>
        </is>
      </c>
      <c r="P435" s="13" t="inlineStr">
        <is>
          <t>Silty Clay Loam</t>
        </is>
      </c>
      <c r="Q435" s="13" t="inlineStr">
        <is>
          <t>Flat / Lowland</t>
        </is>
      </c>
      <c r="R435" s="14" t="n">
        <v>30</v>
      </c>
      <c r="S435" s="13" t="inlineStr">
        <is>
          <t>Aloragat River</t>
        </is>
      </c>
      <c r="T435" s="15" t="n">
        <v>484.68</v>
      </c>
      <c r="U435" s="15" t="n"/>
      <c r="V435" s="15" t="n"/>
      <c r="W435" s="15" t="n"/>
      <c r="X435" s="15" t="n">
        <v>2.68</v>
      </c>
      <c r="Y435" s="15" t="n">
        <v>7.77</v>
      </c>
      <c r="Z435" s="16" t="n">
        <v>2.9</v>
      </c>
      <c r="AA435" s="17" t="inlineStr">
        <is>
          <t>Transplanting (Pindot) — optimal for clay-loam paddy fields</t>
        </is>
      </c>
      <c r="AB435" s="17" t="inlineStr">
        <is>
          <t>Wet Tillage (Puddling): 2 plowings + thorough harrowing under flooded condition</t>
        </is>
      </c>
      <c r="AC435" s="17" t="inlineStr">
        <is>
          <t>Continuous flooding 2–5 cm depth during vegetative stage; drain 2 weeks before harvest</t>
        </is>
      </c>
    </row>
    <row r="436" ht="21.75" customHeight="1" s="101">
      <c r="A436" s="6" t="inlineStr">
        <is>
          <t>Palay</t>
        </is>
      </c>
      <c r="B436" s="6" t="inlineStr">
        <is>
          <t>Sta. Catalina</t>
        </is>
      </c>
      <c r="C436" s="6" t="inlineStr">
        <is>
          <t>October</t>
        </is>
      </c>
      <c r="D436" s="6" t="inlineStr">
        <is>
          <t>2016</t>
        </is>
      </c>
      <c r="E436" s="6" t="inlineStr">
        <is>
          <t>WS 2016</t>
        </is>
      </c>
      <c r="F436" s="6" t="inlineStr">
        <is>
          <t>Harvest</t>
        </is>
      </c>
      <c r="G436" s="7" t="n">
        <v>16.23</v>
      </c>
      <c r="H436" s="8" t="n">
        <v>26</v>
      </c>
      <c r="I436" s="8" t="n">
        <v>21.16</v>
      </c>
      <c r="J436" s="8" t="n">
        <v>32.03</v>
      </c>
      <c r="K436" s="8" t="n">
        <v>87.93000000000001</v>
      </c>
      <c r="L436" s="8" t="n">
        <v>98.16</v>
      </c>
      <c r="M436" s="8" t="n">
        <v>16.33</v>
      </c>
      <c r="N436" s="6" t="inlineStr">
        <is>
          <t>Type I – Tropical Monsoon (PAGASA)</t>
        </is>
      </c>
      <c r="O436" s="6" t="inlineStr">
        <is>
          <t>Wet</t>
        </is>
      </c>
      <c r="P436" s="6" t="inlineStr">
        <is>
          <t>Fine Sand / Sandy Loam</t>
        </is>
      </c>
      <c r="Q436" s="6" t="inlineStr">
        <is>
          <t>Moderately Sloping / Highland</t>
        </is>
      </c>
      <c r="R436" s="9" t="n">
        <v>90</v>
      </c>
      <c r="S436" s="6" t="inlineStr">
        <is>
          <t>—</t>
        </is>
      </c>
      <c r="T436" s="10" t="n">
        <v>709.8</v>
      </c>
      <c r="U436" s="10" t="n"/>
      <c r="V436" s="10" t="n"/>
      <c r="W436" s="10" t="n"/>
      <c r="X436" s="10" t="n">
        <v>21</v>
      </c>
      <c r="Y436" s="10" t="n">
        <v>83.58</v>
      </c>
      <c r="Z436" s="11" t="n">
        <v>3.98</v>
      </c>
      <c r="AA436" s="12" t="inlineStr">
        <is>
          <t>Transplanting (Pindot)</t>
        </is>
      </c>
      <c r="AB436" s="12" t="inlineStr">
        <is>
          <t>Minimum Tillage (avoid compaction; sandy structure fragile)</t>
        </is>
      </c>
      <c r="AC436" s="12" t="inlineStr">
        <is>
          <t>Continuous flooding or frequent irrigation; high percolation risk; terrace or bund-assisted water retention essential on slopes</t>
        </is>
      </c>
    </row>
    <row r="437" ht="21.75" customHeight="1" s="101">
      <c r="A437" s="13" t="inlineStr">
        <is>
          <t>Palay</t>
        </is>
      </c>
      <c r="B437" s="13" t="inlineStr">
        <is>
          <t>Moreno</t>
        </is>
      </c>
      <c r="C437" s="13" t="inlineStr">
        <is>
          <t>October</t>
        </is>
      </c>
      <c r="D437" s="13" t="inlineStr">
        <is>
          <t>2016</t>
        </is>
      </c>
      <c r="E437" s="13" t="inlineStr">
        <is>
          <t>WS 2016</t>
        </is>
      </c>
      <c r="F437" s="13" t="inlineStr">
        <is>
          <t>Harvest</t>
        </is>
      </c>
      <c r="G437" s="7" t="n">
        <v>16.23</v>
      </c>
      <c r="H437" s="8" t="n">
        <v>26</v>
      </c>
      <c r="I437" s="8" t="n">
        <v>21.16</v>
      </c>
      <c r="J437" s="8" t="n">
        <v>32.03</v>
      </c>
      <c r="K437" s="8" t="n">
        <v>87.93000000000001</v>
      </c>
      <c r="L437" s="8" t="n">
        <v>98.16</v>
      </c>
      <c r="M437" s="8" t="n">
        <v>16.33</v>
      </c>
      <c r="N437" s="13" t="inlineStr">
        <is>
          <t>Type I – Tropical Monsoon (PAGASA)</t>
        </is>
      </c>
      <c r="O437" s="13" t="inlineStr">
        <is>
          <t>Wet</t>
        </is>
      </c>
      <c r="P437" s="13" t="inlineStr">
        <is>
          <t>Sandy Loam</t>
        </is>
      </c>
      <c r="Q437" s="13" t="inlineStr">
        <is>
          <t>Moderately Sloping / Highland</t>
        </is>
      </c>
      <c r="R437" s="14" t="n">
        <v>90</v>
      </c>
      <c r="S437" s="13" t="inlineStr">
        <is>
          <t>Alibeng River</t>
        </is>
      </c>
      <c r="T437" s="15" t="n">
        <v>641.76</v>
      </c>
      <c r="U437" s="15" t="n"/>
      <c r="V437" s="15" t="n"/>
      <c r="W437" s="15" t="n"/>
      <c r="X437" s="15" t="n">
        <v>19</v>
      </c>
      <c r="Y437" s="15" t="n">
        <v>76.19</v>
      </c>
      <c r="Z437" s="16" t="n">
        <v>4.01</v>
      </c>
      <c r="AA437" s="17" t="inlineStr">
        <is>
          <t>Transplanting (Pindot) or Direct Seeding (Pinaghandaan)</t>
        </is>
      </c>
      <c r="AB437" s="17" t="inlineStr">
        <is>
          <t>Conventional Tillage: 2 plowings + 2 harrowings; soil workable when moist</t>
        </is>
      </c>
      <c r="AC437" s="17" t="inlineStr">
        <is>
          <t>Intermittent irrigation (Alternate Wetting and Drying — AWD); moderate retention; terrace or bund-assisted water retention essential on slopes</t>
        </is>
      </c>
    </row>
    <row r="438" ht="21.75" customHeight="1" s="101">
      <c r="A438" s="6" t="inlineStr">
        <is>
          <t>Palay</t>
        </is>
      </c>
      <c r="B438" s="6" t="inlineStr">
        <is>
          <t>Cili</t>
        </is>
      </c>
      <c r="C438" s="6" t="inlineStr">
        <is>
          <t>October</t>
        </is>
      </c>
      <c r="D438" s="6" t="inlineStr">
        <is>
          <t>2016</t>
        </is>
      </c>
      <c r="E438" s="6" t="inlineStr">
        <is>
          <t>WS 2016</t>
        </is>
      </c>
      <c r="F438" s="6" t="inlineStr">
        <is>
          <t>Harvest</t>
        </is>
      </c>
      <c r="G438" s="7" t="n">
        <v>16.23</v>
      </c>
      <c r="H438" s="8" t="n">
        <v>26</v>
      </c>
      <c r="I438" s="8" t="n">
        <v>21.16</v>
      </c>
      <c r="J438" s="8" t="n">
        <v>32.03</v>
      </c>
      <c r="K438" s="8" t="n">
        <v>87.93000000000001</v>
      </c>
      <c r="L438" s="8" t="n">
        <v>98.16</v>
      </c>
      <c r="M438" s="8" t="n">
        <v>16.33</v>
      </c>
      <c r="N438" s="6" t="inlineStr">
        <is>
          <t>Type I – Tropical Monsoon (PAGASA)</t>
        </is>
      </c>
      <c r="O438" s="6" t="inlineStr">
        <is>
          <t>Wet</t>
        </is>
      </c>
      <c r="P438" s="6" t="inlineStr">
        <is>
          <t>Silty Clay Loam</t>
        </is>
      </c>
      <c r="Q438" s="6" t="inlineStr">
        <is>
          <t>Flat / Lowland</t>
        </is>
      </c>
      <c r="R438" s="9" t="n">
        <v>30</v>
      </c>
      <c r="S438" s="6" t="inlineStr">
        <is>
          <t>Alibeng River</t>
        </is>
      </c>
      <c r="T438" s="10" t="n">
        <v>264.6</v>
      </c>
      <c r="U438" s="10" t="n"/>
      <c r="V438" s="10" t="n"/>
      <c r="W438" s="10" t="n"/>
      <c r="X438" s="10" t="n">
        <v>17.54</v>
      </c>
      <c r="Y438" s="10" t="n">
        <v>31.06</v>
      </c>
      <c r="Z438" s="11" t="n">
        <v>1.77</v>
      </c>
      <c r="AA438" s="12" t="inlineStr">
        <is>
          <t>Transplanting (Pindot) — optimal for clay-loam paddy fields</t>
        </is>
      </c>
      <c r="AB438" s="12" t="inlineStr">
        <is>
          <t>Wet Tillage (Puddling): 2 plowings + thorough harrowing under flooded condition</t>
        </is>
      </c>
      <c r="AC438" s="12" t="inlineStr">
        <is>
          <t>Continuous flooding 2–5 cm depth during vegetative stage; drain 2 weeks before harvest</t>
        </is>
      </c>
    </row>
    <row r="439" ht="21.75" customHeight="1" s="101">
      <c r="A439" s="13" t="inlineStr">
        <is>
          <t>Palay</t>
        </is>
      </c>
      <c r="B439" s="13" t="inlineStr">
        <is>
          <t>Linmansangan</t>
        </is>
      </c>
      <c r="C439" s="13" t="inlineStr">
        <is>
          <t>October</t>
        </is>
      </c>
      <c r="D439" s="13" t="inlineStr">
        <is>
          <t>2016</t>
        </is>
      </c>
      <c r="E439" s="13" t="inlineStr">
        <is>
          <t>WS 2016</t>
        </is>
      </c>
      <c r="F439" s="13" t="inlineStr">
        <is>
          <t>Harvest</t>
        </is>
      </c>
      <c r="G439" s="7" t="n">
        <v>16.23</v>
      </c>
      <c r="H439" s="8" t="n">
        <v>26</v>
      </c>
      <c r="I439" s="8" t="n">
        <v>21.16</v>
      </c>
      <c r="J439" s="8" t="n">
        <v>32.03</v>
      </c>
      <c r="K439" s="8" t="n">
        <v>87.93000000000001</v>
      </c>
      <c r="L439" s="8" t="n">
        <v>98.16</v>
      </c>
      <c r="M439" s="8" t="n">
        <v>16.33</v>
      </c>
      <c r="N439" s="13" t="inlineStr">
        <is>
          <t>Type I – Tropical Monsoon (PAGASA)</t>
        </is>
      </c>
      <c r="O439" s="13" t="inlineStr">
        <is>
          <t>Wet</t>
        </is>
      </c>
      <c r="P439" s="13" t="inlineStr">
        <is>
          <t>Silty Clay Loam</t>
        </is>
      </c>
      <c r="Q439" s="13" t="inlineStr">
        <is>
          <t>Flat / Lowland</t>
        </is>
      </c>
      <c r="R439" s="14" t="n">
        <v>30</v>
      </c>
      <c r="S439" s="13" t="inlineStr">
        <is>
          <t>—</t>
        </is>
      </c>
      <c r="T439" s="15" t="n">
        <v>492.24</v>
      </c>
      <c r="U439" s="15" t="n"/>
      <c r="V439" s="15" t="n"/>
      <c r="W439" s="15" t="n"/>
      <c r="X439" s="15" t="n">
        <v>40.86</v>
      </c>
      <c r="Y439" s="15" t="n">
        <v>20.23</v>
      </c>
      <c r="Z439" s="16" t="n">
        <v>0.5</v>
      </c>
      <c r="AA439" s="17" t="inlineStr">
        <is>
          <t>Transplanting (Pindot) — optimal for clay-loam paddy fields</t>
        </is>
      </c>
      <c r="AB439" s="17" t="inlineStr">
        <is>
          <t>Wet Tillage (Puddling): 2 plowings + thorough harrowing under flooded condition</t>
        </is>
      </c>
      <c r="AC439" s="17" t="inlineStr">
        <is>
          <t>Continuous flooding 2–5 cm depth during vegetative stage; drain 2 weeks before harvest</t>
        </is>
      </c>
    </row>
    <row r="440" ht="21.75" customHeight="1" s="101">
      <c r="A440" s="6" t="inlineStr">
        <is>
          <t>Palay</t>
        </is>
      </c>
      <c r="B440" s="6" t="inlineStr">
        <is>
          <t>Sumabnit</t>
        </is>
      </c>
      <c r="C440" s="6" t="inlineStr">
        <is>
          <t>October</t>
        </is>
      </c>
      <c r="D440" s="6" t="inlineStr">
        <is>
          <t>2016</t>
        </is>
      </c>
      <c r="E440" s="6" t="inlineStr">
        <is>
          <t>WS 2016</t>
        </is>
      </c>
      <c r="F440" s="6" t="inlineStr">
        <is>
          <t>Harvest</t>
        </is>
      </c>
      <c r="G440" s="7" t="n">
        <v>16.23</v>
      </c>
      <c r="H440" s="8" t="n">
        <v>26</v>
      </c>
      <c r="I440" s="8" t="n">
        <v>21.16</v>
      </c>
      <c r="J440" s="8" t="n">
        <v>32.03</v>
      </c>
      <c r="K440" s="8" t="n">
        <v>87.93000000000001</v>
      </c>
      <c r="L440" s="8" t="n">
        <v>98.16</v>
      </c>
      <c r="M440" s="8" t="n">
        <v>16.33</v>
      </c>
      <c r="N440" s="6" t="inlineStr">
        <is>
          <t>Type I – Tropical Monsoon (PAGASA)</t>
        </is>
      </c>
      <c r="O440" s="6" t="inlineStr">
        <is>
          <t>Wet</t>
        </is>
      </c>
      <c r="P440" s="6" t="inlineStr">
        <is>
          <t>Silty Clay Loam / Fine Sandy Loam</t>
        </is>
      </c>
      <c r="Q440" s="6" t="inlineStr">
        <is>
          <t>Flat / Lowland</t>
        </is>
      </c>
      <c r="R440" s="9" t="n">
        <v>30</v>
      </c>
      <c r="S440" s="6" t="inlineStr">
        <is>
          <t>Tagamusing River</t>
        </is>
      </c>
      <c r="T440" s="10" t="n">
        <v>406.56</v>
      </c>
      <c r="U440" s="10" t="n"/>
      <c r="V440" s="10" t="n"/>
      <c r="W440" s="10" t="n"/>
      <c r="X440" s="10" t="n">
        <v>3.23</v>
      </c>
      <c r="Y440" s="10" t="n">
        <v>9.57</v>
      </c>
      <c r="Z440" s="11" t="n">
        <v>2.96</v>
      </c>
      <c r="AA440" s="12" t="inlineStr">
        <is>
          <t>Transplanting (Pindot)</t>
        </is>
      </c>
      <c r="AB440" s="12" t="inlineStr">
        <is>
          <t>Minimum Tillage (avoid compaction; sandy structure fragile)</t>
        </is>
      </c>
      <c r="AC440" s="12" t="inlineStr">
        <is>
          <t>Continuous flooding or frequent irrigation; high percolation risk</t>
        </is>
      </c>
    </row>
    <row r="441" ht="21.75" customHeight="1" s="101">
      <c r="A441" s="13" t="inlineStr">
        <is>
          <t>Palay</t>
        </is>
      </c>
      <c r="B441" s="13" t="inlineStr">
        <is>
          <t>Capas</t>
        </is>
      </c>
      <c r="C441" s="13" t="inlineStr">
        <is>
          <t>October</t>
        </is>
      </c>
      <c r="D441" s="13" t="inlineStr">
        <is>
          <t>2016</t>
        </is>
      </c>
      <c r="E441" s="13" t="inlineStr">
        <is>
          <t>WS 2016</t>
        </is>
      </c>
      <c r="F441" s="13" t="inlineStr">
        <is>
          <t>Harvest</t>
        </is>
      </c>
      <c r="G441" s="7" t="n">
        <v>16.23</v>
      </c>
      <c r="H441" s="8" t="n">
        <v>26</v>
      </c>
      <c r="I441" s="8" t="n">
        <v>21.16</v>
      </c>
      <c r="J441" s="8" t="n">
        <v>32.03</v>
      </c>
      <c r="K441" s="8" t="n">
        <v>87.93000000000001</v>
      </c>
      <c r="L441" s="8" t="n">
        <v>98.16</v>
      </c>
      <c r="M441" s="8" t="n">
        <v>16.33</v>
      </c>
      <c r="N441" s="13" t="inlineStr">
        <is>
          <t>Type I – Tropical Monsoon (PAGASA)</t>
        </is>
      </c>
      <c r="O441" s="13" t="inlineStr">
        <is>
          <t>Wet</t>
        </is>
      </c>
      <c r="P441" s="13" t="inlineStr">
        <is>
          <t>Sandy Loam</t>
        </is>
      </c>
      <c r="Q441" s="13" t="inlineStr">
        <is>
          <t>Flat / Lowland</t>
        </is>
      </c>
      <c r="R441" s="14" t="n">
        <v>30</v>
      </c>
      <c r="S441" s="13" t="inlineStr">
        <is>
          <t>—</t>
        </is>
      </c>
      <c r="T441" s="15" t="n">
        <v>377.16</v>
      </c>
      <c r="U441" s="15" t="n"/>
      <c r="V441" s="15" t="n"/>
      <c r="W441" s="15" t="n"/>
      <c r="X441" s="15" t="n">
        <v>9</v>
      </c>
      <c r="Y441" s="15" t="n">
        <v>27.09</v>
      </c>
      <c r="Z441" s="16" t="n">
        <v>3.01</v>
      </c>
      <c r="AA441" s="17" t="inlineStr">
        <is>
          <t>Transplanting (Pindot) or Direct Seeding (Pinaghandaan)</t>
        </is>
      </c>
      <c r="AB441" s="17" t="inlineStr">
        <is>
          <t>Conventional Tillage: 2 plowings + 2 harrowings; soil workable when moist</t>
        </is>
      </c>
      <c r="AC441" s="17" t="inlineStr">
        <is>
          <t>Intermittent irrigation (Alternate Wetting and Drying — AWD); moderate retention</t>
        </is>
      </c>
    </row>
    <row r="442" ht="21.75" customHeight="1" s="101">
      <c r="A442" s="6" t="inlineStr">
        <is>
          <t>Palay</t>
        </is>
      </c>
      <c r="B442" s="6" t="inlineStr">
        <is>
          <t>Mangkasuy</t>
        </is>
      </c>
      <c r="C442" s="6" t="inlineStr">
        <is>
          <t>October</t>
        </is>
      </c>
      <c r="D442" s="6" t="inlineStr">
        <is>
          <t>2016</t>
        </is>
      </c>
      <c r="E442" s="6" t="inlineStr">
        <is>
          <t>WS 2016</t>
        </is>
      </c>
      <c r="F442" s="6" t="inlineStr">
        <is>
          <t>Harvest</t>
        </is>
      </c>
      <c r="G442" s="7" t="n">
        <v>16.23</v>
      </c>
      <c r="H442" s="8" t="n">
        <v>26</v>
      </c>
      <c r="I442" s="8" t="n">
        <v>21.16</v>
      </c>
      <c r="J442" s="8" t="n">
        <v>32.03</v>
      </c>
      <c r="K442" s="8" t="n">
        <v>87.93000000000001</v>
      </c>
      <c r="L442" s="8" t="n">
        <v>98.16</v>
      </c>
      <c r="M442" s="8" t="n">
        <v>16.33</v>
      </c>
      <c r="N442" s="6" t="inlineStr">
        <is>
          <t>Type I – Tropical Monsoon (PAGASA)</t>
        </is>
      </c>
      <c r="O442" s="6" t="inlineStr">
        <is>
          <t>Wet</t>
        </is>
      </c>
      <c r="P442" s="6" t="inlineStr">
        <is>
          <t>Sandy Loam</t>
        </is>
      </c>
      <c r="Q442" s="6" t="inlineStr">
        <is>
          <t>Flat / Lowland</t>
        </is>
      </c>
      <c r="R442" s="9" t="n">
        <v>30</v>
      </c>
      <c r="S442" s="6" t="inlineStr">
        <is>
          <t>Tagamusing River</t>
        </is>
      </c>
      <c r="T442" s="10" t="n">
        <v>802.2</v>
      </c>
      <c r="U442" s="10" t="n"/>
      <c r="V442" s="10" t="n"/>
      <c r="W442" s="10" t="n"/>
      <c r="X442" s="10" t="n">
        <v>11</v>
      </c>
      <c r="Y442" s="10" t="n">
        <v>55.99</v>
      </c>
      <c r="Z442" s="11" t="n">
        <v>5.09</v>
      </c>
      <c r="AA442" s="12" t="inlineStr">
        <is>
          <t>Transplanting (Pindot) or Direct Seeding (Pinaghandaan)</t>
        </is>
      </c>
      <c r="AB442" s="12" t="inlineStr">
        <is>
          <t>Conventional Tillage: 2 plowings + 2 harrowings; soil workable when moist</t>
        </is>
      </c>
      <c r="AC442" s="12" t="inlineStr">
        <is>
          <t>Intermittent irrigation (Alternate Wetting and Drying — AWD); moderate retention</t>
        </is>
      </c>
    </row>
    <row r="443" ht="21.75" customHeight="1" s="101">
      <c r="A443" s="13" t="inlineStr">
        <is>
          <t>Palay</t>
        </is>
      </c>
      <c r="B443" s="13" t="inlineStr">
        <is>
          <t>San Pablo</t>
        </is>
      </c>
      <c r="C443" s="13" t="inlineStr">
        <is>
          <t>October</t>
        </is>
      </c>
      <c r="D443" s="13" t="inlineStr">
        <is>
          <t>2016</t>
        </is>
      </c>
      <c r="E443" s="13" t="inlineStr">
        <is>
          <t>WS 2016</t>
        </is>
      </c>
      <c r="F443" s="13" t="inlineStr">
        <is>
          <t>Harvest</t>
        </is>
      </c>
      <c r="G443" s="7" t="n">
        <v>16.23</v>
      </c>
      <c r="H443" s="8" t="n">
        <v>26</v>
      </c>
      <c r="I443" s="8" t="n">
        <v>21.16</v>
      </c>
      <c r="J443" s="8" t="n">
        <v>32.03</v>
      </c>
      <c r="K443" s="8" t="n">
        <v>87.93000000000001</v>
      </c>
      <c r="L443" s="8" t="n">
        <v>98.16</v>
      </c>
      <c r="M443" s="8" t="n">
        <v>16.33</v>
      </c>
      <c r="N443" s="13" t="inlineStr">
        <is>
          <t>Type I – Tropical Monsoon (PAGASA)</t>
        </is>
      </c>
      <c r="O443" s="13" t="inlineStr">
        <is>
          <t>Wet</t>
        </is>
      </c>
      <c r="P443" s="13" t="inlineStr">
        <is>
          <t>Sandy Loam</t>
        </is>
      </c>
      <c r="Q443" s="13" t="inlineStr">
        <is>
          <t>Flat / Lowland</t>
        </is>
      </c>
      <c r="R443" s="14" t="n">
        <v>30</v>
      </c>
      <c r="S443" s="13" t="inlineStr">
        <is>
          <t>San Pablo Creek</t>
        </is>
      </c>
      <c r="T443" s="15" t="n">
        <v>215.04</v>
      </c>
      <c r="U443" s="15" t="n"/>
      <c r="V443" s="15" t="n"/>
      <c r="W443" s="15" t="n"/>
      <c r="X443" s="15" t="n">
        <v>1.05</v>
      </c>
      <c r="Y443" s="15" t="n">
        <v>8.4</v>
      </c>
      <c r="Z443" s="16" t="n">
        <v>8</v>
      </c>
      <c r="AA443" s="17" t="inlineStr">
        <is>
          <t>Transplanting (Pindot) or Direct Seeding (Pinaghandaan)</t>
        </is>
      </c>
      <c r="AB443" s="17" t="inlineStr">
        <is>
          <t>Conventional Tillage: 2 plowings + 2 harrowings; soil workable when moist</t>
        </is>
      </c>
      <c r="AC443" s="17" t="inlineStr">
        <is>
          <t>Intermittent irrigation (Alternate Wetting and Drying — AWD); moderate retention</t>
        </is>
      </c>
    </row>
    <row r="444" ht="21.75" customHeight="1" s="101">
      <c r="A444" s="6" t="inlineStr">
        <is>
          <t>Palay</t>
        </is>
      </c>
      <c r="B444" s="6" t="inlineStr">
        <is>
          <t>Balangobong</t>
        </is>
      </c>
      <c r="C444" s="6" t="inlineStr">
        <is>
          <t>October</t>
        </is>
      </c>
      <c r="D444" s="6" t="inlineStr">
        <is>
          <t>2016</t>
        </is>
      </c>
      <c r="E444" s="6" t="inlineStr">
        <is>
          <t>WS 2016</t>
        </is>
      </c>
      <c r="F444" s="6" t="inlineStr">
        <is>
          <t>Harvest</t>
        </is>
      </c>
      <c r="G444" s="7" t="n">
        <v>16.23</v>
      </c>
      <c r="H444" s="8" t="n">
        <v>26</v>
      </c>
      <c r="I444" s="8" t="n">
        <v>21.16</v>
      </c>
      <c r="J444" s="8" t="n">
        <v>32.03</v>
      </c>
      <c r="K444" s="8" t="n">
        <v>87.93000000000001</v>
      </c>
      <c r="L444" s="8" t="n">
        <v>98.16</v>
      </c>
      <c r="M444" s="8" t="n">
        <v>16.33</v>
      </c>
      <c r="N444" s="6" t="inlineStr">
        <is>
          <t>Type I – Tropical Monsoon (PAGASA)</t>
        </is>
      </c>
      <c r="O444" s="6" t="inlineStr">
        <is>
          <t>Wet</t>
        </is>
      </c>
      <c r="P444" s="6" t="inlineStr">
        <is>
          <t>Silty Clay Loam</t>
        </is>
      </c>
      <c r="Q444" s="6" t="inlineStr">
        <is>
          <t>Flat / Lowland</t>
        </is>
      </c>
      <c r="R444" s="9" t="n">
        <v>30</v>
      </c>
      <c r="S444" s="6" t="inlineStr">
        <is>
          <t>—</t>
        </is>
      </c>
      <c r="T444" s="10" t="n">
        <v>281.4</v>
      </c>
      <c r="U444" s="10" t="n"/>
      <c r="V444" s="10" t="n"/>
      <c r="W444" s="10" t="n"/>
      <c r="X444" s="10" t="n">
        <v>39.81</v>
      </c>
      <c r="Y444" s="10" t="n">
        <v>191.46</v>
      </c>
      <c r="Z444" s="11" t="n">
        <v>4.81</v>
      </c>
      <c r="AA444" s="12" t="inlineStr">
        <is>
          <t>Transplanting (Pindot) — optimal for clay-loam paddy fields</t>
        </is>
      </c>
      <c r="AB444" s="12" t="inlineStr">
        <is>
          <t>Wet Tillage (Puddling): 2 plowings + thorough harrowing under flooded condition</t>
        </is>
      </c>
      <c r="AC444" s="12" t="inlineStr">
        <is>
          <t>Continuous flooding 2–5 cm depth during vegetative stage; drain 2 weeks before harvest</t>
        </is>
      </c>
    </row>
    <row r="445" ht="21.75" customHeight="1" s="101">
      <c r="A445" s="13" t="inlineStr">
        <is>
          <t>Palay</t>
        </is>
      </c>
      <c r="B445" s="13" t="inlineStr">
        <is>
          <t>San Felipe Central</t>
        </is>
      </c>
      <c r="C445" s="13" t="inlineStr">
        <is>
          <t>October</t>
        </is>
      </c>
      <c r="D445" s="13" t="inlineStr">
        <is>
          <t>2016</t>
        </is>
      </c>
      <c r="E445" s="13" t="inlineStr">
        <is>
          <t>WS 2016</t>
        </is>
      </c>
      <c r="F445" s="13" t="inlineStr">
        <is>
          <t>Harvest</t>
        </is>
      </c>
      <c r="G445" s="7" t="n">
        <v>16.23</v>
      </c>
      <c r="H445" s="8" t="n">
        <v>26</v>
      </c>
      <c r="I445" s="8" t="n">
        <v>21.16</v>
      </c>
      <c r="J445" s="8" t="n">
        <v>32.03</v>
      </c>
      <c r="K445" s="8" t="n">
        <v>87.93000000000001</v>
      </c>
      <c r="L445" s="8" t="n">
        <v>98.16</v>
      </c>
      <c r="M445" s="8" t="n">
        <v>16.33</v>
      </c>
      <c r="N445" s="13" t="inlineStr">
        <is>
          <t>Type I – Tropical Monsoon (PAGASA)</t>
        </is>
      </c>
      <c r="O445" s="13" t="inlineStr">
        <is>
          <t>Wet</t>
        </is>
      </c>
      <c r="P445" s="13" t="inlineStr">
        <is>
          <t>Sandy Loam</t>
        </is>
      </c>
      <c r="Q445" s="13" t="inlineStr">
        <is>
          <t>Flat / Lowland</t>
        </is>
      </c>
      <c r="R445" s="14" t="n">
        <v>30</v>
      </c>
      <c r="S445" s="13" t="inlineStr">
        <is>
          <t>—</t>
        </is>
      </c>
      <c r="T445" s="15" t="n">
        <v>452.76</v>
      </c>
      <c r="U445" s="15" t="n"/>
      <c r="V445" s="15" t="n"/>
      <c r="W445" s="15" t="n"/>
      <c r="X445" s="15" t="n">
        <v>10</v>
      </c>
      <c r="Y445" s="15" t="n">
        <v>46.15</v>
      </c>
      <c r="Z445" s="16" t="n">
        <v>4.62</v>
      </c>
      <c r="AA445" s="17" t="inlineStr">
        <is>
          <t>Transplanting (Pindot) or Direct Seeding (Pinaghandaan)</t>
        </is>
      </c>
      <c r="AB445" s="17" t="inlineStr">
        <is>
          <t>Conventional Tillage: 2 plowings + 2 harrowings; soil workable when moist</t>
        </is>
      </c>
      <c r="AC445" s="17" t="inlineStr">
        <is>
          <t>Intermittent irrigation (Alternate Wetting and Drying — AWD); moderate retention</t>
        </is>
      </c>
    </row>
    <row r="446" ht="21.75" customHeight="1" s="101">
      <c r="A446" s="6" t="inlineStr">
        <is>
          <t>Palay</t>
        </is>
      </c>
      <c r="B446" s="6" t="inlineStr">
        <is>
          <t>San Felipe Sur</t>
        </is>
      </c>
      <c r="C446" s="6" t="inlineStr">
        <is>
          <t>October</t>
        </is>
      </c>
      <c r="D446" s="6" t="inlineStr">
        <is>
          <t>2016</t>
        </is>
      </c>
      <c r="E446" s="6" t="inlineStr">
        <is>
          <t>WS 2016</t>
        </is>
      </c>
      <c r="F446" s="6" t="inlineStr">
        <is>
          <t>Harvest</t>
        </is>
      </c>
      <c r="G446" s="7" t="n">
        <v>16.23</v>
      </c>
      <c r="H446" s="8" t="n">
        <v>26</v>
      </c>
      <c r="I446" s="8" t="n">
        <v>21.16</v>
      </c>
      <c r="J446" s="8" t="n">
        <v>32.03</v>
      </c>
      <c r="K446" s="8" t="n">
        <v>87.93000000000001</v>
      </c>
      <c r="L446" s="8" t="n">
        <v>98.16</v>
      </c>
      <c r="M446" s="8" t="n">
        <v>16.33</v>
      </c>
      <c r="N446" s="6" t="inlineStr">
        <is>
          <t>Type I – Tropical Monsoon (PAGASA)</t>
        </is>
      </c>
      <c r="O446" s="6" t="inlineStr">
        <is>
          <t>Wet</t>
        </is>
      </c>
      <c r="P446" s="6" t="inlineStr">
        <is>
          <t>Sandy Loam</t>
        </is>
      </c>
      <c r="Q446" s="6" t="inlineStr">
        <is>
          <t>Flat / Lowland</t>
        </is>
      </c>
      <c r="R446" s="9" t="n">
        <v>30</v>
      </c>
      <c r="S446" s="6" t="inlineStr">
        <is>
          <t>Tagamusing River</t>
        </is>
      </c>
      <c r="T446" s="10" t="n">
        <v>504</v>
      </c>
      <c r="U446" s="10" t="n"/>
      <c r="V446" s="10" t="n"/>
      <c r="W446" s="10" t="n"/>
      <c r="X446" s="10" t="n">
        <v>5.75</v>
      </c>
      <c r="Y446" s="10" t="n">
        <v>25.56</v>
      </c>
      <c r="Z446" s="11" t="n">
        <v>4.45</v>
      </c>
      <c r="AA446" s="12" t="inlineStr">
        <is>
          <t>Transplanting (Pindot) or Direct Seeding (Pinaghandaan)</t>
        </is>
      </c>
      <c r="AB446" s="12" t="inlineStr">
        <is>
          <t>Conventional Tillage: 2 plowings + 2 harrowings; soil workable when moist</t>
        </is>
      </c>
      <c r="AC446" s="12" t="inlineStr">
        <is>
          <t>Intermittent irrigation (Alternate Wetting and Drying — AWD); moderate retention</t>
        </is>
      </c>
    </row>
    <row r="447" ht="21.75" customHeight="1" s="101">
      <c r="A447" s="13" t="inlineStr">
        <is>
          <t>Palay</t>
        </is>
      </c>
      <c r="B447" s="13" t="inlineStr">
        <is>
          <t>Pasileng Sur</t>
        </is>
      </c>
      <c r="C447" s="13" t="inlineStr">
        <is>
          <t>October</t>
        </is>
      </c>
      <c r="D447" s="13" t="inlineStr">
        <is>
          <t>2016</t>
        </is>
      </c>
      <c r="E447" s="13" t="inlineStr">
        <is>
          <t>WS 2016</t>
        </is>
      </c>
      <c r="F447" s="13" t="inlineStr">
        <is>
          <t>Harvest</t>
        </is>
      </c>
      <c r="G447" s="7" t="n">
        <v>16.23</v>
      </c>
      <c r="H447" s="8" t="n">
        <v>26</v>
      </c>
      <c r="I447" s="8" t="n">
        <v>21.16</v>
      </c>
      <c r="J447" s="8" t="n">
        <v>32.03</v>
      </c>
      <c r="K447" s="8" t="n">
        <v>87.93000000000001</v>
      </c>
      <c r="L447" s="8" t="n">
        <v>98.16</v>
      </c>
      <c r="M447" s="8" t="n">
        <v>16.33</v>
      </c>
      <c r="N447" s="13" t="inlineStr">
        <is>
          <t>Type I – Tropical Monsoon (PAGASA)</t>
        </is>
      </c>
      <c r="O447" s="13" t="inlineStr">
        <is>
          <t>Wet</t>
        </is>
      </c>
      <c r="P447" s="13" t="inlineStr">
        <is>
          <t>Sandy Loam</t>
        </is>
      </c>
      <c r="Q447" s="13" t="inlineStr">
        <is>
          <t>Flat / Lowland</t>
        </is>
      </c>
      <c r="R447" s="14" t="n">
        <v>30</v>
      </c>
      <c r="S447" s="13" t="inlineStr">
        <is>
          <t>Tagamusing River</t>
        </is>
      </c>
      <c r="T447" s="15" t="n">
        <v>414.96</v>
      </c>
      <c r="U447" s="15" t="n"/>
      <c r="V447" s="15" t="n"/>
      <c r="W447" s="15" t="n"/>
      <c r="X447" s="15" t="n">
        <v>6.6</v>
      </c>
      <c r="Y447" s="15" t="n">
        <v>31.64</v>
      </c>
      <c r="Z447" s="16" t="n">
        <v>4.79</v>
      </c>
      <c r="AA447" s="17" t="inlineStr">
        <is>
          <t>Transplanting (Pindot) or Direct Seeding (Pinaghandaan)</t>
        </is>
      </c>
      <c r="AB447" s="17" t="inlineStr">
        <is>
          <t>Conventional Tillage: 2 plowings + 2 harrowings; soil workable when moist</t>
        </is>
      </c>
      <c r="AC447" s="17" t="inlineStr">
        <is>
          <t>Intermittent irrigation (Alternate Wetting and Drying — AWD); moderate retention</t>
        </is>
      </c>
    </row>
    <row r="448" ht="21.75" customHeight="1" s="101">
      <c r="A448" s="6" t="inlineStr">
        <is>
          <t>Palay</t>
        </is>
      </c>
      <c r="B448" s="6" t="inlineStr">
        <is>
          <t>Sta. Maria Norte</t>
        </is>
      </c>
      <c r="C448" s="6" t="inlineStr">
        <is>
          <t>October</t>
        </is>
      </c>
      <c r="D448" s="6" t="inlineStr">
        <is>
          <t>2016</t>
        </is>
      </c>
      <c r="E448" s="6" t="inlineStr">
        <is>
          <t>WS 2016</t>
        </is>
      </c>
      <c r="F448" s="6" t="inlineStr">
        <is>
          <t>Harvest</t>
        </is>
      </c>
      <c r="G448" s="7" t="n">
        <v>16.23</v>
      </c>
      <c r="H448" s="8" t="n">
        <v>26</v>
      </c>
      <c r="I448" s="8" t="n">
        <v>21.16</v>
      </c>
      <c r="J448" s="8" t="n">
        <v>32.03</v>
      </c>
      <c r="K448" s="8" t="n">
        <v>87.93000000000001</v>
      </c>
      <c r="L448" s="8" t="n">
        <v>98.16</v>
      </c>
      <c r="M448" s="8" t="n">
        <v>16.33</v>
      </c>
      <c r="N448" s="6" t="inlineStr">
        <is>
          <t>Type I – Tropical Monsoon (PAGASA)</t>
        </is>
      </c>
      <c r="O448" s="6" t="inlineStr">
        <is>
          <t>Wet</t>
        </is>
      </c>
      <c r="P448" s="6" t="inlineStr">
        <is>
          <t>Sandy Loam</t>
        </is>
      </c>
      <c r="Q448" s="6" t="inlineStr">
        <is>
          <t>Flat / Lowland</t>
        </is>
      </c>
      <c r="R448" s="9" t="n">
        <v>30</v>
      </c>
      <c r="S448" s="6" t="inlineStr">
        <is>
          <t>Tagamusing River</t>
        </is>
      </c>
      <c r="T448" s="10" t="n">
        <v>157.08</v>
      </c>
      <c r="U448" s="10" t="n"/>
      <c r="V448" s="10" t="n"/>
      <c r="W448" s="10" t="n"/>
      <c r="X448" s="10" t="n">
        <v>1.05</v>
      </c>
      <c r="Y448" s="10" t="n">
        <v>5.38</v>
      </c>
      <c r="Z448" s="11" t="n">
        <v>5.12</v>
      </c>
      <c r="AA448" s="12" t="inlineStr">
        <is>
          <t>Transplanting (Pindot) or Direct Seeding (Pinaghandaan)</t>
        </is>
      </c>
      <c r="AB448" s="12" t="inlineStr">
        <is>
          <t>Conventional Tillage: 2 plowings + 2 harrowings; soil workable when moist</t>
        </is>
      </c>
      <c r="AC448" s="12" t="inlineStr">
        <is>
          <t>Intermittent irrigation (Alternate Wetting and Drying — AWD); moderate retention</t>
        </is>
      </c>
    </row>
    <row r="449" ht="21.75" customHeight="1" s="101">
      <c r="A449" s="13" t="inlineStr">
        <is>
          <t>Palay</t>
        </is>
      </c>
      <c r="B449" s="13" t="inlineStr">
        <is>
          <t>Bugayong</t>
        </is>
      </c>
      <c r="C449" s="13" t="inlineStr">
        <is>
          <t>October</t>
        </is>
      </c>
      <c r="D449" s="13" t="inlineStr">
        <is>
          <t>2016</t>
        </is>
      </c>
      <c r="E449" s="13" t="inlineStr">
        <is>
          <t>WS 2016</t>
        </is>
      </c>
      <c r="F449" s="13" t="inlineStr">
        <is>
          <t>Harvest</t>
        </is>
      </c>
      <c r="G449" s="7" t="n">
        <v>16.23</v>
      </c>
      <c r="H449" s="8" t="n">
        <v>26</v>
      </c>
      <c r="I449" s="8" t="n">
        <v>21.16</v>
      </c>
      <c r="J449" s="8" t="n">
        <v>32.03</v>
      </c>
      <c r="K449" s="8" t="n">
        <v>87.93000000000001</v>
      </c>
      <c r="L449" s="8" t="n">
        <v>98.16</v>
      </c>
      <c r="M449" s="8" t="n">
        <v>16.33</v>
      </c>
      <c r="N449" s="13" t="inlineStr">
        <is>
          <t>Type I – Tropical Monsoon (PAGASA)</t>
        </is>
      </c>
      <c r="O449" s="13" t="inlineStr">
        <is>
          <t>Wet</t>
        </is>
      </c>
      <c r="P449" s="13" t="inlineStr">
        <is>
          <t>Sandy Loam / Silty Clay Loam</t>
        </is>
      </c>
      <c r="Q449" s="13" t="inlineStr">
        <is>
          <t>Flat / Lowland</t>
        </is>
      </c>
      <c r="R449" s="14" t="n">
        <v>30</v>
      </c>
      <c r="S449" s="13" t="inlineStr">
        <is>
          <t>Aloragat River</t>
        </is>
      </c>
      <c r="T449" s="15" t="n">
        <v>346.08</v>
      </c>
      <c r="U449" s="15" t="n"/>
      <c r="V449" s="15" t="n"/>
      <c r="W449" s="15" t="n"/>
      <c r="X449" s="15" t="n">
        <v>25.1</v>
      </c>
      <c r="Y449" s="15" t="n">
        <v>117.29</v>
      </c>
      <c r="Z449" s="16" t="n">
        <v>4.67</v>
      </c>
      <c r="AA449" s="17" t="inlineStr">
        <is>
          <t>Transplanting (Pindot) — recommended; Direct Seeding possible in dry season</t>
        </is>
      </c>
      <c r="AB449" s="17" t="inlineStr">
        <is>
          <t>Conventional Tillage: 2 plowings + harrowing; puddle thoroughly for transplanting</t>
        </is>
      </c>
      <c r="AC449" s="17" t="inlineStr">
        <is>
          <t>Intermittent to continuous flooding; manage according to drainage section present</t>
        </is>
      </c>
    </row>
    <row r="450" ht="21.75" customHeight="1" s="101">
      <c r="A450" s="6" t="inlineStr">
        <is>
          <t>Palay</t>
        </is>
      </c>
      <c r="B450" s="6" t="inlineStr">
        <is>
          <t>Santiago</t>
        </is>
      </c>
      <c r="C450" s="6" t="inlineStr">
        <is>
          <t>October</t>
        </is>
      </c>
      <c r="D450" s="6" t="inlineStr">
        <is>
          <t>2016</t>
        </is>
      </c>
      <c r="E450" s="6" t="inlineStr">
        <is>
          <t>WS 2016</t>
        </is>
      </c>
      <c r="F450" s="6" t="inlineStr">
        <is>
          <t>Harvest</t>
        </is>
      </c>
      <c r="G450" s="7" t="n">
        <v>16.23</v>
      </c>
      <c r="H450" s="8" t="n">
        <v>26</v>
      </c>
      <c r="I450" s="8" t="n">
        <v>21.16</v>
      </c>
      <c r="J450" s="8" t="n">
        <v>32.03</v>
      </c>
      <c r="K450" s="8" t="n">
        <v>87.93000000000001</v>
      </c>
      <c r="L450" s="8" t="n">
        <v>98.16</v>
      </c>
      <c r="M450" s="8" t="n">
        <v>16.33</v>
      </c>
      <c r="N450" s="6" t="inlineStr">
        <is>
          <t>Type I – Tropical Monsoon (PAGASA)</t>
        </is>
      </c>
      <c r="O450" s="6" t="inlineStr">
        <is>
          <t>Wet</t>
        </is>
      </c>
      <c r="P450" s="6" t="inlineStr">
        <is>
          <t>Silty Clay Loam</t>
        </is>
      </c>
      <c r="Q450" s="6" t="inlineStr">
        <is>
          <t>Flat / Lowland</t>
        </is>
      </c>
      <c r="R450" s="9" t="n">
        <v>30</v>
      </c>
      <c r="S450" s="6" t="inlineStr">
        <is>
          <t>—</t>
        </is>
      </c>
      <c r="T450" s="10" t="n">
        <v>283.08</v>
      </c>
      <c r="U450" s="10" t="n"/>
      <c r="V450" s="10" t="n"/>
      <c r="W450" s="10" t="n"/>
      <c r="X450" s="10" t="n">
        <v>3.47</v>
      </c>
      <c r="Y450" s="10" t="n">
        <v>10.92</v>
      </c>
      <c r="Z450" s="11" t="n">
        <v>3.15</v>
      </c>
      <c r="AA450" s="12" t="inlineStr">
        <is>
          <t>Transplanting (Pindot) — optimal for clay-loam paddy fields</t>
        </is>
      </c>
      <c r="AB450" s="12" t="inlineStr">
        <is>
          <t>Wet Tillage (Puddling): 2 plowings + thorough harrowing under flooded condition</t>
        </is>
      </c>
      <c r="AC450" s="12" t="inlineStr">
        <is>
          <t>Continuous flooding 2–5 cm depth during vegetative stage; drain 2 weeks before harvest</t>
        </is>
      </c>
    </row>
    <row r="451" ht="21.75" customHeight="1" s="101">
      <c r="A451" s="13" t="inlineStr">
        <is>
          <t>Palay</t>
        </is>
      </c>
      <c r="B451" s="13" t="inlineStr">
        <is>
          <t>Pasileng Norte</t>
        </is>
      </c>
      <c r="C451" s="13" t="inlineStr">
        <is>
          <t>October</t>
        </is>
      </c>
      <c r="D451" s="13" t="inlineStr">
        <is>
          <t>2017</t>
        </is>
      </c>
      <c r="E451" s="13" t="inlineStr">
        <is>
          <t>WS 2017</t>
        </is>
      </c>
      <c r="F451" s="13" t="inlineStr">
        <is>
          <t>Harvest</t>
        </is>
      </c>
      <c r="G451" s="7" t="n">
        <v>6.92</v>
      </c>
      <c r="H451" s="8" t="n">
        <v>26.35</v>
      </c>
      <c r="I451" s="8" t="n">
        <v>21.79</v>
      </c>
      <c r="J451" s="8" t="n">
        <v>32.06</v>
      </c>
      <c r="K451" s="8" t="n">
        <v>85.04000000000001</v>
      </c>
      <c r="L451" s="8" t="n">
        <v>98.08</v>
      </c>
      <c r="M451" s="8" t="n">
        <v>16.96</v>
      </c>
      <c r="N451" s="13" t="inlineStr">
        <is>
          <t>Type I – Tropical Monsoon (PAGASA)</t>
        </is>
      </c>
      <c r="O451" s="13" t="inlineStr">
        <is>
          <t>Wet</t>
        </is>
      </c>
      <c r="P451" s="13" t="inlineStr">
        <is>
          <t>Sandy Loam</t>
        </is>
      </c>
      <c r="Q451" s="13" t="inlineStr">
        <is>
          <t>Flat / Lowland</t>
        </is>
      </c>
      <c r="R451" s="14" t="n">
        <v>30</v>
      </c>
      <c r="S451" s="13" t="inlineStr">
        <is>
          <t>Tagamusing River</t>
        </is>
      </c>
      <c r="T451" s="15" t="n">
        <v>140.28</v>
      </c>
      <c r="U451" s="15" t="n"/>
      <c r="V451" s="15" t="n"/>
      <c r="W451" s="15" t="n"/>
      <c r="X451" s="15" t="n">
        <v>2.25</v>
      </c>
      <c r="Y451" s="15" t="n">
        <v>18</v>
      </c>
      <c r="Z451" s="16" t="n">
        <v>8</v>
      </c>
      <c r="AA451" s="17" t="inlineStr">
        <is>
          <t>Transplanting (Pindot) or Direct Seeding (Pinaghandaan)</t>
        </is>
      </c>
      <c r="AB451" s="17" t="inlineStr">
        <is>
          <t>Conventional Tillage: 2 plowings + 2 harrowings; soil workable when moist</t>
        </is>
      </c>
      <c r="AC451" s="17" t="inlineStr">
        <is>
          <t>Intermittent irrigation (Alternate Wetting and Drying — AWD); moderate retention</t>
        </is>
      </c>
    </row>
    <row r="452" ht="21.75" customHeight="1" s="101">
      <c r="A452" s="6" t="inlineStr">
        <is>
          <t>Palay</t>
        </is>
      </c>
      <c r="B452" s="6" t="inlineStr">
        <is>
          <t>Tabuyoc</t>
        </is>
      </c>
      <c r="C452" s="6" t="inlineStr">
        <is>
          <t>October</t>
        </is>
      </c>
      <c r="D452" s="6" t="inlineStr">
        <is>
          <t>2017</t>
        </is>
      </c>
      <c r="E452" s="6" t="inlineStr">
        <is>
          <t>WS 2017</t>
        </is>
      </c>
      <c r="F452" s="6" t="inlineStr">
        <is>
          <t>Harvest</t>
        </is>
      </c>
      <c r="G452" s="7" t="n">
        <v>6.92</v>
      </c>
      <c r="H452" s="8" t="n">
        <v>26.35</v>
      </c>
      <c r="I452" s="8" t="n">
        <v>21.79</v>
      </c>
      <c r="J452" s="8" t="n">
        <v>32.06</v>
      </c>
      <c r="K452" s="8" t="n">
        <v>85.04000000000001</v>
      </c>
      <c r="L452" s="8" t="n">
        <v>98.08</v>
      </c>
      <c r="M452" s="8" t="n">
        <v>16.96</v>
      </c>
      <c r="N452" s="6" t="inlineStr">
        <is>
          <t>Type I – Tropical Monsoon (PAGASA)</t>
        </is>
      </c>
      <c r="O452" s="6" t="inlineStr">
        <is>
          <t>Wet</t>
        </is>
      </c>
      <c r="P452" s="6" t="inlineStr">
        <is>
          <t>Silty Clay Loam</t>
        </is>
      </c>
      <c r="Q452" s="6" t="inlineStr">
        <is>
          <t>Flat / Lowland</t>
        </is>
      </c>
      <c r="R452" s="9" t="n">
        <v>30</v>
      </c>
      <c r="S452" s="6" t="inlineStr">
        <is>
          <t>—</t>
        </is>
      </c>
      <c r="T452" s="10" t="n">
        <v>277.2</v>
      </c>
      <c r="U452" s="10" t="n"/>
      <c r="V452" s="10" t="n"/>
      <c r="W452" s="10" t="n"/>
      <c r="X452" s="10" t="n">
        <v>4</v>
      </c>
      <c r="Y452" s="10" t="n">
        <v>11.07</v>
      </c>
      <c r="Z452" s="11" t="n">
        <v>2.77</v>
      </c>
      <c r="AA452" s="12" t="inlineStr">
        <is>
          <t>Transplanting (Pindot) — optimal for clay-loam paddy fields</t>
        </is>
      </c>
      <c r="AB452" s="12" t="inlineStr">
        <is>
          <t>Wet Tillage (Puddling): 2 plowings + thorough harrowing under flooded condition</t>
        </is>
      </c>
      <c r="AC452" s="12" t="inlineStr">
        <is>
          <t>Continuous flooding 2–5 cm depth during vegetative stage; drain 2 weeks before harvest</t>
        </is>
      </c>
    </row>
    <row r="453" ht="21.75" customHeight="1" s="101">
      <c r="A453" s="13" t="inlineStr">
        <is>
          <t>Palay</t>
        </is>
      </c>
      <c r="B453" s="13" t="inlineStr">
        <is>
          <t>Bued</t>
        </is>
      </c>
      <c r="C453" s="13" t="inlineStr">
        <is>
          <t>October</t>
        </is>
      </c>
      <c r="D453" s="13" t="inlineStr">
        <is>
          <t>2017</t>
        </is>
      </c>
      <c r="E453" s="13" t="inlineStr">
        <is>
          <t>WS 2017</t>
        </is>
      </c>
      <c r="F453" s="13" t="inlineStr">
        <is>
          <t>Harvest</t>
        </is>
      </c>
      <c r="G453" s="7" t="n">
        <v>6.92</v>
      </c>
      <c r="H453" s="8" t="n">
        <v>26.35</v>
      </c>
      <c r="I453" s="8" t="n">
        <v>21.79</v>
      </c>
      <c r="J453" s="8" t="n">
        <v>32.06</v>
      </c>
      <c r="K453" s="8" t="n">
        <v>85.04000000000001</v>
      </c>
      <c r="L453" s="8" t="n">
        <v>98.08</v>
      </c>
      <c r="M453" s="8" t="n">
        <v>16.96</v>
      </c>
      <c r="N453" s="13" t="inlineStr">
        <is>
          <t>Type I – Tropical Monsoon (PAGASA)</t>
        </is>
      </c>
      <c r="O453" s="13" t="inlineStr">
        <is>
          <t>Wet</t>
        </is>
      </c>
      <c r="P453" s="13" t="inlineStr">
        <is>
          <t>Silty Clay Loam</t>
        </is>
      </c>
      <c r="Q453" s="13" t="inlineStr">
        <is>
          <t>Flat / Lowland</t>
        </is>
      </c>
      <c r="R453" s="14" t="n">
        <v>30</v>
      </c>
      <c r="S453" s="13" t="inlineStr">
        <is>
          <t>Tagamusing River</t>
        </is>
      </c>
      <c r="T453" s="15" t="n">
        <v>210.84</v>
      </c>
      <c r="U453" s="15" t="n"/>
      <c r="V453" s="15" t="n"/>
      <c r="W453" s="15" t="n"/>
      <c r="X453" s="15" t="n">
        <v>24.54</v>
      </c>
      <c r="Y453" s="15" t="n">
        <v>109.51</v>
      </c>
      <c r="Z453" s="16" t="n">
        <v>4.46</v>
      </c>
      <c r="AA453" s="17" t="inlineStr">
        <is>
          <t>Transplanting (Pindot) — optimal for clay-loam paddy fields</t>
        </is>
      </c>
      <c r="AB453" s="17" t="inlineStr">
        <is>
          <t>Wet Tillage (Puddling): 2 plowings + thorough harrowing under flooded condition</t>
        </is>
      </c>
      <c r="AC453" s="17" t="inlineStr">
        <is>
          <t>Continuous flooding 2–5 cm depth during vegetative stage; drain 2 weeks before harvest</t>
        </is>
      </c>
    </row>
    <row r="454" ht="21.75" customHeight="1" s="101">
      <c r="A454" s="6" t="inlineStr">
        <is>
          <t>Palay</t>
        </is>
      </c>
      <c r="B454" s="6" t="inlineStr">
        <is>
          <t>Dumayat</t>
        </is>
      </c>
      <c r="C454" s="6" t="inlineStr">
        <is>
          <t>October</t>
        </is>
      </c>
      <c r="D454" s="6" t="inlineStr">
        <is>
          <t>2017</t>
        </is>
      </c>
      <c r="E454" s="6" t="inlineStr">
        <is>
          <t>WS 2017</t>
        </is>
      </c>
      <c r="F454" s="6" t="inlineStr">
        <is>
          <t>Harvest</t>
        </is>
      </c>
      <c r="G454" s="7" t="n">
        <v>6.92</v>
      </c>
      <c r="H454" s="8" t="n">
        <v>26.35</v>
      </c>
      <c r="I454" s="8" t="n">
        <v>21.79</v>
      </c>
      <c r="J454" s="8" t="n">
        <v>32.06</v>
      </c>
      <c r="K454" s="8" t="n">
        <v>85.04000000000001</v>
      </c>
      <c r="L454" s="8" t="n">
        <v>98.08</v>
      </c>
      <c r="M454" s="8" t="n">
        <v>16.96</v>
      </c>
      <c r="N454" s="6" t="inlineStr">
        <is>
          <t>Type I – Tropical Monsoon (PAGASA)</t>
        </is>
      </c>
      <c r="O454" s="6" t="inlineStr">
        <is>
          <t>Wet</t>
        </is>
      </c>
      <c r="P454" s="6" t="inlineStr">
        <is>
          <t>Silty Clay Loam</t>
        </is>
      </c>
      <c r="Q454" s="6" t="inlineStr">
        <is>
          <t>Flat / Lowland</t>
        </is>
      </c>
      <c r="R454" s="9" t="n">
        <v>30</v>
      </c>
      <c r="S454" s="6" t="inlineStr">
        <is>
          <t>—</t>
        </is>
      </c>
      <c r="T454" s="10" t="n">
        <v>266.28</v>
      </c>
      <c r="U454" s="10" t="n"/>
      <c r="V454" s="10" t="n"/>
      <c r="W454" s="10" t="n"/>
      <c r="X454" s="10" t="n">
        <v>19.09</v>
      </c>
      <c r="Y454" s="10" t="n">
        <v>25.11</v>
      </c>
      <c r="Z454" s="11" t="n">
        <v>1.32</v>
      </c>
      <c r="AA454" s="12" t="inlineStr">
        <is>
          <t>Transplanting (Pindot) — optimal for clay-loam paddy fields</t>
        </is>
      </c>
      <c r="AB454" s="12" t="inlineStr">
        <is>
          <t>Wet Tillage (Puddling): 2 plowings + thorough harrowing under flooded condition</t>
        </is>
      </c>
      <c r="AC454" s="12" t="inlineStr">
        <is>
          <t>Continuous flooding 2–5 cm depth during vegetative stage; drain 2 weeks before harvest</t>
        </is>
      </c>
    </row>
    <row r="455" ht="21.75" customHeight="1" s="101">
      <c r="A455" s="13" t="inlineStr">
        <is>
          <t>Palay</t>
        </is>
      </c>
      <c r="B455" s="13" t="inlineStr">
        <is>
          <t>Camanggaan</t>
        </is>
      </c>
      <c r="C455" s="13" t="inlineStr">
        <is>
          <t>October</t>
        </is>
      </c>
      <c r="D455" s="13" t="inlineStr">
        <is>
          <t>2017</t>
        </is>
      </c>
      <c r="E455" s="13" t="inlineStr">
        <is>
          <t>WS 2017</t>
        </is>
      </c>
      <c r="F455" s="13" t="inlineStr">
        <is>
          <t>Harvest</t>
        </is>
      </c>
      <c r="G455" s="7" t="n">
        <v>6.92</v>
      </c>
      <c r="H455" s="8" t="n">
        <v>26.35</v>
      </c>
      <c r="I455" s="8" t="n">
        <v>21.79</v>
      </c>
      <c r="J455" s="8" t="n">
        <v>32.06</v>
      </c>
      <c r="K455" s="8" t="n">
        <v>85.04000000000001</v>
      </c>
      <c r="L455" s="8" t="n">
        <v>98.08</v>
      </c>
      <c r="M455" s="8" t="n">
        <v>16.96</v>
      </c>
      <c r="N455" s="13" t="inlineStr">
        <is>
          <t>Type I – Tropical Monsoon (PAGASA)</t>
        </is>
      </c>
      <c r="O455" s="13" t="inlineStr">
        <is>
          <t>Wet</t>
        </is>
      </c>
      <c r="P455" s="13" t="inlineStr">
        <is>
          <t>Sandy Loam</t>
        </is>
      </c>
      <c r="Q455" s="13" t="inlineStr">
        <is>
          <t>Flat / Lowland</t>
        </is>
      </c>
      <c r="R455" s="14" t="n">
        <v>30</v>
      </c>
      <c r="S455" s="13" t="inlineStr">
        <is>
          <t>—</t>
        </is>
      </c>
      <c r="T455" s="15" t="n">
        <v>244.44</v>
      </c>
      <c r="U455" s="15" t="n"/>
      <c r="V455" s="15" t="n"/>
      <c r="W455" s="15" t="n"/>
      <c r="X455" s="15" t="n">
        <v>2.5</v>
      </c>
      <c r="Y455" s="15" t="n">
        <v>20</v>
      </c>
      <c r="Z455" s="16" t="n">
        <v>8</v>
      </c>
      <c r="AA455" s="17" t="inlineStr">
        <is>
          <t>Transplanting (Pindot) or Direct Seeding (Pinaghandaan)</t>
        </is>
      </c>
      <c r="AB455" s="17" t="inlineStr">
        <is>
          <t>Conventional Tillage: 2 plowings + 2 harrowings; soil workable when moist</t>
        </is>
      </c>
      <c r="AC455" s="17" t="inlineStr">
        <is>
          <t>Intermittent irrigation (Alternate Wetting and Drying — AWD); moderate retention</t>
        </is>
      </c>
    </row>
    <row r="456" ht="21.75" customHeight="1" s="101">
      <c r="A456" s="6" t="inlineStr">
        <is>
          <t>Palay</t>
        </is>
      </c>
      <c r="B456" s="6" t="inlineStr">
        <is>
          <t>Vacante</t>
        </is>
      </c>
      <c r="C456" s="6" t="inlineStr">
        <is>
          <t>October</t>
        </is>
      </c>
      <c r="D456" s="6" t="inlineStr">
        <is>
          <t>2017</t>
        </is>
      </c>
      <c r="E456" s="6" t="inlineStr">
        <is>
          <t>WS 2017</t>
        </is>
      </c>
      <c r="F456" s="6" t="inlineStr">
        <is>
          <t>Harvest</t>
        </is>
      </c>
      <c r="G456" s="7" t="n">
        <v>6.92</v>
      </c>
      <c r="H456" s="8" t="n">
        <v>26.35</v>
      </c>
      <c r="I456" s="8" t="n">
        <v>21.79</v>
      </c>
      <c r="J456" s="8" t="n">
        <v>32.06</v>
      </c>
      <c r="K456" s="8" t="n">
        <v>85.04000000000001</v>
      </c>
      <c r="L456" s="8" t="n">
        <v>98.08</v>
      </c>
      <c r="M456" s="8" t="n">
        <v>16.96</v>
      </c>
      <c r="N456" s="6" t="inlineStr">
        <is>
          <t>Type I – Tropical Monsoon (PAGASA)</t>
        </is>
      </c>
      <c r="O456" s="6" t="inlineStr">
        <is>
          <t>Wet</t>
        </is>
      </c>
      <c r="P456" s="6" t="inlineStr">
        <is>
          <t>Silty Clay Loam</t>
        </is>
      </c>
      <c r="Q456" s="6" t="inlineStr">
        <is>
          <t>Flat / Lowland</t>
        </is>
      </c>
      <c r="R456" s="9" t="n">
        <v>30</v>
      </c>
      <c r="S456" s="6" t="inlineStr">
        <is>
          <t>Aloragat River</t>
        </is>
      </c>
      <c r="T456" s="10" t="n">
        <v>484.68</v>
      </c>
      <c r="U456" s="10" t="n"/>
      <c r="V456" s="10" t="n"/>
      <c r="W456" s="10" t="n"/>
      <c r="X456" s="10" t="n">
        <v>2.63</v>
      </c>
      <c r="Y456" s="10" t="n">
        <v>5.27</v>
      </c>
      <c r="Z456" s="11" t="n">
        <v>2</v>
      </c>
      <c r="AA456" s="12" t="inlineStr">
        <is>
          <t>Transplanting (Pindot) — optimal for clay-loam paddy fields</t>
        </is>
      </c>
      <c r="AB456" s="12" t="inlineStr">
        <is>
          <t>Wet Tillage (Puddling): 2 plowings + thorough harrowing under flooded condition</t>
        </is>
      </c>
      <c r="AC456" s="12" t="inlineStr">
        <is>
          <t>Continuous flooding 2–5 cm depth during vegetative stage; drain 2 weeks before harvest</t>
        </is>
      </c>
    </row>
    <row r="457" ht="21.75" customHeight="1" s="101">
      <c r="A457" s="13" t="inlineStr">
        <is>
          <t>Palay</t>
        </is>
      </c>
      <c r="B457" s="13" t="inlineStr">
        <is>
          <t>Sta. Catalina</t>
        </is>
      </c>
      <c r="C457" s="13" t="inlineStr">
        <is>
          <t>October</t>
        </is>
      </c>
      <c r="D457" s="13" t="inlineStr">
        <is>
          <t>2017</t>
        </is>
      </c>
      <c r="E457" s="13" t="inlineStr">
        <is>
          <t>WS 2017</t>
        </is>
      </c>
      <c r="F457" s="13" t="inlineStr">
        <is>
          <t>Harvest</t>
        </is>
      </c>
      <c r="G457" s="7" t="n">
        <v>6.92</v>
      </c>
      <c r="H457" s="8" t="n">
        <v>26.35</v>
      </c>
      <c r="I457" s="8" t="n">
        <v>21.79</v>
      </c>
      <c r="J457" s="8" t="n">
        <v>32.06</v>
      </c>
      <c r="K457" s="8" t="n">
        <v>85.04000000000001</v>
      </c>
      <c r="L457" s="8" t="n">
        <v>98.08</v>
      </c>
      <c r="M457" s="8" t="n">
        <v>16.96</v>
      </c>
      <c r="N457" s="13" t="inlineStr">
        <is>
          <t>Type I – Tropical Monsoon (PAGASA)</t>
        </is>
      </c>
      <c r="O457" s="13" t="inlineStr">
        <is>
          <t>Wet</t>
        </is>
      </c>
      <c r="P457" s="13" t="inlineStr">
        <is>
          <t>Fine Sand / Sandy Loam</t>
        </is>
      </c>
      <c r="Q457" s="13" t="inlineStr">
        <is>
          <t>Moderately Sloping / Highland</t>
        </is>
      </c>
      <c r="R457" s="14" t="n">
        <v>90</v>
      </c>
      <c r="S457" s="13" t="inlineStr">
        <is>
          <t>—</t>
        </is>
      </c>
      <c r="T457" s="15" t="n">
        <v>709.8</v>
      </c>
      <c r="U457" s="15" t="n"/>
      <c r="V457" s="15" t="n"/>
      <c r="W457" s="15" t="n"/>
      <c r="X457" s="15" t="n">
        <v>13</v>
      </c>
      <c r="Y457" s="15" t="n">
        <v>32.23</v>
      </c>
      <c r="Z457" s="16" t="n">
        <v>2.48</v>
      </c>
      <c r="AA457" s="17" t="inlineStr">
        <is>
          <t>Transplanting (Pindot)</t>
        </is>
      </c>
      <c r="AB457" s="17" t="inlineStr">
        <is>
          <t>Minimum Tillage (avoid compaction; sandy structure fragile)</t>
        </is>
      </c>
      <c r="AC457" s="17" t="inlineStr">
        <is>
          <t>Continuous flooding or frequent irrigation; high percolation risk; terrace or bund-assisted water retention essential on slopes</t>
        </is>
      </c>
    </row>
    <row r="458" ht="21.75" customHeight="1" s="101">
      <c r="A458" s="6" t="inlineStr">
        <is>
          <t>Palay</t>
        </is>
      </c>
      <c r="B458" s="6" t="inlineStr">
        <is>
          <t>Moreno</t>
        </is>
      </c>
      <c r="C458" s="6" t="inlineStr">
        <is>
          <t>October</t>
        </is>
      </c>
      <c r="D458" s="6" t="inlineStr">
        <is>
          <t>2017</t>
        </is>
      </c>
      <c r="E458" s="6" t="inlineStr">
        <is>
          <t>WS 2017</t>
        </is>
      </c>
      <c r="F458" s="6" t="inlineStr">
        <is>
          <t>Harvest</t>
        </is>
      </c>
      <c r="G458" s="7" t="n">
        <v>6.92</v>
      </c>
      <c r="H458" s="8" t="n">
        <v>26.35</v>
      </c>
      <c r="I458" s="8" t="n">
        <v>21.79</v>
      </c>
      <c r="J458" s="8" t="n">
        <v>32.06</v>
      </c>
      <c r="K458" s="8" t="n">
        <v>85.04000000000001</v>
      </c>
      <c r="L458" s="8" t="n">
        <v>98.08</v>
      </c>
      <c r="M458" s="8" t="n">
        <v>16.96</v>
      </c>
      <c r="N458" s="6" t="inlineStr">
        <is>
          <t>Type I – Tropical Monsoon (PAGASA)</t>
        </is>
      </c>
      <c r="O458" s="6" t="inlineStr">
        <is>
          <t>Wet</t>
        </is>
      </c>
      <c r="P458" s="6" t="inlineStr">
        <is>
          <t>Sandy Loam</t>
        </is>
      </c>
      <c r="Q458" s="6" t="inlineStr">
        <is>
          <t>Moderately Sloping / Highland</t>
        </is>
      </c>
      <c r="R458" s="9" t="n">
        <v>90</v>
      </c>
      <c r="S458" s="6" t="inlineStr">
        <is>
          <t>Alibeng River</t>
        </is>
      </c>
      <c r="T458" s="10" t="n">
        <v>641.76</v>
      </c>
      <c r="U458" s="10" t="n"/>
      <c r="V458" s="10" t="n"/>
      <c r="W458" s="10" t="n"/>
      <c r="X458" s="10" t="n">
        <v>11.5</v>
      </c>
      <c r="Y458" s="10" t="n">
        <v>33.43</v>
      </c>
      <c r="Z458" s="11" t="n">
        <v>2.91</v>
      </c>
      <c r="AA458" s="12" t="inlineStr">
        <is>
          <t>Transplanting (Pindot) or Direct Seeding (Pinaghandaan)</t>
        </is>
      </c>
      <c r="AB458" s="12" t="inlineStr">
        <is>
          <t>Conventional Tillage: 2 plowings + 2 harrowings; soil workable when moist</t>
        </is>
      </c>
      <c r="AC458" s="12" t="inlineStr">
        <is>
          <t>Intermittent irrigation (Alternate Wetting and Drying — AWD); moderate retention; terrace or bund-assisted water retention essential on slopes</t>
        </is>
      </c>
    </row>
    <row r="459" ht="21.75" customHeight="1" s="101">
      <c r="A459" s="13" t="inlineStr">
        <is>
          <t>Palay</t>
        </is>
      </c>
      <c r="B459" s="13" t="inlineStr">
        <is>
          <t>Cili</t>
        </is>
      </c>
      <c r="C459" s="13" t="inlineStr">
        <is>
          <t>October</t>
        </is>
      </c>
      <c r="D459" s="13" t="inlineStr">
        <is>
          <t>2017</t>
        </is>
      </c>
      <c r="E459" s="13" t="inlineStr">
        <is>
          <t>WS 2017</t>
        </is>
      </c>
      <c r="F459" s="13" t="inlineStr">
        <is>
          <t>Harvest</t>
        </is>
      </c>
      <c r="G459" s="7" t="n">
        <v>6.92</v>
      </c>
      <c r="H459" s="8" t="n">
        <v>26.35</v>
      </c>
      <c r="I459" s="8" t="n">
        <v>21.79</v>
      </c>
      <c r="J459" s="8" t="n">
        <v>32.06</v>
      </c>
      <c r="K459" s="8" t="n">
        <v>85.04000000000001</v>
      </c>
      <c r="L459" s="8" t="n">
        <v>98.08</v>
      </c>
      <c r="M459" s="8" t="n">
        <v>16.96</v>
      </c>
      <c r="N459" s="13" t="inlineStr">
        <is>
          <t>Type I – Tropical Monsoon (PAGASA)</t>
        </is>
      </c>
      <c r="O459" s="13" t="inlineStr">
        <is>
          <t>Wet</t>
        </is>
      </c>
      <c r="P459" s="13" t="inlineStr">
        <is>
          <t>Silty Clay Loam</t>
        </is>
      </c>
      <c r="Q459" s="13" t="inlineStr">
        <is>
          <t>Flat / Lowland</t>
        </is>
      </c>
      <c r="R459" s="14" t="n">
        <v>30</v>
      </c>
      <c r="S459" s="13" t="inlineStr">
        <is>
          <t>Alibeng River</t>
        </is>
      </c>
      <c r="T459" s="15" t="n">
        <v>264.6</v>
      </c>
      <c r="U459" s="15" t="n"/>
      <c r="V459" s="15" t="n"/>
      <c r="W459" s="15" t="n"/>
      <c r="X459" s="15" t="n">
        <v>20.04</v>
      </c>
      <c r="Y459" s="15" t="n">
        <v>24.44</v>
      </c>
      <c r="Z459" s="16" t="n">
        <v>1.22</v>
      </c>
      <c r="AA459" s="17" t="inlineStr">
        <is>
          <t>Transplanting (Pindot) — optimal for clay-loam paddy fields</t>
        </is>
      </c>
      <c r="AB459" s="17" t="inlineStr">
        <is>
          <t>Wet Tillage (Puddling): 2 plowings + thorough harrowing under flooded condition</t>
        </is>
      </c>
      <c r="AC459" s="17" t="inlineStr">
        <is>
          <t>Continuous flooding 2–5 cm depth during vegetative stage; drain 2 weeks before harvest</t>
        </is>
      </c>
    </row>
    <row r="460" ht="21.75" customHeight="1" s="101">
      <c r="A460" s="6" t="inlineStr">
        <is>
          <t>Palay</t>
        </is>
      </c>
      <c r="B460" s="6" t="inlineStr">
        <is>
          <t>Linmansangan</t>
        </is>
      </c>
      <c r="C460" s="6" t="inlineStr">
        <is>
          <t>October</t>
        </is>
      </c>
      <c r="D460" s="6" t="inlineStr">
        <is>
          <t>2017</t>
        </is>
      </c>
      <c r="E460" s="6" t="inlineStr">
        <is>
          <t>WS 2017</t>
        </is>
      </c>
      <c r="F460" s="6" t="inlineStr">
        <is>
          <t>Harvest</t>
        </is>
      </c>
      <c r="G460" s="7" t="n">
        <v>6.92</v>
      </c>
      <c r="H460" s="8" t="n">
        <v>26.35</v>
      </c>
      <c r="I460" s="8" t="n">
        <v>21.79</v>
      </c>
      <c r="J460" s="8" t="n">
        <v>32.06</v>
      </c>
      <c r="K460" s="8" t="n">
        <v>85.04000000000001</v>
      </c>
      <c r="L460" s="8" t="n">
        <v>98.08</v>
      </c>
      <c r="M460" s="8" t="n">
        <v>16.96</v>
      </c>
      <c r="N460" s="6" t="inlineStr">
        <is>
          <t>Type I – Tropical Monsoon (PAGASA)</t>
        </is>
      </c>
      <c r="O460" s="6" t="inlineStr">
        <is>
          <t>Wet</t>
        </is>
      </c>
      <c r="P460" s="6" t="inlineStr">
        <is>
          <t>Silty Clay Loam</t>
        </is>
      </c>
      <c r="Q460" s="6" t="inlineStr">
        <is>
          <t>Flat / Lowland</t>
        </is>
      </c>
      <c r="R460" s="9" t="n">
        <v>30</v>
      </c>
      <c r="S460" s="6" t="inlineStr">
        <is>
          <t>—</t>
        </is>
      </c>
      <c r="T460" s="10" t="n">
        <v>492.24</v>
      </c>
      <c r="U460" s="10" t="n"/>
      <c r="V460" s="10" t="n"/>
      <c r="W460" s="10" t="n"/>
      <c r="X460" s="10" t="n">
        <v>42.7</v>
      </c>
      <c r="Y460" s="10" t="n">
        <v>16.79</v>
      </c>
      <c r="Z460" s="11" t="n">
        <v>0.39</v>
      </c>
      <c r="AA460" s="12" t="inlineStr">
        <is>
          <t>Transplanting (Pindot) — optimal for clay-loam paddy fields</t>
        </is>
      </c>
      <c r="AB460" s="12" t="inlineStr">
        <is>
          <t>Wet Tillage (Puddling): 2 plowings + thorough harrowing under flooded condition</t>
        </is>
      </c>
      <c r="AC460" s="12" t="inlineStr">
        <is>
          <t>Continuous flooding 2–5 cm depth during vegetative stage; drain 2 weeks before harvest</t>
        </is>
      </c>
    </row>
    <row r="461" ht="21.75" customHeight="1" s="101">
      <c r="A461" s="13" t="inlineStr">
        <is>
          <t>Palay</t>
        </is>
      </c>
      <c r="B461" s="13" t="inlineStr">
        <is>
          <t>Sumabnit</t>
        </is>
      </c>
      <c r="C461" s="13" t="inlineStr">
        <is>
          <t>October</t>
        </is>
      </c>
      <c r="D461" s="13" t="inlineStr">
        <is>
          <t>2017</t>
        </is>
      </c>
      <c r="E461" s="13" t="inlineStr">
        <is>
          <t>WS 2017</t>
        </is>
      </c>
      <c r="F461" s="13" t="inlineStr">
        <is>
          <t>Harvest</t>
        </is>
      </c>
      <c r="G461" s="7" t="n">
        <v>6.92</v>
      </c>
      <c r="H461" s="8" t="n">
        <v>26.35</v>
      </c>
      <c r="I461" s="8" t="n">
        <v>21.79</v>
      </c>
      <c r="J461" s="8" t="n">
        <v>32.06</v>
      </c>
      <c r="K461" s="8" t="n">
        <v>85.04000000000001</v>
      </c>
      <c r="L461" s="8" t="n">
        <v>98.08</v>
      </c>
      <c r="M461" s="8" t="n">
        <v>16.96</v>
      </c>
      <c r="N461" s="13" t="inlineStr">
        <is>
          <t>Type I – Tropical Monsoon (PAGASA)</t>
        </is>
      </c>
      <c r="O461" s="13" t="inlineStr">
        <is>
          <t>Wet</t>
        </is>
      </c>
      <c r="P461" s="13" t="inlineStr">
        <is>
          <t>Silty Clay Loam / Fine Sandy Loam</t>
        </is>
      </c>
      <c r="Q461" s="13" t="inlineStr">
        <is>
          <t>Flat / Lowland</t>
        </is>
      </c>
      <c r="R461" s="14" t="n">
        <v>30</v>
      </c>
      <c r="S461" s="13" t="inlineStr">
        <is>
          <t>Tagamusing River</t>
        </is>
      </c>
      <c r="T461" s="15" t="n">
        <v>406.56</v>
      </c>
      <c r="U461" s="15" t="n"/>
      <c r="V461" s="15" t="n"/>
      <c r="W461" s="15" t="n"/>
      <c r="X461" s="15" t="n">
        <v>3.14</v>
      </c>
      <c r="Y461" s="15" t="n">
        <v>8.94</v>
      </c>
      <c r="Z461" s="16" t="n">
        <v>2.85</v>
      </c>
      <c r="AA461" s="17" t="inlineStr">
        <is>
          <t>Transplanting (Pindot)</t>
        </is>
      </c>
      <c r="AB461" s="17" t="inlineStr">
        <is>
          <t>Minimum Tillage (avoid compaction; sandy structure fragile)</t>
        </is>
      </c>
      <c r="AC461" s="17" t="inlineStr">
        <is>
          <t>Continuous flooding or frequent irrigation; high percolation risk</t>
        </is>
      </c>
    </row>
    <row r="462" ht="21.75" customHeight="1" s="101">
      <c r="A462" s="6" t="inlineStr">
        <is>
          <t>Palay</t>
        </is>
      </c>
      <c r="B462" s="6" t="inlineStr">
        <is>
          <t>Capas</t>
        </is>
      </c>
      <c r="C462" s="6" t="inlineStr">
        <is>
          <t>October</t>
        </is>
      </c>
      <c r="D462" s="6" t="inlineStr">
        <is>
          <t>2017</t>
        </is>
      </c>
      <c r="E462" s="6" t="inlineStr">
        <is>
          <t>WS 2017</t>
        </is>
      </c>
      <c r="F462" s="6" t="inlineStr">
        <is>
          <t>Harvest</t>
        </is>
      </c>
      <c r="G462" s="7" t="n">
        <v>6.92</v>
      </c>
      <c r="H462" s="8" t="n">
        <v>26.35</v>
      </c>
      <c r="I462" s="8" t="n">
        <v>21.79</v>
      </c>
      <c r="J462" s="8" t="n">
        <v>32.06</v>
      </c>
      <c r="K462" s="8" t="n">
        <v>85.04000000000001</v>
      </c>
      <c r="L462" s="8" t="n">
        <v>98.08</v>
      </c>
      <c r="M462" s="8" t="n">
        <v>16.96</v>
      </c>
      <c r="N462" s="6" t="inlineStr">
        <is>
          <t>Type I – Tropical Monsoon (PAGASA)</t>
        </is>
      </c>
      <c r="O462" s="6" t="inlineStr">
        <is>
          <t>Wet</t>
        </is>
      </c>
      <c r="P462" s="6" t="inlineStr">
        <is>
          <t>Sandy Loam</t>
        </is>
      </c>
      <c r="Q462" s="6" t="inlineStr">
        <is>
          <t>Flat / Lowland</t>
        </is>
      </c>
      <c r="R462" s="9" t="n">
        <v>30</v>
      </c>
      <c r="S462" s="6" t="inlineStr">
        <is>
          <t>—</t>
        </is>
      </c>
      <c r="T462" s="10" t="n">
        <v>377.16</v>
      </c>
      <c r="U462" s="10" t="n"/>
      <c r="V462" s="10" t="n"/>
      <c r="W462" s="10" t="n"/>
      <c r="X462" s="10" t="n">
        <v>2</v>
      </c>
      <c r="Y462" s="10" t="n">
        <v>16</v>
      </c>
      <c r="Z462" s="11" t="n">
        <v>8</v>
      </c>
      <c r="AA462" s="12" t="inlineStr">
        <is>
          <t>Transplanting (Pindot) or Direct Seeding (Pinaghandaan)</t>
        </is>
      </c>
      <c r="AB462" s="12" t="inlineStr">
        <is>
          <t>Conventional Tillage: 2 plowings + 2 harrowings; soil workable when moist</t>
        </is>
      </c>
      <c r="AC462" s="12" t="inlineStr">
        <is>
          <t>Intermittent irrigation (Alternate Wetting and Drying — AWD); moderate retention</t>
        </is>
      </c>
    </row>
    <row r="463" ht="21.75" customHeight="1" s="101">
      <c r="A463" s="13" t="inlineStr">
        <is>
          <t>Palay</t>
        </is>
      </c>
      <c r="B463" s="13" t="inlineStr">
        <is>
          <t>Mangkasuy</t>
        </is>
      </c>
      <c r="C463" s="13" t="inlineStr">
        <is>
          <t>October</t>
        </is>
      </c>
      <c r="D463" s="13" t="inlineStr">
        <is>
          <t>2017</t>
        </is>
      </c>
      <c r="E463" s="13" t="inlineStr">
        <is>
          <t>WS 2017</t>
        </is>
      </c>
      <c r="F463" s="13" t="inlineStr">
        <is>
          <t>Harvest</t>
        </is>
      </c>
      <c r="G463" s="7" t="n">
        <v>6.92</v>
      </c>
      <c r="H463" s="8" t="n">
        <v>26.35</v>
      </c>
      <c r="I463" s="8" t="n">
        <v>21.79</v>
      </c>
      <c r="J463" s="8" t="n">
        <v>32.06</v>
      </c>
      <c r="K463" s="8" t="n">
        <v>85.04000000000001</v>
      </c>
      <c r="L463" s="8" t="n">
        <v>98.08</v>
      </c>
      <c r="M463" s="8" t="n">
        <v>16.96</v>
      </c>
      <c r="N463" s="13" t="inlineStr">
        <is>
          <t>Type I – Tropical Monsoon (PAGASA)</t>
        </is>
      </c>
      <c r="O463" s="13" t="inlineStr">
        <is>
          <t>Wet</t>
        </is>
      </c>
      <c r="P463" s="13" t="inlineStr">
        <is>
          <t>Sandy Loam</t>
        </is>
      </c>
      <c r="Q463" s="13" t="inlineStr">
        <is>
          <t>Flat / Lowland</t>
        </is>
      </c>
      <c r="R463" s="14" t="n">
        <v>30</v>
      </c>
      <c r="S463" s="13" t="inlineStr">
        <is>
          <t>Tagamusing River</t>
        </is>
      </c>
      <c r="T463" s="15" t="n">
        <v>802.2</v>
      </c>
      <c r="U463" s="15" t="n"/>
      <c r="V463" s="15" t="n"/>
      <c r="W463" s="15" t="n"/>
      <c r="X463" s="15" t="n">
        <v>8.44</v>
      </c>
      <c r="Y463" s="15" t="n">
        <v>23.76</v>
      </c>
      <c r="Z463" s="16" t="n">
        <v>2.82</v>
      </c>
      <c r="AA463" s="17" t="inlineStr">
        <is>
          <t>Transplanting (Pindot) or Direct Seeding (Pinaghandaan)</t>
        </is>
      </c>
      <c r="AB463" s="17" t="inlineStr">
        <is>
          <t>Conventional Tillage: 2 plowings + 2 harrowings; soil workable when moist</t>
        </is>
      </c>
      <c r="AC463" s="17" t="inlineStr">
        <is>
          <t>Intermittent irrigation (Alternate Wetting and Drying — AWD); moderate retention</t>
        </is>
      </c>
    </row>
    <row r="464" ht="21.75" customHeight="1" s="101">
      <c r="A464" s="6" t="inlineStr">
        <is>
          <t>Palay</t>
        </is>
      </c>
      <c r="B464" s="6" t="inlineStr">
        <is>
          <t>San Pablo</t>
        </is>
      </c>
      <c r="C464" s="6" t="inlineStr">
        <is>
          <t>October</t>
        </is>
      </c>
      <c r="D464" s="6" t="inlineStr">
        <is>
          <t>2017</t>
        </is>
      </c>
      <c r="E464" s="6" t="inlineStr">
        <is>
          <t>WS 2017</t>
        </is>
      </c>
      <c r="F464" s="6" t="inlineStr">
        <is>
          <t>Harvest</t>
        </is>
      </c>
      <c r="G464" s="7" t="n">
        <v>6.92</v>
      </c>
      <c r="H464" s="8" t="n">
        <v>26.35</v>
      </c>
      <c r="I464" s="8" t="n">
        <v>21.79</v>
      </c>
      <c r="J464" s="8" t="n">
        <v>32.06</v>
      </c>
      <c r="K464" s="8" t="n">
        <v>85.04000000000001</v>
      </c>
      <c r="L464" s="8" t="n">
        <v>98.08</v>
      </c>
      <c r="M464" s="8" t="n">
        <v>16.96</v>
      </c>
      <c r="N464" s="6" t="inlineStr">
        <is>
          <t>Type I – Tropical Monsoon (PAGASA)</t>
        </is>
      </c>
      <c r="O464" s="6" t="inlineStr">
        <is>
          <t>Wet</t>
        </is>
      </c>
      <c r="P464" s="6" t="inlineStr">
        <is>
          <t>Sandy Loam</t>
        </is>
      </c>
      <c r="Q464" s="6" t="inlineStr">
        <is>
          <t>Flat / Lowland</t>
        </is>
      </c>
      <c r="R464" s="9" t="n">
        <v>30</v>
      </c>
      <c r="S464" s="6" t="inlineStr">
        <is>
          <t>San Pablo Creek</t>
        </is>
      </c>
      <c r="T464" s="10" t="n">
        <v>215.04</v>
      </c>
      <c r="U464" s="10" t="n"/>
      <c r="V464" s="10" t="n"/>
      <c r="W464" s="10" t="n"/>
      <c r="X464" s="10" t="n">
        <v>1.05</v>
      </c>
      <c r="Y464" s="10" t="n">
        <v>6.66</v>
      </c>
      <c r="Z464" s="11" t="n">
        <v>6.34</v>
      </c>
      <c r="AA464" s="12" t="inlineStr">
        <is>
          <t>Transplanting (Pindot) or Direct Seeding (Pinaghandaan)</t>
        </is>
      </c>
      <c r="AB464" s="12" t="inlineStr">
        <is>
          <t>Conventional Tillage: 2 plowings + 2 harrowings; soil workable when moist</t>
        </is>
      </c>
      <c r="AC464" s="12" t="inlineStr">
        <is>
          <t>Intermittent irrigation (Alternate Wetting and Drying — AWD); moderate retention</t>
        </is>
      </c>
    </row>
    <row r="465" ht="21.75" customHeight="1" s="101">
      <c r="A465" s="13" t="inlineStr">
        <is>
          <t>Palay</t>
        </is>
      </c>
      <c r="B465" s="13" t="inlineStr">
        <is>
          <t>Balangobong</t>
        </is>
      </c>
      <c r="C465" s="13" t="inlineStr">
        <is>
          <t>October</t>
        </is>
      </c>
      <c r="D465" s="13" t="inlineStr">
        <is>
          <t>2017</t>
        </is>
      </c>
      <c r="E465" s="13" t="inlineStr">
        <is>
          <t>WS 2017</t>
        </is>
      </c>
      <c r="F465" s="13" t="inlineStr">
        <is>
          <t>Harvest</t>
        </is>
      </c>
      <c r="G465" s="7" t="n">
        <v>6.92</v>
      </c>
      <c r="H465" s="8" t="n">
        <v>26.35</v>
      </c>
      <c r="I465" s="8" t="n">
        <v>21.79</v>
      </c>
      <c r="J465" s="8" t="n">
        <v>32.06</v>
      </c>
      <c r="K465" s="8" t="n">
        <v>85.04000000000001</v>
      </c>
      <c r="L465" s="8" t="n">
        <v>98.08</v>
      </c>
      <c r="M465" s="8" t="n">
        <v>16.96</v>
      </c>
      <c r="N465" s="13" t="inlineStr">
        <is>
          <t>Type I – Tropical Monsoon (PAGASA)</t>
        </is>
      </c>
      <c r="O465" s="13" t="inlineStr">
        <is>
          <t>Wet</t>
        </is>
      </c>
      <c r="P465" s="13" t="inlineStr">
        <is>
          <t>Silty Clay Loam</t>
        </is>
      </c>
      <c r="Q465" s="13" t="inlineStr">
        <is>
          <t>Flat / Lowland</t>
        </is>
      </c>
      <c r="R465" s="14" t="n">
        <v>30</v>
      </c>
      <c r="S465" s="13" t="inlineStr">
        <is>
          <t>—</t>
        </is>
      </c>
      <c r="T465" s="15" t="n">
        <v>281.4</v>
      </c>
      <c r="U465" s="15" t="n"/>
      <c r="V465" s="15" t="n"/>
      <c r="W465" s="15" t="n"/>
      <c r="X465" s="15" t="n">
        <v>39.98</v>
      </c>
      <c r="Y465" s="15" t="n">
        <v>194.73</v>
      </c>
      <c r="Z465" s="16" t="n">
        <v>4.87</v>
      </c>
      <c r="AA465" s="17" t="inlineStr">
        <is>
          <t>Transplanting (Pindot) — optimal for clay-loam paddy fields</t>
        </is>
      </c>
      <c r="AB465" s="17" t="inlineStr">
        <is>
          <t>Wet Tillage (Puddling): 2 plowings + thorough harrowing under flooded condition</t>
        </is>
      </c>
      <c r="AC465" s="17" t="inlineStr">
        <is>
          <t>Continuous flooding 2–5 cm depth during vegetative stage; drain 2 weeks before harvest</t>
        </is>
      </c>
    </row>
    <row r="466" ht="21.75" customHeight="1" s="101">
      <c r="A466" s="6" t="inlineStr">
        <is>
          <t>Palay</t>
        </is>
      </c>
      <c r="B466" s="6" t="inlineStr">
        <is>
          <t>San Felipe Central</t>
        </is>
      </c>
      <c r="C466" s="6" t="inlineStr">
        <is>
          <t>October</t>
        </is>
      </c>
      <c r="D466" s="6" t="inlineStr">
        <is>
          <t>2017</t>
        </is>
      </c>
      <c r="E466" s="6" t="inlineStr">
        <is>
          <t>WS 2017</t>
        </is>
      </c>
      <c r="F466" s="6" t="inlineStr">
        <is>
          <t>Harvest</t>
        </is>
      </c>
      <c r="G466" s="7" t="n">
        <v>6.92</v>
      </c>
      <c r="H466" s="8" t="n">
        <v>26.35</v>
      </c>
      <c r="I466" s="8" t="n">
        <v>21.79</v>
      </c>
      <c r="J466" s="8" t="n">
        <v>32.06</v>
      </c>
      <c r="K466" s="8" t="n">
        <v>85.04000000000001</v>
      </c>
      <c r="L466" s="8" t="n">
        <v>98.08</v>
      </c>
      <c r="M466" s="8" t="n">
        <v>16.96</v>
      </c>
      <c r="N466" s="6" t="inlineStr">
        <is>
          <t>Type I – Tropical Monsoon (PAGASA)</t>
        </is>
      </c>
      <c r="O466" s="6" t="inlineStr">
        <is>
          <t>Wet</t>
        </is>
      </c>
      <c r="P466" s="6" t="inlineStr">
        <is>
          <t>Sandy Loam</t>
        </is>
      </c>
      <c r="Q466" s="6" t="inlineStr">
        <is>
          <t>Flat / Lowland</t>
        </is>
      </c>
      <c r="R466" s="9" t="n">
        <v>30</v>
      </c>
      <c r="S466" s="6" t="inlineStr">
        <is>
          <t>—</t>
        </is>
      </c>
      <c r="T466" s="10" t="n">
        <v>452.76</v>
      </c>
      <c r="U466" s="10" t="n"/>
      <c r="V466" s="10" t="n"/>
      <c r="W466" s="10" t="n"/>
      <c r="X466" s="10" t="n">
        <v>5.7</v>
      </c>
      <c r="Y466" s="10" t="n">
        <v>25.65</v>
      </c>
      <c r="Z466" s="11" t="n">
        <v>4.5</v>
      </c>
      <c r="AA466" s="12" t="inlineStr">
        <is>
          <t>Transplanting (Pindot) or Direct Seeding (Pinaghandaan)</t>
        </is>
      </c>
      <c r="AB466" s="12" t="inlineStr">
        <is>
          <t>Conventional Tillage: 2 plowings + 2 harrowings; soil workable when moist</t>
        </is>
      </c>
      <c r="AC466" s="12" t="inlineStr">
        <is>
          <t>Intermittent irrigation (Alternate Wetting and Drying — AWD); moderate retention</t>
        </is>
      </c>
    </row>
    <row r="467" ht="21.75" customHeight="1" s="101">
      <c r="A467" s="13" t="inlineStr">
        <is>
          <t>Palay</t>
        </is>
      </c>
      <c r="B467" s="13" t="inlineStr">
        <is>
          <t>San Felipe Sur</t>
        </is>
      </c>
      <c r="C467" s="13" t="inlineStr">
        <is>
          <t>October</t>
        </is>
      </c>
      <c r="D467" s="13" t="inlineStr">
        <is>
          <t>2017</t>
        </is>
      </c>
      <c r="E467" s="13" t="inlineStr">
        <is>
          <t>WS 2017</t>
        </is>
      </c>
      <c r="F467" s="13" t="inlineStr">
        <is>
          <t>Harvest</t>
        </is>
      </c>
      <c r="G467" s="7" t="n">
        <v>6.92</v>
      </c>
      <c r="H467" s="8" t="n">
        <v>26.35</v>
      </c>
      <c r="I467" s="8" t="n">
        <v>21.79</v>
      </c>
      <c r="J467" s="8" t="n">
        <v>32.06</v>
      </c>
      <c r="K467" s="8" t="n">
        <v>85.04000000000001</v>
      </c>
      <c r="L467" s="8" t="n">
        <v>98.08</v>
      </c>
      <c r="M467" s="8" t="n">
        <v>16.96</v>
      </c>
      <c r="N467" s="13" t="inlineStr">
        <is>
          <t>Type I – Tropical Monsoon (PAGASA)</t>
        </is>
      </c>
      <c r="O467" s="13" t="inlineStr">
        <is>
          <t>Wet</t>
        </is>
      </c>
      <c r="P467" s="13" t="inlineStr">
        <is>
          <t>Sandy Loam</t>
        </is>
      </c>
      <c r="Q467" s="13" t="inlineStr">
        <is>
          <t>Flat / Lowland</t>
        </is>
      </c>
      <c r="R467" s="14" t="n">
        <v>30</v>
      </c>
      <c r="S467" s="13" t="inlineStr">
        <is>
          <t>Tagamusing River</t>
        </is>
      </c>
      <c r="T467" s="15" t="n">
        <v>504</v>
      </c>
      <c r="U467" s="15" t="n"/>
      <c r="V467" s="15" t="n"/>
      <c r="W467" s="15" t="n"/>
      <c r="X467" s="15" t="n">
        <v>5</v>
      </c>
      <c r="Y467" s="15" t="n">
        <v>18.13</v>
      </c>
      <c r="Z467" s="16" t="n">
        <v>3.63</v>
      </c>
      <c r="AA467" s="17" t="inlineStr">
        <is>
          <t>Transplanting (Pindot) or Direct Seeding (Pinaghandaan)</t>
        </is>
      </c>
      <c r="AB467" s="17" t="inlineStr">
        <is>
          <t>Conventional Tillage: 2 plowings + 2 harrowings; soil workable when moist</t>
        </is>
      </c>
      <c r="AC467" s="17" t="inlineStr">
        <is>
          <t>Intermittent irrigation (Alternate Wetting and Drying — AWD); moderate retention</t>
        </is>
      </c>
    </row>
    <row r="468" ht="21.75" customHeight="1" s="101">
      <c r="A468" s="6" t="inlineStr">
        <is>
          <t>Palay</t>
        </is>
      </c>
      <c r="B468" s="6" t="inlineStr">
        <is>
          <t>Pasileng Sur</t>
        </is>
      </c>
      <c r="C468" s="6" t="inlineStr">
        <is>
          <t>October</t>
        </is>
      </c>
      <c r="D468" s="6" t="inlineStr">
        <is>
          <t>2017</t>
        </is>
      </c>
      <c r="E468" s="6" t="inlineStr">
        <is>
          <t>WS 2017</t>
        </is>
      </c>
      <c r="F468" s="6" t="inlineStr">
        <is>
          <t>Harvest</t>
        </is>
      </c>
      <c r="G468" s="7" t="n">
        <v>6.92</v>
      </c>
      <c r="H468" s="8" t="n">
        <v>26.35</v>
      </c>
      <c r="I468" s="8" t="n">
        <v>21.79</v>
      </c>
      <c r="J468" s="8" t="n">
        <v>32.06</v>
      </c>
      <c r="K468" s="8" t="n">
        <v>85.04000000000001</v>
      </c>
      <c r="L468" s="8" t="n">
        <v>98.08</v>
      </c>
      <c r="M468" s="8" t="n">
        <v>16.96</v>
      </c>
      <c r="N468" s="6" t="inlineStr">
        <is>
          <t>Type I – Tropical Monsoon (PAGASA)</t>
        </is>
      </c>
      <c r="O468" s="6" t="inlineStr">
        <is>
          <t>Wet</t>
        </is>
      </c>
      <c r="P468" s="6" t="inlineStr">
        <is>
          <t>Sandy Loam</t>
        </is>
      </c>
      <c r="Q468" s="6" t="inlineStr">
        <is>
          <t>Flat / Lowland</t>
        </is>
      </c>
      <c r="R468" s="9" t="n">
        <v>30</v>
      </c>
      <c r="S468" s="6" t="inlineStr">
        <is>
          <t>Tagamusing River</t>
        </is>
      </c>
      <c r="T468" s="10" t="n">
        <v>414.96</v>
      </c>
      <c r="U468" s="10" t="n"/>
      <c r="V468" s="10" t="n"/>
      <c r="W468" s="10" t="n"/>
      <c r="X468" s="10" t="n">
        <v>6.91</v>
      </c>
      <c r="Y468" s="10" t="n">
        <v>29.51</v>
      </c>
      <c r="Z468" s="11" t="n">
        <v>4.27</v>
      </c>
      <c r="AA468" s="12" t="inlineStr">
        <is>
          <t>Transplanting (Pindot) or Direct Seeding (Pinaghandaan)</t>
        </is>
      </c>
      <c r="AB468" s="12" t="inlineStr">
        <is>
          <t>Conventional Tillage: 2 plowings + 2 harrowings; soil workable when moist</t>
        </is>
      </c>
      <c r="AC468" s="12" t="inlineStr">
        <is>
          <t>Intermittent irrigation (Alternate Wetting and Drying — AWD); moderate retention</t>
        </is>
      </c>
    </row>
    <row r="469" ht="21.75" customHeight="1" s="101">
      <c r="A469" s="13" t="inlineStr">
        <is>
          <t>Palay</t>
        </is>
      </c>
      <c r="B469" s="13" t="inlineStr">
        <is>
          <t>Sta. Maria Norte</t>
        </is>
      </c>
      <c r="C469" s="13" t="inlineStr">
        <is>
          <t>October</t>
        </is>
      </c>
      <c r="D469" s="13" t="inlineStr">
        <is>
          <t>2017</t>
        </is>
      </c>
      <c r="E469" s="13" t="inlineStr">
        <is>
          <t>WS 2017</t>
        </is>
      </c>
      <c r="F469" s="13" t="inlineStr">
        <is>
          <t>Harvest</t>
        </is>
      </c>
      <c r="G469" s="7" t="n">
        <v>6.92</v>
      </c>
      <c r="H469" s="8" t="n">
        <v>26.35</v>
      </c>
      <c r="I469" s="8" t="n">
        <v>21.79</v>
      </c>
      <c r="J469" s="8" t="n">
        <v>32.06</v>
      </c>
      <c r="K469" s="8" t="n">
        <v>85.04000000000001</v>
      </c>
      <c r="L469" s="8" t="n">
        <v>98.08</v>
      </c>
      <c r="M469" s="8" t="n">
        <v>16.96</v>
      </c>
      <c r="N469" s="13" t="inlineStr">
        <is>
          <t>Type I – Tropical Monsoon (PAGASA)</t>
        </is>
      </c>
      <c r="O469" s="13" t="inlineStr">
        <is>
          <t>Wet</t>
        </is>
      </c>
      <c r="P469" s="13" t="inlineStr">
        <is>
          <t>Sandy Loam</t>
        </is>
      </c>
      <c r="Q469" s="13" t="inlineStr">
        <is>
          <t>Flat / Lowland</t>
        </is>
      </c>
      <c r="R469" s="14" t="n">
        <v>30</v>
      </c>
      <c r="S469" s="13" t="inlineStr">
        <is>
          <t>Tagamusing River</t>
        </is>
      </c>
      <c r="T469" s="15" t="n">
        <v>157.08</v>
      </c>
      <c r="U469" s="15" t="n"/>
      <c r="V469" s="15" t="n"/>
      <c r="W469" s="15" t="n"/>
      <c r="X469" s="15" t="n">
        <v>1.35</v>
      </c>
      <c r="Y469" s="15" t="n">
        <v>3.98</v>
      </c>
      <c r="Z469" s="16" t="n">
        <v>2.95</v>
      </c>
      <c r="AA469" s="17" t="inlineStr">
        <is>
          <t>Transplanting (Pindot) or Direct Seeding (Pinaghandaan)</t>
        </is>
      </c>
      <c r="AB469" s="17" t="inlineStr">
        <is>
          <t>Conventional Tillage: 2 plowings + 2 harrowings; soil workable when moist</t>
        </is>
      </c>
      <c r="AC469" s="17" t="inlineStr">
        <is>
          <t>Intermittent irrigation (Alternate Wetting and Drying — AWD); moderate retention</t>
        </is>
      </c>
    </row>
    <row r="470" ht="21.75" customHeight="1" s="101">
      <c r="A470" s="6" t="inlineStr">
        <is>
          <t>Palay</t>
        </is>
      </c>
      <c r="B470" s="6" t="inlineStr">
        <is>
          <t>Bugayong</t>
        </is>
      </c>
      <c r="C470" s="6" t="inlineStr">
        <is>
          <t>October</t>
        </is>
      </c>
      <c r="D470" s="6" t="inlineStr">
        <is>
          <t>2017</t>
        </is>
      </c>
      <c r="E470" s="6" t="inlineStr">
        <is>
          <t>WS 2017</t>
        </is>
      </c>
      <c r="F470" s="6" t="inlineStr">
        <is>
          <t>Harvest</t>
        </is>
      </c>
      <c r="G470" s="7" t="n">
        <v>6.92</v>
      </c>
      <c r="H470" s="8" t="n">
        <v>26.35</v>
      </c>
      <c r="I470" s="8" t="n">
        <v>21.79</v>
      </c>
      <c r="J470" s="8" t="n">
        <v>32.06</v>
      </c>
      <c r="K470" s="8" t="n">
        <v>85.04000000000001</v>
      </c>
      <c r="L470" s="8" t="n">
        <v>98.08</v>
      </c>
      <c r="M470" s="8" t="n">
        <v>16.96</v>
      </c>
      <c r="N470" s="6" t="inlineStr">
        <is>
          <t>Type I – Tropical Monsoon (PAGASA)</t>
        </is>
      </c>
      <c r="O470" s="6" t="inlineStr">
        <is>
          <t>Wet</t>
        </is>
      </c>
      <c r="P470" s="6" t="inlineStr">
        <is>
          <t>Sandy Loam / Silty Clay Loam</t>
        </is>
      </c>
      <c r="Q470" s="6" t="inlineStr">
        <is>
          <t>Flat / Lowland</t>
        </is>
      </c>
      <c r="R470" s="9" t="n">
        <v>30</v>
      </c>
      <c r="S470" s="6" t="inlineStr">
        <is>
          <t>Aloragat River</t>
        </is>
      </c>
      <c r="T470" s="10" t="n">
        <v>346.08</v>
      </c>
      <c r="U470" s="10" t="n"/>
      <c r="V470" s="10" t="n"/>
      <c r="W470" s="10" t="n"/>
      <c r="X470" s="10" t="n">
        <v>25.48</v>
      </c>
      <c r="Y470" s="10" t="n">
        <v>203.35</v>
      </c>
      <c r="Z470" s="11" t="n">
        <v>7.98</v>
      </c>
      <c r="AA470" s="12" t="inlineStr">
        <is>
          <t>Transplanting (Pindot) — recommended; Direct Seeding possible in dry season</t>
        </is>
      </c>
      <c r="AB470" s="12" t="inlineStr">
        <is>
          <t>Conventional Tillage: 2 plowings + harrowing; puddle thoroughly for transplanting</t>
        </is>
      </c>
      <c r="AC470" s="12" t="inlineStr">
        <is>
          <t>Intermittent to continuous flooding; manage according to drainage section present</t>
        </is>
      </c>
    </row>
    <row r="471" ht="21.75" customHeight="1" s="101">
      <c r="A471" s="13" t="inlineStr">
        <is>
          <t>Palay</t>
        </is>
      </c>
      <c r="B471" s="13" t="inlineStr">
        <is>
          <t>Santiago</t>
        </is>
      </c>
      <c r="C471" s="13" t="inlineStr">
        <is>
          <t>October</t>
        </is>
      </c>
      <c r="D471" s="13" t="inlineStr">
        <is>
          <t>2017</t>
        </is>
      </c>
      <c r="E471" s="13" t="inlineStr">
        <is>
          <t>WS 2017</t>
        </is>
      </c>
      <c r="F471" s="13" t="inlineStr">
        <is>
          <t>Harvest</t>
        </is>
      </c>
      <c r="G471" s="7" t="n">
        <v>6.92</v>
      </c>
      <c r="H471" s="8" t="n">
        <v>26.35</v>
      </c>
      <c r="I471" s="8" t="n">
        <v>21.79</v>
      </c>
      <c r="J471" s="8" t="n">
        <v>32.06</v>
      </c>
      <c r="K471" s="8" t="n">
        <v>85.04000000000001</v>
      </c>
      <c r="L471" s="8" t="n">
        <v>98.08</v>
      </c>
      <c r="M471" s="8" t="n">
        <v>16.96</v>
      </c>
      <c r="N471" s="13" t="inlineStr">
        <is>
          <t>Type I – Tropical Monsoon (PAGASA)</t>
        </is>
      </c>
      <c r="O471" s="13" t="inlineStr">
        <is>
          <t>Wet</t>
        </is>
      </c>
      <c r="P471" s="13" t="inlineStr">
        <is>
          <t>Silty Clay Loam</t>
        </is>
      </c>
      <c r="Q471" s="13" t="inlineStr">
        <is>
          <t>Flat / Lowland</t>
        </is>
      </c>
      <c r="R471" s="14" t="n">
        <v>30</v>
      </c>
      <c r="S471" s="13" t="inlineStr">
        <is>
          <t>—</t>
        </is>
      </c>
      <c r="T471" s="15" t="n">
        <v>283.08</v>
      </c>
      <c r="U471" s="15" t="n"/>
      <c r="V471" s="15" t="n"/>
      <c r="W471" s="15" t="n"/>
      <c r="X471" s="15" t="n">
        <v>4</v>
      </c>
      <c r="Y471" s="15" t="n">
        <v>11.11</v>
      </c>
      <c r="Z471" s="16" t="n">
        <v>2.78</v>
      </c>
      <c r="AA471" s="17" t="inlineStr">
        <is>
          <t>Transplanting (Pindot) — optimal for clay-loam paddy fields</t>
        </is>
      </c>
      <c r="AB471" s="17" t="inlineStr">
        <is>
          <t>Wet Tillage (Puddling): 2 plowings + thorough harrowing under flooded condition</t>
        </is>
      </c>
      <c r="AC471" s="17" t="inlineStr">
        <is>
          <t>Continuous flooding 2–5 cm depth during vegetative stage; drain 2 weeks before harvest</t>
        </is>
      </c>
    </row>
    <row r="472" ht="21.75" customHeight="1" s="101">
      <c r="A472" s="6" t="inlineStr">
        <is>
          <t>Palay</t>
        </is>
      </c>
      <c r="B472" s="6" t="inlineStr">
        <is>
          <t>Pasileng Norte</t>
        </is>
      </c>
      <c r="C472" s="6" t="inlineStr">
        <is>
          <t>October</t>
        </is>
      </c>
      <c r="D472" s="6" t="inlineStr">
        <is>
          <t>2018</t>
        </is>
      </c>
      <c r="E472" s="6" t="inlineStr">
        <is>
          <t>WS 2018</t>
        </is>
      </c>
      <c r="F472" s="6" t="inlineStr">
        <is>
          <t>Harvest</t>
        </is>
      </c>
      <c r="G472" s="7" t="n">
        <v>6.4</v>
      </c>
      <c r="H472" s="8" t="n">
        <v>26.08</v>
      </c>
      <c r="I472" s="8" t="n">
        <v>17.07</v>
      </c>
      <c r="J472" s="8" t="n">
        <v>32.15</v>
      </c>
      <c r="K472" s="8" t="n">
        <v>82.73999999999999</v>
      </c>
      <c r="L472" s="8" t="n">
        <v>98.33</v>
      </c>
      <c r="M472" s="8" t="n">
        <v>19.8</v>
      </c>
      <c r="N472" s="6" t="inlineStr">
        <is>
          <t>Type I – Tropical Monsoon (PAGASA)</t>
        </is>
      </c>
      <c r="O472" s="6" t="inlineStr">
        <is>
          <t>Wet</t>
        </is>
      </c>
      <c r="P472" s="6" t="inlineStr">
        <is>
          <t>Sandy Loam</t>
        </is>
      </c>
      <c r="Q472" s="6" t="inlineStr">
        <is>
          <t>Flat / Lowland</t>
        </is>
      </c>
      <c r="R472" s="9" t="n">
        <v>30</v>
      </c>
      <c r="S472" s="6" t="inlineStr">
        <is>
          <t>Tagamusing River</t>
        </is>
      </c>
      <c r="T472" s="10" t="n">
        <v>140.28</v>
      </c>
      <c r="U472" s="10" t="n"/>
      <c r="V472" s="10" t="n"/>
      <c r="W472" s="10" t="n"/>
      <c r="X472" s="10" t="n">
        <v>2.44</v>
      </c>
      <c r="Y472" s="10" t="n">
        <v>19.52</v>
      </c>
      <c r="Z472" s="11" t="n">
        <v>8</v>
      </c>
      <c r="AA472" s="12" t="inlineStr">
        <is>
          <t>Transplanting (Pindot) or Direct Seeding (Pinaghandaan)</t>
        </is>
      </c>
      <c r="AB472" s="12" t="inlineStr">
        <is>
          <t>Conventional Tillage: 2 plowings + 2 harrowings; soil workable when moist</t>
        </is>
      </c>
      <c r="AC472" s="12" t="inlineStr">
        <is>
          <t>Intermittent irrigation (Alternate Wetting and Drying — AWD); moderate retention</t>
        </is>
      </c>
    </row>
    <row r="473" ht="21.75" customHeight="1" s="101">
      <c r="A473" s="13" t="inlineStr">
        <is>
          <t>Palay</t>
        </is>
      </c>
      <c r="B473" s="13" t="inlineStr">
        <is>
          <t>Tabuyoc</t>
        </is>
      </c>
      <c r="C473" s="13" t="inlineStr">
        <is>
          <t>October</t>
        </is>
      </c>
      <c r="D473" s="13" t="inlineStr">
        <is>
          <t>2018</t>
        </is>
      </c>
      <c r="E473" s="13" t="inlineStr">
        <is>
          <t>WS 2018</t>
        </is>
      </c>
      <c r="F473" s="13" t="inlineStr">
        <is>
          <t>Harvest</t>
        </is>
      </c>
      <c r="G473" s="7" t="n">
        <v>6.4</v>
      </c>
      <c r="H473" s="8" t="n">
        <v>26.08</v>
      </c>
      <c r="I473" s="8" t="n">
        <v>17.07</v>
      </c>
      <c r="J473" s="8" t="n">
        <v>32.15</v>
      </c>
      <c r="K473" s="8" t="n">
        <v>82.73999999999999</v>
      </c>
      <c r="L473" s="8" t="n">
        <v>98.33</v>
      </c>
      <c r="M473" s="8" t="n">
        <v>19.8</v>
      </c>
      <c r="N473" s="13" t="inlineStr">
        <is>
          <t>Type I – Tropical Monsoon (PAGASA)</t>
        </is>
      </c>
      <c r="O473" s="13" t="inlineStr">
        <is>
          <t>Wet</t>
        </is>
      </c>
      <c r="P473" s="13" t="inlineStr">
        <is>
          <t>Silty Clay Loam</t>
        </is>
      </c>
      <c r="Q473" s="13" t="inlineStr">
        <is>
          <t>Flat / Lowland</t>
        </is>
      </c>
      <c r="R473" s="14" t="n">
        <v>30</v>
      </c>
      <c r="S473" s="13" t="inlineStr">
        <is>
          <t>—</t>
        </is>
      </c>
      <c r="T473" s="15" t="n">
        <v>277.2</v>
      </c>
      <c r="U473" s="15" t="n"/>
      <c r="V473" s="15" t="n"/>
      <c r="W473" s="15" t="n"/>
      <c r="X473" s="15" t="n">
        <v>4</v>
      </c>
      <c r="Y473" s="15" t="n">
        <v>11.46</v>
      </c>
      <c r="Z473" s="16" t="n">
        <v>2.86</v>
      </c>
      <c r="AA473" s="17" t="inlineStr">
        <is>
          <t>Transplanting (Pindot) — optimal for clay-loam paddy fields</t>
        </is>
      </c>
      <c r="AB473" s="17" t="inlineStr">
        <is>
          <t>Wet Tillage (Puddling): 2 plowings + thorough harrowing under flooded condition</t>
        </is>
      </c>
      <c r="AC473" s="17" t="inlineStr">
        <is>
          <t>Continuous flooding 2–5 cm depth during vegetative stage; drain 2 weeks before harvest</t>
        </is>
      </c>
    </row>
    <row r="474" ht="21.75" customHeight="1" s="101">
      <c r="A474" s="6" t="inlineStr">
        <is>
          <t>Palay</t>
        </is>
      </c>
      <c r="B474" s="6" t="inlineStr">
        <is>
          <t>Bued</t>
        </is>
      </c>
      <c r="C474" s="6" t="inlineStr">
        <is>
          <t>October</t>
        </is>
      </c>
      <c r="D474" s="6" t="inlineStr">
        <is>
          <t>2018</t>
        </is>
      </c>
      <c r="E474" s="6" t="inlineStr">
        <is>
          <t>WS 2018</t>
        </is>
      </c>
      <c r="F474" s="6" t="inlineStr">
        <is>
          <t>Harvest</t>
        </is>
      </c>
      <c r="G474" s="7" t="n">
        <v>6.4</v>
      </c>
      <c r="H474" s="8" t="n">
        <v>26.08</v>
      </c>
      <c r="I474" s="8" t="n">
        <v>17.07</v>
      </c>
      <c r="J474" s="8" t="n">
        <v>32.15</v>
      </c>
      <c r="K474" s="8" t="n">
        <v>82.73999999999999</v>
      </c>
      <c r="L474" s="8" t="n">
        <v>98.33</v>
      </c>
      <c r="M474" s="8" t="n">
        <v>19.8</v>
      </c>
      <c r="N474" s="6" t="inlineStr">
        <is>
          <t>Type I – Tropical Monsoon (PAGASA)</t>
        </is>
      </c>
      <c r="O474" s="6" t="inlineStr">
        <is>
          <t>Wet</t>
        </is>
      </c>
      <c r="P474" s="6" t="inlineStr">
        <is>
          <t>Silty Clay Loam</t>
        </is>
      </c>
      <c r="Q474" s="6" t="inlineStr">
        <is>
          <t>Flat / Lowland</t>
        </is>
      </c>
      <c r="R474" s="9" t="n">
        <v>30</v>
      </c>
      <c r="S474" s="6" t="inlineStr">
        <is>
          <t>Tagamusing River</t>
        </is>
      </c>
      <c r="T474" s="10" t="n">
        <v>210.84</v>
      </c>
      <c r="U474" s="10" t="n"/>
      <c r="V474" s="10" t="n"/>
      <c r="W474" s="10" t="n"/>
      <c r="X474" s="10" t="n">
        <v>38.97</v>
      </c>
      <c r="Y474" s="10" t="n">
        <v>182.36</v>
      </c>
      <c r="Z474" s="11" t="n">
        <v>4.68</v>
      </c>
      <c r="AA474" s="12" t="inlineStr">
        <is>
          <t>Transplanting (Pindot) — optimal for clay-loam paddy fields</t>
        </is>
      </c>
      <c r="AB474" s="12" t="inlineStr">
        <is>
          <t>Wet Tillage (Puddling): 2 plowings + thorough harrowing under flooded condition</t>
        </is>
      </c>
      <c r="AC474" s="12" t="inlineStr">
        <is>
          <t>Continuous flooding 2–5 cm depth during vegetative stage; drain 2 weeks before harvest</t>
        </is>
      </c>
    </row>
    <row r="475" ht="21.75" customHeight="1" s="101">
      <c r="A475" s="13" t="inlineStr">
        <is>
          <t>Palay</t>
        </is>
      </c>
      <c r="B475" s="13" t="inlineStr">
        <is>
          <t>Dumayat</t>
        </is>
      </c>
      <c r="C475" s="13" t="inlineStr">
        <is>
          <t>October</t>
        </is>
      </c>
      <c r="D475" s="13" t="inlineStr">
        <is>
          <t>2018</t>
        </is>
      </c>
      <c r="E475" s="13" t="inlineStr">
        <is>
          <t>WS 2018</t>
        </is>
      </c>
      <c r="F475" s="13" t="inlineStr">
        <is>
          <t>Harvest</t>
        </is>
      </c>
      <c r="G475" s="7" t="n">
        <v>6.4</v>
      </c>
      <c r="H475" s="8" t="n">
        <v>26.08</v>
      </c>
      <c r="I475" s="8" t="n">
        <v>17.07</v>
      </c>
      <c r="J475" s="8" t="n">
        <v>32.15</v>
      </c>
      <c r="K475" s="8" t="n">
        <v>82.73999999999999</v>
      </c>
      <c r="L475" s="8" t="n">
        <v>98.33</v>
      </c>
      <c r="M475" s="8" t="n">
        <v>19.8</v>
      </c>
      <c r="N475" s="13" t="inlineStr">
        <is>
          <t>Type I – Tropical Monsoon (PAGASA)</t>
        </is>
      </c>
      <c r="O475" s="13" t="inlineStr">
        <is>
          <t>Wet</t>
        </is>
      </c>
      <c r="P475" s="13" t="inlineStr">
        <is>
          <t>Silty Clay Loam</t>
        </is>
      </c>
      <c r="Q475" s="13" t="inlineStr">
        <is>
          <t>Flat / Lowland</t>
        </is>
      </c>
      <c r="R475" s="14" t="n">
        <v>30</v>
      </c>
      <c r="S475" s="13" t="inlineStr">
        <is>
          <t>—</t>
        </is>
      </c>
      <c r="T475" s="15" t="n">
        <v>266.28</v>
      </c>
      <c r="U475" s="15" t="n"/>
      <c r="V475" s="15" t="n"/>
      <c r="W475" s="15" t="n"/>
      <c r="X475" s="15" t="n">
        <v>20.32</v>
      </c>
      <c r="Y475" s="15" t="n">
        <v>19.01</v>
      </c>
      <c r="Z475" s="16" t="n">
        <v>0.9399999999999999</v>
      </c>
      <c r="AA475" s="17" t="inlineStr">
        <is>
          <t>Transplanting (Pindot) — optimal for clay-loam paddy fields</t>
        </is>
      </c>
      <c r="AB475" s="17" t="inlineStr">
        <is>
          <t>Wet Tillage (Puddling): 2 plowings + thorough harrowing under flooded condition</t>
        </is>
      </c>
      <c r="AC475" s="17" t="inlineStr">
        <is>
          <t>Continuous flooding 2–5 cm depth during vegetative stage; drain 2 weeks before harvest</t>
        </is>
      </c>
    </row>
    <row r="476" ht="21.75" customHeight="1" s="101">
      <c r="A476" s="6" t="inlineStr">
        <is>
          <t>Palay</t>
        </is>
      </c>
      <c r="B476" s="6" t="inlineStr">
        <is>
          <t>Camanggaan</t>
        </is>
      </c>
      <c r="C476" s="6" t="inlineStr">
        <is>
          <t>October</t>
        </is>
      </c>
      <c r="D476" s="6" t="inlineStr">
        <is>
          <t>2018</t>
        </is>
      </c>
      <c r="E476" s="6" t="inlineStr">
        <is>
          <t>WS 2018</t>
        </is>
      </c>
      <c r="F476" s="6" t="inlineStr">
        <is>
          <t>Harvest</t>
        </is>
      </c>
      <c r="G476" s="7" t="n">
        <v>6.4</v>
      </c>
      <c r="H476" s="8" t="n">
        <v>26.08</v>
      </c>
      <c r="I476" s="8" t="n">
        <v>17.07</v>
      </c>
      <c r="J476" s="8" t="n">
        <v>32.15</v>
      </c>
      <c r="K476" s="8" t="n">
        <v>82.73999999999999</v>
      </c>
      <c r="L476" s="8" t="n">
        <v>98.33</v>
      </c>
      <c r="M476" s="8" t="n">
        <v>19.8</v>
      </c>
      <c r="N476" s="6" t="inlineStr">
        <is>
          <t>Type I – Tropical Monsoon (PAGASA)</t>
        </is>
      </c>
      <c r="O476" s="6" t="inlineStr">
        <is>
          <t>Wet</t>
        </is>
      </c>
      <c r="P476" s="6" t="inlineStr">
        <is>
          <t>Sandy Loam</t>
        </is>
      </c>
      <c r="Q476" s="6" t="inlineStr">
        <is>
          <t>Flat / Lowland</t>
        </is>
      </c>
      <c r="R476" s="9" t="n">
        <v>30</v>
      </c>
      <c r="S476" s="6" t="inlineStr">
        <is>
          <t>—</t>
        </is>
      </c>
      <c r="T476" s="10" t="n">
        <v>244.44</v>
      </c>
      <c r="U476" s="10" t="n"/>
      <c r="V476" s="10" t="n"/>
      <c r="W476" s="10" t="n"/>
      <c r="X476" s="10" t="n">
        <v>0.8</v>
      </c>
      <c r="Y476" s="10" t="n">
        <v>3.04</v>
      </c>
      <c r="Z476" s="11" t="n">
        <v>3.8</v>
      </c>
      <c r="AA476" s="12" t="inlineStr">
        <is>
          <t>Transplanting (Pindot) or Direct Seeding (Pinaghandaan)</t>
        </is>
      </c>
      <c r="AB476" s="12" t="inlineStr">
        <is>
          <t>Conventional Tillage: 2 plowings + 2 harrowings; soil workable when moist</t>
        </is>
      </c>
      <c r="AC476" s="12" t="inlineStr">
        <is>
          <t>Intermittent irrigation (Alternate Wetting and Drying — AWD); moderate retention</t>
        </is>
      </c>
    </row>
    <row r="477" ht="21.75" customHeight="1" s="101">
      <c r="A477" s="13" t="inlineStr">
        <is>
          <t>Palay</t>
        </is>
      </c>
      <c r="B477" s="13" t="inlineStr">
        <is>
          <t>Vacante</t>
        </is>
      </c>
      <c r="C477" s="13" t="inlineStr">
        <is>
          <t>October</t>
        </is>
      </c>
      <c r="D477" s="13" t="inlineStr">
        <is>
          <t>2018</t>
        </is>
      </c>
      <c r="E477" s="13" t="inlineStr">
        <is>
          <t>WS 2018</t>
        </is>
      </c>
      <c r="F477" s="13" t="inlineStr">
        <is>
          <t>Harvest</t>
        </is>
      </c>
      <c r="G477" s="7" t="n">
        <v>6.4</v>
      </c>
      <c r="H477" s="8" t="n">
        <v>26.08</v>
      </c>
      <c r="I477" s="8" t="n">
        <v>17.07</v>
      </c>
      <c r="J477" s="8" t="n">
        <v>32.15</v>
      </c>
      <c r="K477" s="8" t="n">
        <v>82.73999999999999</v>
      </c>
      <c r="L477" s="8" t="n">
        <v>98.33</v>
      </c>
      <c r="M477" s="8" t="n">
        <v>19.8</v>
      </c>
      <c r="N477" s="13" t="inlineStr">
        <is>
          <t>Type I – Tropical Monsoon (PAGASA)</t>
        </is>
      </c>
      <c r="O477" s="13" t="inlineStr">
        <is>
          <t>Wet</t>
        </is>
      </c>
      <c r="P477" s="13" t="inlineStr">
        <is>
          <t>Silty Clay Loam</t>
        </is>
      </c>
      <c r="Q477" s="13" t="inlineStr">
        <is>
          <t>Flat / Lowland</t>
        </is>
      </c>
      <c r="R477" s="14" t="n">
        <v>30</v>
      </c>
      <c r="S477" s="13" t="inlineStr">
        <is>
          <t>Aloragat River</t>
        </is>
      </c>
      <c r="T477" s="15" t="n">
        <v>484.68</v>
      </c>
      <c r="U477" s="15" t="n"/>
      <c r="V477" s="15" t="n"/>
      <c r="W477" s="15" t="n"/>
      <c r="X477" s="15" t="n">
        <v>2.53</v>
      </c>
      <c r="Y477" s="15" t="n">
        <v>5.13</v>
      </c>
      <c r="Z477" s="16" t="n">
        <v>2.03</v>
      </c>
      <c r="AA477" s="17" t="inlineStr">
        <is>
          <t>Transplanting (Pindot) — optimal for clay-loam paddy fields</t>
        </is>
      </c>
      <c r="AB477" s="17" t="inlineStr">
        <is>
          <t>Wet Tillage (Puddling): 2 plowings + thorough harrowing under flooded condition</t>
        </is>
      </c>
      <c r="AC477" s="17" t="inlineStr">
        <is>
          <t>Continuous flooding 2–5 cm depth during vegetative stage; drain 2 weeks before harvest</t>
        </is>
      </c>
    </row>
    <row r="478" ht="21.75" customHeight="1" s="101">
      <c r="A478" s="6" t="inlineStr">
        <is>
          <t>Palay</t>
        </is>
      </c>
      <c r="B478" s="6" t="inlineStr">
        <is>
          <t>Sta. Catalina</t>
        </is>
      </c>
      <c r="C478" s="6" t="inlineStr">
        <is>
          <t>October</t>
        </is>
      </c>
      <c r="D478" s="6" t="inlineStr">
        <is>
          <t>2018</t>
        </is>
      </c>
      <c r="E478" s="6" t="inlineStr">
        <is>
          <t>WS 2018</t>
        </is>
      </c>
      <c r="F478" s="6" t="inlineStr">
        <is>
          <t>Harvest</t>
        </is>
      </c>
      <c r="G478" s="7" t="n">
        <v>6.4</v>
      </c>
      <c r="H478" s="8" t="n">
        <v>26.08</v>
      </c>
      <c r="I478" s="8" t="n">
        <v>17.07</v>
      </c>
      <c r="J478" s="8" t="n">
        <v>32.15</v>
      </c>
      <c r="K478" s="8" t="n">
        <v>82.73999999999999</v>
      </c>
      <c r="L478" s="8" t="n">
        <v>98.33</v>
      </c>
      <c r="M478" s="8" t="n">
        <v>19.8</v>
      </c>
      <c r="N478" s="6" t="inlineStr">
        <is>
          <t>Type I – Tropical Monsoon (PAGASA)</t>
        </is>
      </c>
      <c r="O478" s="6" t="inlineStr">
        <is>
          <t>Wet</t>
        </is>
      </c>
      <c r="P478" s="6" t="inlineStr">
        <is>
          <t>Fine Sand / Sandy Loam</t>
        </is>
      </c>
      <c r="Q478" s="6" t="inlineStr">
        <is>
          <t>Moderately Sloping / Highland</t>
        </is>
      </c>
      <c r="R478" s="9" t="n">
        <v>90</v>
      </c>
      <c r="S478" s="6" t="inlineStr">
        <is>
          <t>—</t>
        </is>
      </c>
      <c r="T478" s="10" t="n">
        <v>709.8</v>
      </c>
      <c r="U478" s="10" t="n"/>
      <c r="V478" s="10" t="n"/>
      <c r="W478" s="10" t="n"/>
      <c r="X478" s="10" t="n">
        <v>11.49</v>
      </c>
      <c r="Y478" s="10" t="n">
        <v>26.73</v>
      </c>
      <c r="Z478" s="11" t="n">
        <v>2.33</v>
      </c>
      <c r="AA478" s="12" t="inlineStr">
        <is>
          <t>Transplanting (Pindot)</t>
        </is>
      </c>
      <c r="AB478" s="12" t="inlineStr">
        <is>
          <t>Minimum Tillage (avoid compaction; sandy structure fragile)</t>
        </is>
      </c>
      <c r="AC478" s="12" t="inlineStr">
        <is>
          <t>Continuous flooding or frequent irrigation; high percolation risk; terrace or bund-assisted water retention essential on slopes</t>
        </is>
      </c>
    </row>
    <row r="479" ht="21.75" customHeight="1" s="101">
      <c r="A479" s="13" t="inlineStr">
        <is>
          <t>Palay</t>
        </is>
      </c>
      <c r="B479" s="13" t="inlineStr">
        <is>
          <t>Moreno</t>
        </is>
      </c>
      <c r="C479" s="13" t="inlineStr">
        <is>
          <t>October</t>
        </is>
      </c>
      <c r="D479" s="13" t="inlineStr">
        <is>
          <t>2018</t>
        </is>
      </c>
      <c r="E479" s="13" t="inlineStr">
        <is>
          <t>WS 2018</t>
        </is>
      </c>
      <c r="F479" s="13" t="inlineStr">
        <is>
          <t>Harvest</t>
        </is>
      </c>
      <c r="G479" s="7" t="n">
        <v>6.4</v>
      </c>
      <c r="H479" s="8" t="n">
        <v>26.08</v>
      </c>
      <c r="I479" s="8" t="n">
        <v>17.07</v>
      </c>
      <c r="J479" s="8" t="n">
        <v>32.15</v>
      </c>
      <c r="K479" s="8" t="n">
        <v>82.73999999999999</v>
      </c>
      <c r="L479" s="8" t="n">
        <v>98.33</v>
      </c>
      <c r="M479" s="8" t="n">
        <v>19.8</v>
      </c>
      <c r="N479" s="13" t="inlineStr">
        <is>
          <t>Type I – Tropical Monsoon (PAGASA)</t>
        </is>
      </c>
      <c r="O479" s="13" t="inlineStr">
        <is>
          <t>Wet</t>
        </is>
      </c>
      <c r="P479" s="13" t="inlineStr">
        <is>
          <t>Sandy Loam</t>
        </is>
      </c>
      <c r="Q479" s="13" t="inlineStr">
        <is>
          <t>Moderately Sloping / Highland</t>
        </is>
      </c>
      <c r="R479" s="14" t="n">
        <v>90</v>
      </c>
      <c r="S479" s="13" t="inlineStr">
        <is>
          <t>Alibeng River</t>
        </is>
      </c>
      <c r="T479" s="15" t="n">
        <v>641.76</v>
      </c>
      <c r="U479" s="15" t="n"/>
      <c r="V479" s="15" t="n"/>
      <c r="W479" s="15" t="n"/>
      <c r="X479" s="15" t="n">
        <v>21.11</v>
      </c>
      <c r="Y479" s="15" t="n">
        <v>99.84999999999999</v>
      </c>
      <c r="Z479" s="16" t="n">
        <v>4.73</v>
      </c>
      <c r="AA479" s="17" t="inlineStr">
        <is>
          <t>Transplanting (Pindot) or Direct Seeding (Pinaghandaan)</t>
        </is>
      </c>
      <c r="AB479" s="17" t="inlineStr">
        <is>
          <t>Conventional Tillage: 2 plowings + 2 harrowings; soil workable when moist</t>
        </is>
      </c>
      <c r="AC479" s="17" t="inlineStr">
        <is>
          <t>Intermittent irrigation (Alternate Wetting and Drying — AWD); moderate retention; terrace or bund-assisted water retention essential on slopes</t>
        </is>
      </c>
    </row>
    <row r="480" ht="21.75" customHeight="1" s="101">
      <c r="A480" s="6" t="inlineStr">
        <is>
          <t>Palay</t>
        </is>
      </c>
      <c r="B480" s="6" t="inlineStr">
        <is>
          <t>Cili</t>
        </is>
      </c>
      <c r="C480" s="6" t="inlineStr">
        <is>
          <t>October</t>
        </is>
      </c>
      <c r="D480" s="6" t="inlineStr">
        <is>
          <t>2018</t>
        </is>
      </c>
      <c r="E480" s="6" t="inlineStr">
        <is>
          <t>WS 2018</t>
        </is>
      </c>
      <c r="F480" s="6" t="inlineStr">
        <is>
          <t>Harvest</t>
        </is>
      </c>
      <c r="G480" s="7" t="n">
        <v>6.4</v>
      </c>
      <c r="H480" s="8" t="n">
        <v>26.08</v>
      </c>
      <c r="I480" s="8" t="n">
        <v>17.07</v>
      </c>
      <c r="J480" s="8" t="n">
        <v>32.15</v>
      </c>
      <c r="K480" s="8" t="n">
        <v>82.73999999999999</v>
      </c>
      <c r="L480" s="8" t="n">
        <v>98.33</v>
      </c>
      <c r="M480" s="8" t="n">
        <v>19.8</v>
      </c>
      <c r="N480" s="6" t="inlineStr">
        <is>
          <t>Type I – Tropical Monsoon (PAGASA)</t>
        </is>
      </c>
      <c r="O480" s="6" t="inlineStr">
        <is>
          <t>Wet</t>
        </is>
      </c>
      <c r="P480" s="6" t="inlineStr">
        <is>
          <t>Silty Clay Loam</t>
        </is>
      </c>
      <c r="Q480" s="6" t="inlineStr">
        <is>
          <t>Flat / Lowland</t>
        </is>
      </c>
      <c r="R480" s="9" t="n">
        <v>30</v>
      </c>
      <c r="S480" s="6" t="inlineStr">
        <is>
          <t>Alibeng River</t>
        </is>
      </c>
      <c r="T480" s="10" t="n">
        <v>264.6</v>
      </c>
      <c r="U480" s="10" t="n"/>
      <c r="V480" s="10" t="n"/>
      <c r="W480" s="10" t="n"/>
      <c r="X480" s="10" t="n">
        <v>21.32</v>
      </c>
      <c r="Y480" s="10" t="n">
        <v>19.08</v>
      </c>
      <c r="Z480" s="11" t="n">
        <v>0.89</v>
      </c>
      <c r="AA480" s="12" t="inlineStr">
        <is>
          <t>Transplanting (Pindot) — optimal for clay-loam paddy fields</t>
        </is>
      </c>
      <c r="AB480" s="12" t="inlineStr">
        <is>
          <t>Wet Tillage (Puddling): 2 plowings + thorough harrowing under flooded condition</t>
        </is>
      </c>
      <c r="AC480" s="12" t="inlineStr">
        <is>
          <t>Continuous flooding 2–5 cm depth during vegetative stage; drain 2 weeks before harvest</t>
        </is>
      </c>
    </row>
    <row r="481" ht="21.75" customHeight="1" s="101">
      <c r="A481" s="13" t="inlineStr">
        <is>
          <t>Palay</t>
        </is>
      </c>
      <c r="B481" s="13" t="inlineStr">
        <is>
          <t>Linmansangan</t>
        </is>
      </c>
      <c r="C481" s="13" t="inlineStr">
        <is>
          <t>October</t>
        </is>
      </c>
      <c r="D481" s="13" t="inlineStr">
        <is>
          <t>2018</t>
        </is>
      </c>
      <c r="E481" s="13" t="inlineStr">
        <is>
          <t>WS 2018</t>
        </is>
      </c>
      <c r="F481" s="13" t="inlineStr">
        <is>
          <t>Harvest</t>
        </is>
      </c>
      <c r="G481" s="7" t="n">
        <v>6.4</v>
      </c>
      <c r="H481" s="8" t="n">
        <v>26.08</v>
      </c>
      <c r="I481" s="8" t="n">
        <v>17.07</v>
      </c>
      <c r="J481" s="8" t="n">
        <v>32.15</v>
      </c>
      <c r="K481" s="8" t="n">
        <v>82.73999999999999</v>
      </c>
      <c r="L481" s="8" t="n">
        <v>98.33</v>
      </c>
      <c r="M481" s="8" t="n">
        <v>19.8</v>
      </c>
      <c r="N481" s="13" t="inlineStr">
        <is>
          <t>Type I – Tropical Monsoon (PAGASA)</t>
        </is>
      </c>
      <c r="O481" s="13" t="inlineStr">
        <is>
          <t>Wet</t>
        </is>
      </c>
      <c r="P481" s="13" t="inlineStr">
        <is>
          <t>Silty Clay Loam</t>
        </is>
      </c>
      <c r="Q481" s="13" t="inlineStr">
        <is>
          <t>Flat / Lowland</t>
        </is>
      </c>
      <c r="R481" s="14" t="n">
        <v>30</v>
      </c>
      <c r="S481" s="13" t="inlineStr">
        <is>
          <t>—</t>
        </is>
      </c>
      <c r="T481" s="15" t="n">
        <v>492.24</v>
      </c>
      <c r="U481" s="15" t="n"/>
      <c r="V481" s="15" t="n"/>
      <c r="W481" s="15" t="n"/>
      <c r="X481" s="15" t="n">
        <v>45.98</v>
      </c>
      <c r="Y481" s="15" t="n">
        <v>5.25</v>
      </c>
      <c r="Z481" s="16" t="n">
        <v>0.11</v>
      </c>
      <c r="AA481" s="17" t="inlineStr">
        <is>
          <t>Transplanting (Pindot) — optimal for clay-loam paddy fields</t>
        </is>
      </c>
      <c r="AB481" s="17" t="inlineStr">
        <is>
          <t>Wet Tillage (Puddling): 2 plowings + thorough harrowing under flooded condition</t>
        </is>
      </c>
      <c r="AC481" s="17" t="inlineStr">
        <is>
          <t>Continuous flooding 2–5 cm depth during vegetative stage; drain 2 weeks before harvest</t>
        </is>
      </c>
    </row>
    <row r="482" ht="21.75" customHeight="1" s="101">
      <c r="A482" s="6" t="inlineStr">
        <is>
          <t>Palay</t>
        </is>
      </c>
      <c r="B482" s="6" t="inlineStr">
        <is>
          <t>Sumabnit</t>
        </is>
      </c>
      <c r="C482" s="6" t="inlineStr">
        <is>
          <t>October</t>
        </is>
      </c>
      <c r="D482" s="6" t="inlineStr">
        <is>
          <t>2018</t>
        </is>
      </c>
      <c r="E482" s="6" t="inlineStr">
        <is>
          <t>WS 2018</t>
        </is>
      </c>
      <c r="F482" s="6" t="inlineStr">
        <is>
          <t>Harvest</t>
        </is>
      </c>
      <c r="G482" s="7" t="n">
        <v>6.4</v>
      </c>
      <c r="H482" s="8" t="n">
        <v>26.08</v>
      </c>
      <c r="I482" s="8" t="n">
        <v>17.07</v>
      </c>
      <c r="J482" s="8" t="n">
        <v>32.15</v>
      </c>
      <c r="K482" s="8" t="n">
        <v>82.73999999999999</v>
      </c>
      <c r="L482" s="8" t="n">
        <v>98.33</v>
      </c>
      <c r="M482" s="8" t="n">
        <v>19.8</v>
      </c>
      <c r="N482" s="6" t="inlineStr">
        <is>
          <t>Type I – Tropical Monsoon (PAGASA)</t>
        </is>
      </c>
      <c r="O482" s="6" t="inlineStr">
        <is>
          <t>Wet</t>
        </is>
      </c>
      <c r="P482" s="6" t="inlineStr">
        <is>
          <t>Silty Clay Loam / Fine Sandy Loam</t>
        </is>
      </c>
      <c r="Q482" s="6" t="inlineStr">
        <is>
          <t>Flat / Lowland</t>
        </is>
      </c>
      <c r="R482" s="9" t="n">
        <v>30</v>
      </c>
      <c r="S482" s="6" t="inlineStr">
        <is>
          <t>Tagamusing River</t>
        </is>
      </c>
      <c r="T482" s="10" t="n">
        <v>406.56</v>
      </c>
      <c r="U482" s="10" t="n"/>
      <c r="V482" s="10" t="n"/>
      <c r="W482" s="10" t="n"/>
      <c r="X482" s="10" t="n">
        <v>2.91</v>
      </c>
      <c r="Y482" s="10" t="n">
        <v>5.99</v>
      </c>
      <c r="Z482" s="11" t="n">
        <v>2.06</v>
      </c>
      <c r="AA482" s="12" t="inlineStr">
        <is>
          <t>Transplanting (Pindot)</t>
        </is>
      </c>
      <c r="AB482" s="12" t="inlineStr">
        <is>
          <t>Minimum Tillage (avoid compaction; sandy structure fragile)</t>
        </is>
      </c>
      <c r="AC482" s="12" t="inlineStr">
        <is>
          <t>Continuous flooding or frequent irrigation; high percolation risk</t>
        </is>
      </c>
    </row>
    <row r="483" ht="21.75" customHeight="1" s="101">
      <c r="A483" s="13" t="inlineStr">
        <is>
          <t>Palay</t>
        </is>
      </c>
      <c r="B483" s="13" t="inlineStr">
        <is>
          <t>Capas</t>
        </is>
      </c>
      <c r="C483" s="13" t="inlineStr">
        <is>
          <t>October</t>
        </is>
      </c>
      <c r="D483" s="13" t="inlineStr">
        <is>
          <t>2018</t>
        </is>
      </c>
      <c r="E483" s="13" t="inlineStr">
        <is>
          <t>WS 2018</t>
        </is>
      </c>
      <c r="F483" s="13" t="inlineStr">
        <is>
          <t>Harvest</t>
        </is>
      </c>
      <c r="G483" s="7" t="n">
        <v>6.4</v>
      </c>
      <c r="H483" s="8" t="n">
        <v>26.08</v>
      </c>
      <c r="I483" s="8" t="n">
        <v>17.07</v>
      </c>
      <c r="J483" s="8" t="n">
        <v>32.15</v>
      </c>
      <c r="K483" s="8" t="n">
        <v>82.73999999999999</v>
      </c>
      <c r="L483" s="8" t="n">
        <v>98.33</v>
      </c>
      <c r="M483" s="8" t="n">
        <v>19.8</v>
      </c>
      <c r="N483" s="13" t="inlineStr">
        <is>
          <t>Type I – Tropical Monsoon (PAGASA)</t>
        </is>
      </c>
      <c r="O483" s="13" t="inlineStr">
        <is>
          <t>Wet</t>
        </is>
      </c>
      <c r="P483" s="13" t="inlineStr">
        <is>
          <t>Sandy Loam</t>
        </is>
      </c>
      <c r="Q483" s="13" t="inlineStr">
        <is>
          <t>Flat / Lowland</t>
        </is>
      </c>
      <c r="R483" s="14" t="n">
        <v>30</v>
      </c>
      <c r="S483" s="13" t="inlineStr">
        <is>
          <t>—</t>
        </is>
      </c>
      <c r="T483" s="15" t="n">
        <v>377.16</v>
      </c>
      <c r="U483" s="15" t="n"/>
      <c r="V483" s="15" t="n"/>
      <c r="W483" s="15" t="n"/>
      <c r="X483" s="15" t="n">
        <v>4.82</v>
      </c>
      <c r="Y483" s="15" t="n">
        <v>26.21</v>
      </c>
      <c r="Z483" s="16" t="n">
        <v>5.44</v>
      </c>
      <c r="AA483" s="17" t="inlineStr">
        <is>
          <t>Transplanting (Pindot) or Direct Seeding (Pinaghandaan)</t>
        </is>
      </c>
      <c r="AB483" s="17" t="inlineStr">
        <is>
          <t>Conventional Tillage: 2 plowings + 2 harrowings; soil workable when moist</t>
        </is>
      </c>
      <c r="AC483" s="17" t="inlineStr">
        <is>
          <t>Intermittent irrigation (Alternate Wetting and Drying — AWD); moderate retention</t>
        </is>
      </c>
    </row>
    <row r="484" ht="21.75" customHeight="1" s="101">
      <c r="A484" s="6" t="inlineStr">
        <is>
          <t>Palay</t>
        </is>
      </c>
      <c r="B484" s="6" t="inlineStr">
        <is>
          <t>Mangkasuy</t>
        </is>
      </c>
      <c r="C484" s="6" t="inlineStr">
        <is>
          <t>October</t>
        </is>
      </c>
      <c r="D484" s="6" t="inlineStr">
        <is>
          <t>2018</t>
        </is>
      </c>
      <c r="E484" s="6" t="inlineStr">
        <is>
          <t>WS 2018</t>
        </is>
      </c>
      <c r="F484" s="6" t="inlineStr">
        <is>
          <t>Harvest</t>
        </is>
      </c>
      <c r="G484" s="7" t="n">
        <v>6.4</v>
      </c>
      <c r="H484" s="8" t="n">
        <v>26.08</v>
      </c>
      <c r="I484" s="8" t="n">
        <v>17.07</v>
      </c>
      <c r="J484" s="8" t="n">
        <v>32.15</v>
      </c>
      <c r="K484" s="8" t="n">
        <v>82.73999999999999</v>
      </c>
      <c r="L484" s="8" t="n">
        <v>98.33</v>
      </c>
      <c r="M484" s="8" t="n">
        <v>19.8</v>
      </c>
      <c r="N484" s="6" t="inlineStr">
        <is>
          <t>Type I – Tropical Monsoon (PAGASA)</t>
        </is>
      </c>
      <c r="O484" s="6" t="inlineStr">
        <is>
          <t>Wet</t>
        </is>
      </c>
      <c r="P484" s="6" t="inlineStr">
        <is>
          <t>Sandy Loam</t>
        </is>
      </c>
      <c r="Q484" s="6" t="inlineStr">
        <is>
          <t>Flat / Lowland</t>
        </is>
      </c>
      <c r="R484" s="9" t="n">
        <v>30</v>
      </c>
      <c r="S484" s="6" t="inlineStr">
        <is>
          <t>Tagamusing River</t>
        </is>
      </c>
      <c r="T484" s="10" t="n">
        <v>802.2</v>
      </c>
      <c r="U484" s="10" t="n"/>
      <c r="V484" s="10" t="n"/>
      <c r="W484" s="10" t="n"/>
      <c r="X484" s="10" t="n">
        <v>1.25</v>
      </c>
      <c r="Y484" s="10" t="n">
        <v>5.31</v>
      </c>
      <c r="Z484" s="11" t="n">
        <v>4.25</v>
      </c>
      <c r="AA484" s="12" t="inlineStr">
        <is>
          <t>Transplanting (Pindot) or Direct Seeding (Pinaghandaan)</t>
        </is>
      </c>
      <c r="AB484" s="12" t="inlineStr">
        <is>
          <t>Conventional Tillage: 2 plowings + 2 harrowings; soil workable when moist</t>
        </is>
      </c>
      <c r="AC484" s="12" t="inlineStr">
        <is>
          <t>Intermittent irrigation (Alternate Wetting and Drying — AWD); moderate retention</t>
        </is>
      </c>
    </row>
    <row r="485" ht="21.75" customHeight="1" s="101">
      <c r="A485" s="13" t="inlineStr">
        <is>
          <t>Palay</t>
        </is>
      </c>
      <c r="B485" s="13" t="inlineStr">
        <is>
          <t>San Pablo</t>
        </is>
      </c>
      <c r="C485" s="13" t="inlineStr">
        <is>
          <t>October</t>
        </is>
      </c>
      <c r="D485" s="13" t="inlineStr">
        <is>
          <t>2018</t>
        </is>
      </c>
      <c r="E485" s="13" t="inlineStr">
        <is>
          <t>WS 2018</t>
        </is>
      </c>
      <c r="F485" s="13" t="inlineStr">
        <is>
          <t>Harvest</t>
        </is>
      </c>
      <c r="G485" s="7" t="n">
        <v>6.4</v>
      </c>
      <c r="H485" s="8" t="n">
        <v>26.08</v>
      </c>
      <c r="I485" s="8" t="n">
        <v>17.07</v>
      </c>
      <c r="J485" s="8" t="n">
        <v>32.15</v>
      </c>
      <c r="K485" s="8" t="n">
        <v>82.73999999999999</v>
      </c>
      <c r="L485" s="8" t="n">
        <v>98.33</v>
      </c>
      <c r="M485" s="8" t="n">
        <v>19.8</v>
      </c>
      <c r="N485" s="13" t="inlineStr">
        <is>
          <t>Type I – Tropical Monsoon (PAGASA)</t>
        </is>
      </c>
      <c r="O485" s="13" t="inlineStr">
        <is>
          <t>Wet</t>
        </is>
      </c>
      <c r="P485" s="13" t="inlineStr">
        <is>
          <t>Sandy Loam</t>
        </is>
      </c>
      <c r="Q485" s="13" t="inlineStr">
        <is>
          <t>Flat / Lowland</t>
        </is>
      </c>
      <c r="R485" s="14" t="n">
        <v>30</v>
      </c>
      <c r="S485" s="13" t="inlineStr">
        <is>
          <t>San Pablo Creek</t>
        </is>
      </c>
      <c r="T485" s="15" t="n">
        <v>215.04</v>
      </c>
      <c r="U485" s="15" t="n"/>
      <c r="V485" s="15" t="n"/>
      <c r="W485" s="15" t="n"/>
      <c r="X485" s="15" t="n">
        <v>1.5</v>
      </c>
      <c r="Y485" s="15" t="n">
        <v>7.21</v>
      </c>
      <c r="Z485" s="16" t="n">
        <v>4.81</v>
      </c>
      <c r="AA485" s="17" t="inlineStr">
        <is>
          <t>Transplanting (Pindot) or Direct Seeding (Pinaghandaan)</t>
        </is>
      </c>
      <c r="AB485" s="17" t="inlineStr">
        <is>
          <t>Conventional Tillage: 2 plowings + 2 harrowings; soil workable when moist</t>
        </is>
      </c>
      <c r="AC485" s="17" t="inlineStr">
        <is>
          <t>Intermittent irrigation (Alternate Wetting and Drying — AWD); moderate retention</t>
        </is>
      </c>
    </row>
    <row r="486" ht="21.75" customHeight="1" s="101">
      <c r="A486" s="6" t="inlineStr">
        <is>
          <t>Palay</t>
        </is>
      </c>
      <c r="B486" s="6" t="inlineStr">
        <is>
          <t>Balangobong</t>
        </is>
      </c>
      <c r="C486" s="6" t="inlineStr">
        <is>
          <t>October</t>
        </is>
      </c>
      <c r="D486" s="6" t="inlineStr">
        <is>
          <t>2018</t>
        </is>
      </c>
      <c r="E486" s="6" t="inlineStr">
        <is>
          <t>WS 2018</t>
        </is>
      </c>
      <c r="F486" s="6" t="inlineStr">
        <is>
          <t>Harvest</t>
        </is>
      </c>
      <c r="G486" s="7" t="n">
        <v>6.4</v>
      </c>
      <c r="H486" s="8" t="n">
        <v>26.08</v>
      </c>
      <c r="I486" s="8" t="n">
        <v>17.07</v>
      </c>
      <c r="J486" s="8" t="n">
        <v>32.15</v>
      </c>
      <c r="K486" s="8" t="n">
        <v>82.73999999999999</v>
      </c>
      <c r="L486" s="8" t="n">
        <v>98.33</v>
      </c>
      <c r="M486" s="8" t="n">
        <v>19.8</v>
      </c>
      <c r="N486" s="6" t="inlineStr">
        <is>
          <t>Type I – Tropical Monsoon (PAGASA)</t>
        </is>
      </c>
      <c r="O486" s="6" t="inlineStr">
        <is>
          <t>Wet</t>
        </is>
      </c>
      <c r="P486" s="6" t="inlineStr">
        <is>
          <t>Silty Clay Loam</t>
        </is>
      </c>
      <c r="Q486" s="6" t="inlineStr">
        <is>
          <t>Flat / Lowland</t>
        </is>
      </c>
      <c r="R486" s="9" t="n">
        <v>30</v>
      </c>
      <c r="S486" s="6" t="inlineStr">
        <is>
          <t>—</t>
        </is>
      </c>
      <c r="T486" s="10" t="n">
        <v>281.4</v>
      </c>
      <c r="U486" s="10" t="n"/>
      <c r="V486" s="10" t="n"/>
      <c r="W486" s="10" t="n"/>
      <c r="X486" s="10" t="n">
        <v>47.33</v>
      </c>
      <c r="Y486" s="10" t="n">
        <v>180.84</v>
      </c>
      <c r="Z486" s="11" t="n">
        <v>3.82</v>
      </c>
      <c r="AA486" s="12" t="inlineStr">
        <is>
          <t>Transplanting (Pindot) — optimal for clay-loam paddy fields</t>
        </is>
      </c>
      <c r="AB486" s="12" t="inlineStr">
        <is>
          <t>Wet Tillage (Puddling): 2 plowings + thorough harrowing under flooded condition</t>
        </is>
      </c>
      <c r="AC486" s="12" t="inlineStr">
        <is>
          <t>Continuous flooding 2–5 cm depth during vegetative stage; drain 2 weeks before harvest</t>
        </is>
      </c>
    </row>
    <row r="487" ht="21.75" customHeight="1" s="101">
      <c r="A487" s="13" t="inlineStr">
        <is>
          <t>Palay</t>
        </is>
      </c>
      <c r="B487" s="13" t="inlineStr">
        <is>
          <t>San Felipe Central</t>
        </is>
      </c>
      <c r="C487" s="13" t="inlineStr">
        <is>
          <t>October</t>
        </is>
      </c>
      <c r="D487" s="13" t="inlineStr">
        <is>
          <t>2018</t>
        </is>
      </c>
      <c r="E487" s="13" t="inlineStr">
        <is>
          <t>WS 2018</t>
        </is>
      </c>
      <c r="F487" s="13" t="inlineStr">
        <is>
          <t>Harvest</t>
        </is>
      </c>
      <c r="G487" s="7" t="n">
        <v>6.4</v>
      </c>
      <c r="H487" s="8" t="n">
        <v>26.08</v>
      </c>
      <c r="I487" s="8" t="n">
        <v>17.07</v>
      </c>
      <c r="J487" s="8" t="n">
        <v>32.15</v>
      </c>
      <c r="K487" s="8" t="n">
        <v>82.73999999999999</v>
      </c>
      <c r="L487" s="8" t="n">
        <v>98.33</v>
      </c>
      <c r="M487" s="8" t="n">
        <v>19.8</v>
      </c>
      <c r="N487" s="13" t="inlineStr">
        <is>
          <t>Type I – Tropical Monsoon (PAGASA)</t>
        </is>
      </c>
      <c r="O487" s="13" t="inlineStr">
        <is>
          <t>Wet</t>
        </is>
      </c>
      <c r="P487" s="13" t="inlineStr">
        <is>
          <t>Sandy Loam</t>
        </is>
      </c>
      <c r="Q487" s="13" t="inlineStr">
        <is>
          <t>Flat / Lowland</t>
        </is>
      </c>
      <c r="R487" s="14" t="n">
        <v>30</v>
      </c>
      <c r="S487" s="13" t="inlineStr">
        <is>
          <t>—</t>
        </is>
      </c>
      <c r="T487" s="15" t="n">
        <v>452.76</v>
      </c>
      <c r="U487" s="15" t="n"/>
      <c r="V487" s="15" t="n"/>
      <c r="W487" s="15" t="n"/>
      <c r="X487" s="15" t="n">
        <v>4.11</v>
      </c>
      <c r="Y487" s="15" t="n">
        <v>16.04</v>
      </c>
      <c r="Z487" s="16" t="n">
        <v>3.9</v>
      </c>
      <c r="AA487" s="17" t="inlineStr">
        <is>
          <t>Transplanting (Pindot) or Direct Seeding (Pinaghandaan)</t>
        </is>
      </c>
      <c r="AB487" s="17" t="inlineStr">
        <is>
          <t>Conventional Tillage: 2 plowings + 2 harrowings; soil workable when moist</t>
        </is>
      </c>
      <c r="AC487" s="17" t="inlineStr">
        <is>
          <t>Intermittent irrigation (Alternate Wetting and Drying — AWD); moderate retention</t>
        </is>
      </c>
    </row>
    <row r="488" ht="21.75" customHeight="1" s="101">
      <c r="A488" s="6" t="inlineStr">
        <is>
          <t>Palay</t>
        </is>
      </c>
      <c r="B488" s="6" t="inlineStr">
        <is>
          <t>San Felipe Sur</t>
        </is>
      </c>
      <c r="C488" s="6" t="inlineStr">
        <is>
          <t>October</t>
        </is>
      </c>
      <c r="D488" s="6" t="inlineStr">
        <is>
          <t>2018</t>
        </is>
      </c>
      <c r="E488" s="6" t="inlineStr">
        <is>
          <t>WS 2018</t>
        </is>
      </c>
      <c r="F488" s="6" t="inlineStr">
        <is>
          <t>Harvest</t>
        </is>
      </c>
      <c r="G488" s="7" t="n">
        <v>6.4</v>
      </c>
      <c r="H488" s="8" t="n">
        <v>26.08</v>
      </c>
      <c r="I488" s="8" t="n">
        <v>17.07</v>
      </c>
      <c r="J488" s="8" t="n">
        <v>32.15</v>
      </c>
      <c r="K488" s="8" t="n">
        <v>82.73999999999999</v>
      </c>
      <c r="L488" s="8" t="n">
        <v>98.33</v>
      </c>
      <c r="M488" s="8" t="n">
        <v>19.8</v>
      </c>
      <c r="N488" s="6" t="inlineStr">
        <is>
          <t>Type I – Tropical Monsoon (PAGASA)</t>
        </is>
      </c>
      <c r="O488" s="6" t="inlineStr">
        <is>
          <t>Wet</t>
        </is>
      </c>
      <c r="P488" s="6" t="inlineStr">
        <is>
          <t>Sandy Loam</t>
        </is>
      </c>
      <c r="Q488" s="6" t="inlineStr">
        <is>
          <t>Flat / Lowland</t>
        </is>
      </c>
      <c r="R488" s="9" t="n">
        <v>30</v>
      </c>
      <c r="S488" s="6" t="inlineStr">
        <is>
          <t>Tagamusing River</t>
        </is>
      </c>
      <c r="T488" s="10" t="n">
        <v>504</v>
      </c>
      <c r="U488" s="10" t="n"/>
      <c r="V488" s="10" t="n"/>
      <c r="W488" s="10" t="n"/>
      <c r="X488" s="10" t="n">
        <v>0.75</v>
      </c>
      <c r="Y488" s="10" t="n">
        <v>3</v>
      </c>
      <c r="Z488" s="11" t="n">
        <v>4</v>
      </c>
      <c r="AA488" s="12" t="inlineStr">
        <is>
          <t>Transplanting (Pindot) or Direct Seeding (Pinaghandaan)</t>
        </is>
      </c>
      <c r="AB488" s="12" t="inlineStr">
        <is>
          <t>Conventional Tillage: 2 plowings + 2 harrowings; soil workable when moist</t>
        </is>
      </c>
      <c r="AC488" s="12" t="inlineStr">
        <is>
          <t>Intermittent irrigation (Alternate Wetting and Drying — AWD); moderate retention</t>
        </is>
      </c>
    </row>
    <row r="489" ht="21.75" customHeight="1" s="101">
      <c r="A489" s="13" t="inlineStr">
        <is>
          <t>Palay</t>
        </is>
      </c>
      <c r="B489" s="13" t="inlineStr">
        <is>
          <t>Pasileng Sur</t>
        </is>
      </c>
      <c r="C489" s="13" t="inlineStr">
        <is>
          <t>October</t>
        </is>
      </c>
      <c r="D489" s="13" t="inlineStr">
        <is>
          <t>2018</t>
        </is>
      </c>
      <c r="E489" s="13" t="inlineStr">
        <is>
          <t>WS 2018</t>
        </is>
      </c>
      <c r="F489" s="13" t="inlineStr">
        <is>
          <t>Harvest</t>
        </is>
      </c>
      <c r="G489" s="7" t="n">
        <v>6.4</v>
      </c>
      <c r="H489" s="8" t="n">
        <v>26.08</v>
      </c>
      <c r="I489" s="8" t="n">
        <v>17.07</v>
      </c>
      <c r="J489" s="8" t="n">
        <v>32.15</v>
      </c>
      <c r="K489" s="8" t="n">
        <v>82.73999999999999</v>
      </c>
      <c r="L489" s="8" t="n">
        <v>98.33</v>
      </c>
      <c r="M489" s="8" t="n">
        <v>19.8</v>
      </c>
      <c r="N489" s="13" t="inlineStr">
        <is>
          <t>Type I – Tropical Monsoon (PAGASA)</t>
        </is>
      </c>
      <c r="O489" s="13" t="inlineStr">
        <is>
          <t>Wet</t>
        </is>
      </c>
      <c r="P489" s="13" t="inlineStr">
        <is>
          <t>Sandy Loam</t>
        </is>
      </c>
      <c r="Q489" s="13" t="inlineStr">
        <is>
          <t>Flat / Lowland</t>
        </is>
      </c>
      <c r="R489" s="14" t="n">
        <v>30</v>
      </c>
      <c r="S489" s="13" t="inlineStr">
        <is>
          <t>Tagamusing River</t>
        </is>
      </c>
      <c r="T489" s="15" t="n">
        <v>414.96</v>
      </c>
      <c r="U489" s="15" t="n"/>
      <c r="V489" s="15" t="n"/>
      <c r="W489" s="15" t="n"/>
      <c r="X489" s="15" t="n">
        <v>4.48</v>
      </c>
      <c r="Y489" s="15" t="n">
        <v>23.41</v>
      </c>
      <c r="Z489" s="16" t="n">
        <v>5.23</v>
      </c>
      <c r="AA489" s="17" t="inlineStr">
        <is>
          <t>Transplanting (Pindot) or Direct Seeding (Pinaghandaan)</t>
        </is>
      </c>
      <c r="AB489" s="17" t="inlineStr">
        <is>
          <t>Conventional Tillage: 2 plowings + 2 harrowings; soil workable when moist</t>
        </is>
      </c>
      <c r="AC489" s="17" t="inlineStr">
        <is>
          <t>Intermittent irrigation (Alternate Wetting and Drying — AWD); moderate retention</t>
        </is>
      </c>
    </row>
    <row r="490" ht="21.75" customHeight="1" s="101">
      <c r="A490" s="6" t="inlineStr">
        <is>
          <t>Palay</t>
        </is>
      </c>
      <c r="B490" s="6" t="inlineStr">
        <is>
          <t>Sta. Maria Norte</t>
        </is>
      </c>
      <c r="C490" s="6" t="inlineStr">
        <is>
          <t>October</t>
        </is>
      </c>
      <c r="D490" s="6" t="inlineStr">
        <is>
          <t>2018</t>
        </is>
      </c>
      <c r="E490" s="6" t="inlineStr">
        <is>
          <t>WS 2018</t>
        </is>
      </c>
      <c r="F490" s="6" t="inlineStr">
        <is>
          <t>Harvest</t>
        </is>
      </c>
      <c r="G490" s="7" t="n">
        <v>6.4</v>
      </c>
      <c r="H490" s="8" t="n">
        <v>26.08</v>
      </c>
      <c r="I490" s="8" t="n">
        <v>17.07</v>
      </c>
      <c r="J490" s="8" t="n">
        <v>32.15</v>
      </c>
      <c r="K490" s="8" t="n">
        <v>82.73999999999999</v>
      </c>
      <c r="L490" s="8" t="n">
        <v>98.33</v>
      </c>
      <c r="M490" s="8" t="n">
        <v>19.8</v>
      </c>
      <c r="N490" s="6" t="inlineStr">
        <is>
          <t>Type I – Tropical Monsoon (PAGASA)</t>
        </is>
      </c>
      <c r="O490" s="6" t="inlineStr">
        <is>
          <t>Wet</t>
        </is>
      </c>
      <c r="P490" s="6" t="inlineStr">
        <is>
          <t>Sandy Loam</t>
        </is>
      </c>
      <c r="Q490" s="6" t="inlineStr">
        <is>
          <t>Flat / Lowland</t>
        </is>
      </c>
      <c r="R490" s="9" t="n">
        <v>30</v>
      </c>
      <c r="S490" s="6" t="inlineStr">
        <is>
          <t>Tagamusing River</t>
        </is>
      </c>
      <c r="T490" s="10" t="n">
        <v>157.08</v>
      </c>
      <c r="U490" s="10" t="n"/>
      <c r="V490" s="10" t="n"/>
      <c r="W490" s="10" t="n"/>
      <c r="X490" s="10" t="n">
        <v>0.5</v>
      </c>
      <c r="Y490" s="10" t="n">
        <v>1.75</v>
      </c>
      <c r="Z490" s="11" t="n">
        <v>3.5</v>
      </c>
      <c r="AA490" s="12" t="inlineStr">
        <is>
          <t>Transplanting (Pindot) or Direct Seeding (Pinaghandaan)</t>
        </is>
      </c>
      <c r="AB490" s="12" t="inlineStr">
        <is>
          <t>Conventional Tillage: 2 plowings + 2 harrowings; soil workable when moist</t>
        </is>
      </c>
      <c r="AC490" s="12" t="inlineStr">
        <is>
          <t>Intermittent irrigation (Alternate Wetting and Drying — AWD); moderate retention</t>
        </is>
      </c>
    </row>
    <row r="491" ht="21.75" customHeight="1" s="101">
      <c r="A491" s="13" t="inlineStr">
        <is>
          <t>Palay</t>
        </is>
      </c>
      <c r="B491" s="13" t="inlineStr">
        <is>
          <t>Bugayong</t>
        </is>
      </c>
      <c r="C491" s="13" t="inlineStr">
        <is>
          <t>October</t>
        </is>
      </c>
      <c r="D491" s="13" t="inlineStr">
        <is>
          <t>2018</t>
        </is>
      </c>
      <c r="E491" s="13" t="inlineStr">
        <is>
          <t>WS 2018</t>
        </is>
      </c>
      <c r="F491" s="13" t="inlineStr">
        <is>
          <t>Harvest</t>
        </is>
      </c>
      <c r="G491" s="7" t="n">
        <v>6.4</v>
      </c>
      <c r="H491" s="8" t="n">
        <v>26.08</v>
      </c>
      <c r="I491" s="8" t="n">
        <v>17.07</v>
      </c>
      <c r="J491" s="8" t="n">
        <v>32.15</v>
      </c>
      <c r="K491" s="8" t="n">
        <v>82.73999999999999</v>
      </c>
      <c r="L491" s="8" t="n">
        <v>98.33</v>
      </c>
      <c r="M491" s="8" t="n">
        <v>19.8</v>
      </c>
      <c r="N491" s="13" t="inlineStr">
        <is>
          <t>Type I – Tropical Monsoon (PAGASA)</t>
        </is>
      </c>
      <c r="O491" s="13" t="inlineStr">
        <is>
          <t>Wet</t>
        </is>
      </c>
      <c r="P491" s="13" t="inlineStr">
        <is>
          <t>Sandy Loam / Silty Clay Loam</t>
        </is>
      </c>
      <c r="Q491" s="13" t="inlineStr">
        <is>
          <t>Flat / Lowland</t>
        </is>
      </c>
      <c r="R491" s="14" t="n">
        <v>30</v>
      </c>
      <c r="S491" s="13" t="inlineStr">
        <is>
          <t>Aloragat River</t>
        </is>
      </c>
      <c r="T491" s="15" t="n">
        <v>346.08</v>
      </c>
      <c r="U491" s="15" t="n"/>
      <c r="V491" s="15" t="n"/>
      <c r="W491" s="15" t="n"/>
      <c r="X491" s="15" t="n">
        <v>26.39</v>
      </c>
      <c r="Y491" s="15" t="n">
        <v>211.12</v>
      </c>
      <c r="Z491" s="16" t="n">
        <v>8</v>
      </c>
      <c r="AA491" s="17" t="inlineStr">
        <is>
          <t>Transplanting (Pindot) — recommended; Direct Seeding possible in dry season</t>
        </is>
      </c>
      <c r="AB491" s="17" t="inlineStr">
        <is>
          <t>Conventional Tillage: 2 plowings + harrowing; puddle thoroughly for transplanting</t>
        </is>
      </c>
      <c r="AC491" s="17" t="inlineStr">
        <is>
          <t>Intermittent to continuous flooding; manage according to drainage section present</t>
        </is>
      </c>
    </row>
    <row r="492" ht="21.75" customHeight="1" s="101">
      <c r="A492" s="6" t="inlineStr">
        <is>
          <t>Palay</t>
        </is>
      </c>
      <c r="B492" s="6" t="inlineStr">
        <is>
          <t>Santiago</t>
        </is>
      </c>
      <c r="C492" s="6" t="inlineStr">
        <is>
          <t>October</t>
        </is>
      </c>
      <c r="D492" s="6" t="inlineStr">
        <is>
          <t>2018</t>
        </is>
      </c>
      <c r="E492" s="6" t="inlineStr">
        <is>
          <t>WS 2018</t>
        </is>
      </c>
      <c r="F492" s="6" t="inlineStr">
        <is>
          <t>Harvest</t>
        </is>
      </c>
      <c r="G492" s="7" t="n">
        <v>6.4</v>
      </c>
      <c r="H492" s="8" t="n">
        <v>26.08</v>
      </c>
      <c r="I492" s="8" t="n">
        <v>17.07</v>
      </c>
      <c r="J492" s="8" t="n">
        <v>32.15</v>
      </c>
      <c r="K492" s="8" t="n">
        <v>82.73999999999999</v>
      </c>
      <c r="L492" s="8" t="n">
        <v>98.33</v>
      </c>
      <c r="M492" s="8" t="n">
        <v>19.8</v>
      </c>
      <c r="N492" s="6" t="inlineStr">
        <is>
          <t>Type I – Tropical Monsoon (PAGASA)</t>
        </is>
      </c>
      <c r="O492" s="6" t="inlineStr">
        <is>
          <t>Wet</t>
        </is>
      </c>
      <c r="P492" s="6" t="inlineStr">
        <is>
          <t>Silty Clay Loam</t>
        </is>
      </c>
      <c r="Q492" s="6" t="inlineStr">
        <is>
          <t>Flat / Lowland</t>
        </is>
      </c>
      <c r="R492" s="9" t="n">
        <v>30</v>
      </c>
      <c r="S492" s="6" t="inlineStr">
        <is>
          <t>—</t>
        </is>
      </c>
      <c r="T492" s="10" t="n">
        <v>283.08</v>
      </c>
      <c r="U492" s="10" t="n"/>
      <c r="V492" s="10" t="n"/>
      <c r="W492" s="10" t="n"/>
      <c r="X492" s="10" t="n">
        <v>4</v>
      </c>
      <c r="Y492" s="10" t="n">
        <v>13.5</v>
      </c>
      <c r="Z492" s="11" t="n">
        <v>3.38</v>
      </c>
      <c r="AA492" s="12" t="inlineStr">
        <is>
          <t>Transplanting (Pindot) — optimal for clay-loam paddy fields</t>
        </is>
      </c>
      <c r="AB492" s="12" t="inlineStr">
        <is>
          <t>Wet Tillage (Puddling): 2 plowings + thorough harrowing under flooded condition</t>
        </is>
      </c>
      <c r="AC492" s="12" t="inlineStr">
        <is>
          <t>Continuous flooding 2–5 cm depth during vegetative stage; drain 2 weeks before harvest</t>
        </is>
      </c>
    </row>
    <row r="493" ht="21.75" customHeight="1" s="101">
      <c r="A493" s="13" t="inlineStr">
        <is>
          <t>Palay</t>
        </is>
      </c>
      <c r="B493" s="13" t="inlineStr">
        <is>
          <t>Pasileng Norte</t>
        </is>
      </c>
      <c r="C493" s="13" t="inlineStr">
        <is>
          <t>October</t>
        </is>
      </c>
      <c r="D493" s="13" t="inlineStr">
        <is>
          <t>2019</t>
        </is>
      </c>
      <c r="E493" s="13" t="inlineStr">
        <is>
          <t>WS 2019</t>
        </is>
      </c>
      <c r="F493" s="13" t="inlineStr">
        <is>
          <t>Harvest</t>
        </is>
      </c>
      <c r="G493" s="7" t="n">
        <v>3.3</v>
      </c>
      <c r="H493" s="8" t="n">
        <v>26.5</v>
      </c>
      <c r="I493" s="8" t="n">
        <v>21.07</v>
      </c>
      <c r="J493" s="8" t="n">
        <v>31.96</v>
      </c>
      <c r="K493" s="8" t="n">
        <v>82.27</v>
      </c>
      <c r="L493" s="8" t="n">
        <v>98.37</v>
      </c>
      <c r="M493" s="8" t="n">
        <v>20.07</v>
      </c>
      <c r="N493" s="13" t="inlineStr">
        <is>
          <t>Type I – Tropical Monsoon (PAGASA)</t>
        </is>
      </c>
      <c r="O493" s="13" t="inlineStr">
        <is>
          <t>Wet</t>
        </is>
      </c>
      <c r="P493" s="13" t="inlineStr">
        <is>
          <t>Sandy Loam</t>
        </is>
      </c>
      <c r="Q493" s="13" t="inlineStr">
        <is>
          <t>Flat / Lowland</t>
        </is>
      </c>
      <c r="R493" s="14" t="n">
        <v>30</v>
      </c>
      <c r="S493" s="13" t="inlineStr">
        <is>
          <t>Tagamusing River</t>
        </is>
      </c>
      <c r="T493" s="15" t="n">
        <v>140.28</v>
      </c>
      <c r="U493" s="15" t="n"/>
      <c r="V493" s="15" t="n"/>
      <c r="W493" s="15" t="n"/>
      <c r="X493" s="15" t="n">
        <v>3.19</v>
      </c>
      <c r="Y493" s="15" t="n">
        <v>25.52</v>
      </c>
      <c r="Z493" s="16" t="n">
        <v>8</v>
      </c>
      <c r="AA493" s="17" t="inlineStr">
        <is>
          <t>Transplanting (Pindot) or Direct Seeding (Pinaghandaan)</t>
        </is>
      </c>
      <c r="AB493" s="17" t="inlineStr">
        <is>
          <t>Conventional Tillage: 2 plowings + 2 harrowings; soil workable when moist</t>
        </is>
      </c>
      <c r="AC493" s="17" t="inlineStr">
        <is>
          <t>Intermittent irrigation (Alternate Wetting and Drying — AWD); moderate retention</t>
        </is>
      </c>
    </row>
    <row r="494" ht="21.75" customHeight="1" s="101">
      <c r="A494" s="6" t="inlineStr">
        <is>
          <t>Palay</t>
        </is>
      </c>
      <c r="B494" s="6" t="inlineStr">
        <is>
          <t>Tabuyoc</t>
        </is>
      </c>
      <c r="C494" s="6" t="inlineStr">
        <is>
          <t>October</t>
        </is>
      </c>
      <c r="D494" s="6" t="inlineStr">
        <is>
          <t>2019</t>
        </is>
      </c>
      <c r="E494" s="6" t="inlineStr">
        <is>
          <t>WS 2019</t>
        </is>
      </c>
      <c r="F494" s="6" t="inlineStr">
        <is>
          <t>Harvest</t>
        </is>
      </c>
      <c r="G494" s="7" t="n">
        <v>3.3</v>
      </c>
      <c r="H494" s="8" t="n">
        <v>26.5</v>
      </c>
      <c r="I494" s="8" t="n">
        <v>21.07</v>
      </c>
      <c r="J494" s="8" t="n">
        <v>31.96</v>
      </c>
      <c r="K494" s="8" t="n">
        <v>82.27</v>
      </c>
      <c r="L494" s="8" t="n">
        <v>98.37</v>
      </c>
      <c r="M494" s="8" t="n">
        <v>20.07</v>
      </c>
      <c r="N494" s="6" t="inlineStr">
        <is>
          <t>Type I – Tropical Monsoon (PAGASA)</t>
        </is>
      </c>
      <c r="O494" s="6" t="inlineStr">
        <is>
          <t>Wet</t>
        </is>
      </c>
      <c r="P494" s="6" t="inlineStr">
        <is>
          <t>Silty Clay Loam</t>
        </is>
      </c>
      <c r="Q494" s="6" t="inlineStr">
        <is>
          <t>Flat / Lowland</t>
        </is>
      </c>
      <c r="R494" s="9" t="n">
        <v>30</v>
      </c>
      <c r="S494" s="6" t="inlineStr">
        <is>
          <t>—</t>
        </is>
      </c>
      <c r="T494" s="10" t="n">
        <v>277.2</v>
      </c>
      <c r="U494" s="10" t="n"/>
      <c r="V494" s="10" t="n"/>
      <c r="W494" s="10" t="n"/>
      <c r="X494" s="10" t="n">
        <v>4</v>
      </c>
      <c r="Y494" s="10" t="n">
        <v>10.55</v>
      </c>
      <c r="Z494" s="11" t="n">
        <v>2.64</v>
      </c>
      <c r="AA494" s="12" t="inlineStr">
        <is>
          <t>Transplanting (Pindot) — optimal for clay-loam paddy fields</t>
        </is>
      </c>
      <c r="AB494" s="12" t="inlineStr">
        <is>
          <t>Wet Tillage (Puddling): 2 plowings + thorough harrowing under flooded condition</t>
        </is>
      </c>
      <c r="AC494" s="12" t="inlineStr">
        <is>
          <t>Continuous flooding 2–5 cm depth during vegetative stage; drain 2 weeks before harvest</t>
        </is>
      </c>
    </row>
    <row r="495" ht="21.75" customHeight="1" s="101">
      <c r="A495" s="13" t="inlineStr">
        <is>
          <t>Palay</t>
        </is>
      </c>
      <c r="B495" s="13" t="inlineStr">
        <is>
          <t>Bued</t>
        </is>
      </c>
      <c r="C495" s="13" t="inlineStr">
        <is>
          <t>October</t>
        </is>
      </c>
      <c r="D495" s="13" t="inlineStr">
        <is>
          <t>2019</t>
        </is>
      </c>
      <c r="E495" s="13" t="inlineStr">
        <is>
          <t>WS 2019</t>
        </is>
      </c>
      <c r="F495" s="13" t="inlineStr">
        <is>
          <t>Harvest</t>
        </is>
      </c>
      <c r="G495" s="7" t="n">
        <v>3.3</v>
      </c>
      <c r="H495" s="8" t="n">
        <v>26.5</v>
      </c>
      <c r="I495" s="8" t="n">
        <v>21.07</v>
      </c>
      <c r="J495" s="8" t="n">
        <v>31.96</v>
      </c>
      <c r="K495" s="8" t="n">
        <v>82.27</v>
      </c>
      <c r="L495" s="8" t="n">
        <v>98.37</v>
      </c>
      <c r="M495" s="8" t="n">
        <v>20.07</v>
      </c>
      <c r="N495" s="13" t="inlineStr">
        <is>
          <t>Type I – Tropical Monsoon (PAGASA)</t>
        </is>
      </c>
      <c r="O495" s="13" t="inlineStr">
        <is>
          <t>Wet</t>
        </is>
      </c>
      <c r="P495" s="13" t="inlineStr">
        <is>
          <t>Silty Clay Loam</t>
        </is>
      </c>
      <c r="Q495" s="13" t="inlineStr">
        <is>
          <t>Flat / Lowland</t>
        </is>
      </c>
      <c r="R495" s="14" t="n">
        <v>30</v>
      </c>
      <c r="S495" s="13" t="inlineStr">
        <is>
          <t>Tagamusing River</t>
        </is>
      </c>
      <c r="T495" s="15" t="n">
        <v>210.84</v>
      </c>
      <c r="U495" s="15" t="n"/>
      <c r="V495" s="15" t="n"/>
      <c r="W495" s="15" t="n"/>
      <c r="X495" s="15" t="n">
        <v>46.57</v>
      </c>
      <c r="Y495" s="15" t="n">
        <v>172.96</v>
      </c>
      <c r="Z495" s="16" t="n">
        <v>3.71</v>
      </c>
      <c r="AA495" s="17" t="inlineStr">
        <is>
          <t>Transplanting (Pindot) — optimal for clay-loam paddy fields</t>
        </is>
      </c>
      <c r="AB495" s="17" t="inlineStr">
        <is>
          <t>Wet Tillage (Puddling): 2 plowings + thorough harrowing under flooded condition</t>
        </is>
      </c>
      <c r="AC495" s="17" t="inlineStr">
        <is>
          <t>Continuous flooding 2–5 cm depth during vegetative stage; drain 2 weeks before harvest</t>
        </is>
      </c>
    </row>
    <row r="496" ht="21.75" customHeight="1" s="101">
      <c r="A496" s="6" t="inlineStr">
        <is>
          <t>Palay</t>
        </is>
      </c>
      <c r="B496" s="6" t="inlineStr">
        <is>
          <t>Dumayat</t>
        </is>
      </c>
      <c r="C496" s="6" t="inlineStr">
        <is>
          <t>October</t>
        </is>
      </c>
      <c r="D496" s="6" t="inlineStr">
        <is>
          <t>2019</t>
        </is>
      </c>
      <c r="E496" s="6" t="inlineStr">
        <is>
          <t>WS 2019</t>
        </is>
      </c>
      <c r="F496" s="6" t="inlineStr">
        <is>
          <t>Harvest</t>
        </is>
      </c>
      <c r="G496" s="7" t="n">
        <v>3.3</v>
      </c>
      <c r="H496" s="8" t="n">
        <v>26.5</v>
      </c>
      <c r="I496" s="8" t="n">
        <v>21.07</v>
      </c>
      <c r="J496" s="8" t="n">
        <v>31.96</v>
      </c>
      <c r="K496" s="8" t="n">
        <v>82.27</v>
      </c>
      <c r="L496" s="8" t="n">
        <v>98.37</v>
      </c>
      <c r="M496" s="8" t="n">
        <v>20.07</v>
      </c>
      <c r="N496" s="6" t="inlineStr">
        <is>
          <t>Type I – Tropical Monsoon (PAGASA)</t>
        </is>
      </c>
      <c r="O496" s="6" t="inlineStr">
        <is>
          <t>Wet</t>
        </is>
      </c>
      <c r="P496" s="6" t="inlineStr">
        <is>
          <t>Silty Clay Loam</t>
        </is>
      </c>
      <c r="Q496" s="6" t="inlineStr">
        <is>
          <t>Flat / Lowland</t>
        </is>
      </c>
      <c r="R496" s="9" t="n">
        <v>30</v>
      </c>
      <c r="S496" s="6" t="inlineStr">
        <is>
          <t>—</t>
        </is>
      </c>
      <c r="T496" s="10" t="n">
        <v>266.28</v>
      </c>
      <c r="U496" s="10" t="n"/>
      <c r="V496" s="10" t="n"/>
      <c r="W496" s="10" t="n"/>
      <c r="X496" s="10" t="n">
        <v>18.8</v>
      </c>
      <c r="Y496" s="10" t="n">
        <v>13.5</v>
      </c>
      <c r="Z496" s="11" t="n">
        <v>0.72</v>
      </c>
      <c r="AA496" s="12" t="inlineStr">
        <is>
          <t>Transplanting (Pindot) — optimal for clay-loam paddy fields</t>
        </is>
      </c>
      <c r="AB496" s="12" t="inlineStr">
        <is>
          <t>Wet Tillage (Puddling): 2 plowings + thorough harrowing under flooded condition</t>
        </is>
      </c>
      <c r="AC496" s="12" t="inlineStr">
        <is>
          <t>Continuous flooding 2–5 cm depth during vegetative stage; drain 2 weeks before harvest</t>
        </is>
      </c>
    </row>
    <row r="497" ht="21.75" customHeight="1" s="101">
      <c r="A497" s="13" t="inlineStr">
        <is>
          <t>Palay</t>
        </is>
      </c>
      <c r="B497" s="13" t="inlineStr">
        <is>
          <t>Camanggaan</t>
        </is>
      </c>
      <c r="C497" s="13" t="inlineStr">
        <is>
          <t>October</t>
        </is>
      </c>
      <c r="D497" s="13" t="inlineStr">
        <is>
          <t>2019</t>
        </is>
      </c>
      <c r="E497" s="13" t="inlineStr">
        <is>
          <t>WS 2019</t>
        </is>
      </c>
      <c r="F497" s="13" t="inlineStr">
        <is>
          <t>Harvest</t>
        </is>
      </c>
      <c r="G497" s="7" t="n">
        <v>3.3</v>
      </c>
      <c r="H497" s="8" t="n">
        <v>26.5</v>
      </c>
      <c r="I497" s="8" t="n">
        <v>21.07</v>
      </c>
      <c r="J497" s="8" t="n">
        <v>31.96</v>
      </c>
      <c r="K497" s="8" t="n">
        <v>82.27</v>
      </c>
      <c r="L497" s="8" t="n">
        <v>98.37</v>
      </c>
      <c r="M497" s="8" t="n">
        <v>20.07</v>
      </c>
      <c r="N497" s="13" t="inlineStr">
        <is>
          <t>Type I – Tropical Monsoon (PAGASA)</t>
        </is>
      </c>
      <c r="O497" s="13" t="inlineStr">
        <is>
          <t>Wet</t>
        </is>
      </c>
      <c r="P497" s="13" t="inlineStr">
        <is>
          <t>Sandy Loam</t>
        </is>
      </c>
      <c r="Q497" s="13" t="inlineStr">
        <is>
          <t>Flat / Lowland</t>
        </is>
      </c>
      <c r="R497" s="14" t="n">
        <v>30</v>
      </c>
      <c r="S497" s="13" t="inlineStr">
        <is>
          <t>—</t>
        </is>
      </c>
      <c r="T497" s="15" t="n">
        <v>244.44</v>
      </c>
      <c r="U497" s="15" t="n"/>
      <c r="V497" s="15" t="n"/>
      <c r="W497" s="15" t="n"/>
      <c r="X497" s="15" t="n">
        <v>3.02</v>
      </c>
      <c r="Y497" s="15" t="n">
        <v>17.18</v>
      </c>
      <c r="Z497" s="16" t="n">
        <v>5.69</v>
      </c>
      <c r="AA497" s="17" t="inlineStr">
        <is>
          <t>Transplanting (Pindot) or Direct Seeding (Pinaghandaan)</t>
        </is>
      </c>
      <c r="AB497" s="17" t="inlineStr">
        <is>
          <t>Conventional Tillage: 2 plowings + 2 harrowings; soil workable when moist</t>
        </is>
      </c>
      <c r="AC497" s="17" t="inlineStr">
        <is>
          <t>Intermittent irrigation (Alternate Wetting and Drying — AWD); moderate retention</t>
        </is>
      </c>
    </row>
    <row r="498" ht="21.75" customHeight="1" s="101">
      <c r="A498" s="6" t="inlineStr">
        <is>
          <t>Palay</t>
        </is>
      </c>
      <c r="B498" s="6" t="inlineStr">
        <is>
          <t>Vacante</t>
        </is>
      </c>
      <c r="C498" s="6" t="inlineStr">
        <is>
          <t>October</t>
        </is>
      </c>
      <c r="D498" s="6" t="inlineStr">
        <is>
          <t>2019</t>
        </is>
      </c>
      <c r="E498" s="6" t="inlineStr">
        <is>
          <t>WS 2019</t>
        </is>
      </c>
      <c r="F498" s="6" t="inlineStr">
        <is>
          <t>Harvest</t>
        </is>
      </c>
      <c r="G498" s="7" t="n">
        <v>3.3</v>
      </c>
      <c r="H498" s="8" t="n">
        <v>26.5</v>
      </c>
      <c r="I498" s="8" t="n">
        <v>21.07</v>
      </c>
      <c r="J498" s="8" t="n">
        <v>31.96</v>
      </c>
      <c r="K498" s="8" t="n">
        <v>82.27</v>
      </c>
      <c r="L498" s="8" t="n">
        <v>98.37</v>
      </c>
      <c r="M498" s="8" t="n">
        <v>20.07</v>
      </c>
      <c r="N498" s="6" t="inlineStr">
        <is>
          <t>Type I – Tropical Monsoon (PAGASA)</t>
        </is>
      </c>
      <c r="O498" s="6" t="inlineStr">
        <is>
          <t>Wet</t>
        </is>
      </c>
      <c r="P498" s="6" t="inlineStr">
        <is>
          <t>Silty Clay Loam</t>
        </is>
      </c>
      <c r="Q498" s="6" t="inlineStr">
        <is>
          <t>Flat / Lowland</t>
        </is>
      </c>
      <c r="R498" s="9" t="n">
        <v>30</v>
      </c>
      <c r="S498" s="6" t="inlineStr">
        <is>
          <t>Aloragat River</t>
        </is>
      </c>
      <c r="T498" s="10" t="n">
        <v>484.68</v>
      </c>
      <c r="U498" s="10" t="n"/>
      <c r="V498" s="10" t="n"/>
      <c r="W498" s="10" t="n"/>
      <c r="X498" s="10" t="n">
        <v>2.27</v>
      </c>
      <c r="Y498" s="10" t="n">
        <v>9.25</v>
      </c>
      <c r="Z498" s="11" t="n">
        <v>4.07</v>
      </c>
      <c r="AA498" s="12" t="inlineStr">
        <is>
          <t>Transplanting (Pindot) — optimal for clay-loam paddy fields</t>
        </is>
      </c>
      <c r="AB498" s="12" t="inlineStr">
        <is>
          <t>Wet Tillage (Puddling): 2 plowings + thorough harrowing under flooded condition</t>
        </is>
      </c>
      <c r="AC498" s="12" t="inlineStr">
        <is>
          <t>Continuous flooding 2–5 cm depth during vegetative stage; drain 2 weeks before harvest</t>
        </is>
      </c>
    </row>
    <row r="499" ht="21.75" customHeight="1" s="101">
      <c r="A499" s="13" t="inlineStr">
        <is>
          <t>Palay</t>
        </is>
      </c>
      <c r="B499" s="13" t="inlineStr">
        <is>
          <t>Sta. Catalina</t>
        </is>
      </c>
      <c r="C499" s="13" t="inlineStr">
        <is>
          <t>October</t>
        </is>
      </c>
      <c r="D499" s="13" t="inlineStr">
        <is>
          <t>2019</t>
        </is>
      </c>
      <c r="E499" s="13" t="inlineStr">
        <is>
          <t>WS 2019</t>
        </is>
      </c>
      <c r="F499" s="13" t="inlineStr">
        <is>
          <t>Harvest</t>
        </is>
      </c>
      <c r="G499" s="7" t="n">
        <v>3.3</v>
      </c>
      <c r="H499" s="8" t="n">
        <v>26.5</v>
      </c>
      <c r="I499" s="8" t="n">
        <v>21.07</v>
      </c>
      <c r="J499" s="8" t="n">
        <v>31.96</v>
      </c>
      <c r="K499" s="8" t="n">
        <v>82.27</v>
      </c>
      <c r="L499" s="8" t="n">
        <v>98.37</v>
      </c>
      <c r="M499" s="8" t="n">
        <v>20.07</v>
      </c>
      <c r="N499" s="13" t="inlineStr">
        <is>
          <t>Type I – Tropical Monsoon (PAGASA)</t>
        </is>
      </c>
      <c r="O499" s="13" t="inlineStr">
        <is>
          <t>Wet</t>
        </is>
      </c>
      <c r="P499" s="13" t="inlineStr">
        <is>
          <t>Fine Sand / Sandy Loam</t>
        </is>
      </c>
      <c r="Q499" s="13" t="inlineStr">
        <is>
          <t>Moderately Sloping / Highland</t>
        </is>
      </c>
      <c r="R499" s="14" t="n">
        <v>90</v>
      </c>
      <c r="S499" s="13" t="inlineStr">
        <is>
          <t>—</t>
        </is>
      </c>
      <c r="T499" s="15" t="n">
        <v>709.8</v>
      </c>
      <c r="U499" s="15" t="n"/>
      <c r="V499" s="15" t="n"/>
      <c r="W499" s="15" t="n"/>
      <c r="X499" s="15" t="n">
        <v>7.88</v>
      </c>
      <c r="Y499" s="15" t="n">
        <v>63.04</v>
      </c>
      <c r="Z499" s="16" t="n">
        <v>8</v>
      </c>
      <c r="AA499" s="17" t="inlineStr">
        <is>
          <t>Transplanting (Pindot)</t>
        </is>
      </c>
      <c r="AB499" s="17" t="inlineStr">
        <is>
          <t>Minimum Tillage (avoid compaction; sandy structure fragile)</t>
        </is>
      </c>
      <c r="AC499" s="17" t="inlineStr">
        <is>
          <t>Continuous flooding or frequent irrigation; high percolation risk; terrace or bund-assisted water retention essential on slopes</t>
        </is>
      </c>
    </row>
    <row r="500" ht="21.75" customHeight="1" s="101">
      <c r="A500" s="6" t="inlineStr">
        <is>
          <t>Palay</t>
        </is>
      </c>
      <c r="B500" s="6" t="inlineStr">
        <is>
          <t>Moreno</t>
        </is>
      </c>
      <c r="C500" s="6" t="inlineStr">
        <is>
          <t>October</t>
        </is>
      </c>
      <c r="D500" s="6" t="inlineStr">
        <is>
          <t>2019</t>
        </is>
      </c>
      <c r="E500" s="6" t="inlineStr">
        <is>
          <t>WS 2019</t>
        </is>
      </c>
      <c r="F500" s="6" t="inlineStr">
        <is>
          <t>Harvest</t>
        </is>
      </c>
      <c r="G500" s="7" t="n">
        <v>3.3</v>
      </c>
      <c r="H500" s="8" t="n">
        <v>26.5</v>
      </c>
      <c r="I500" s="8" t="n">
        <v>21.07</v>
      </c>
      <c r="J500" s="8" t="n">
        <v>31.96</v>
      </c>
      <c r="K500" s="8" t="n">
        <v>82.27</v>
      </c>
      <c r="L500" s="8" t="n">
        <v>98.37</v>
      </c>
      <c r="M500" s="8" t="n">
        <v>20.07</v>
      </c>
      <c r="N500" s="6" t="inlineStr">
        <is>
          <t>Type I – Tropical Monsoon (PAGASA)</t>
        </is>
      </c>
      <c r="O500" s="6" t="inlineStr">
        <is>
          <t>Wet</t>
        </is>
      </c>
      <c r="P500" s="6" t="inlineStr">
        <is>
          <t>Sandy Loam</t>
        </is>
      </c>
      <c r="Q500" s="6" t="inlineStr">
        <is>
          <t>Moderately Sloping / Highland</t>
        </is>
      </c>
      <c r="R500" s="9" t="n">
        <v>90</v>
      </c>
      <c r="S500" s="6" t="inlineStr">
        <is>
          <t>Alibeng River</t>
        </is>
      </c>
      <c r="T500" s="10" t="n">
        <v>641.76</v>
      </c>
      <c r="U500" s="10" t="n"/>
      <c r="V500" s="10" t="n"/>
      <c r="W500" s="10" t="n"/>
      <c r="X500" s="10" t="n">
        <v>27.65</v>
      </c>
      <c r="Y500" s="10" t="n">
        <v>116.86</v>
      </c>
      <c r="Z500" s="11" t="n">
        <v>4.23</v>
      </c>
      <c r="AA500" s="12" t="inlineStr">
        <is>
          <t>Transplanting (Pindot) or Direct Seeding (Pinaghandaan)</t>
        </is>
      </c>
      <c r="AB500" s="12" t="inlineStr">
        <is>
          <t>Conventional Tillage: 2 plowings + 2 harrowings; soil workable when moist</t>
        </is>
      </c>
      <c r="AC500" s="12" t="inlineStr">
        <is>
          <t>Intermittent irrigation (Alternate Wetting and Drying — AWD); moderate retention; terrace or bund-assisted water retention essential on slopes</t>
        </is>
      </c>
    </row>
    <row r="501" ht="21.75" customHeight="1" s="101">
      <c r="A501" s="13" t="inlineStr">
        <is>
          <t>Palay</t>
        </is>
      </c>
      <c r="B501" s="13" t="inlineStr">
        <is>
          <t>Cili</t>
        </is>
      </c>
      <c r="C501" s="13" t="inlineStr">
        <is>
          <t>October</t>
        </is>
      </c>
      <c r="D501" s="13" t="inlineStr">
        <is>
          <t>2019</t>
        </is>
      </c>
      <c r="E501" s="13" t="inlineStr">
        <is>
          <t>WS 2019</t>
        </is>
      </c>
      <c r="F501" s="13" t="inlineStr">
        <is>
          <t>Harvest</t>
        </is>
      </c>
      <c r="G501" s="7" t="n">
        <v>3.3</v>
      </c>
      <c r="H501" s="8" t="n">
        <v>26.5</v>
      </c>
      <c r="I501" s="8" t="n">
        <v>21.07</v>
      </c>
      <c r="J501" s="8" t="n">
        <v>31.96</v>
      </c>
      <c r="K501" s="8" t="n">
        <v>82.27</v>
      </c>
      <c r="L501" s="8" t="n">
        <v>98.37</v>
      </c>
      <c r="M501" s="8" t="n">
        <v>20.07</v>
      </c>
      <c r="N501" s="13" t="inlineStr">
        <is>
          <t>Type I – Tropical Monsoon (PAGASA)</t>
        </is>
      </c>
      <c r="O501" s="13" t="inlineStr">
        <is>
          <t>Wet</t>
        </is>
      </c>
      <c r="P501" s="13" t="inlineStr">
        <is>
          <t>Silty Clay Loam</t>
        </is>
      </c>
      <c r="Q501" s="13" t="inlineStr">
        <is>
          <t>Flat / Lowland</t>
        </is>
      </c>
      <c r="R501" s="14" t="n">
        <v>30</v>
      </c>
      <c r="S501" s="13" t="inlineStr">
        <is>
          <t>Alibeng River</t>
        </is>
      </c>
      <c r="T501" s="15" t="n">
        <v>264.6</v>
      </c>
      <c r="U501" s="15" t="n"/>
      <c r="V501" s="15" t="n"/>
      <c r="W501" s="15" t="n"/>
      <c r="X501" s="15" t="n">
        <v>33.1</v>
      </c>
      <c r="Y501" s="15" t="n">
        <v>13.5</v>
      </c>
      <c r="Z501" s="16" t="n">
        <v>0.41</v>
      </c>
      <c r="AA501" s="17" t="inlineStr">
        <is>
          <t>Transplanting (Pindot) — optimal for clay-loam paddy fields</t>
        </is>
      </c>
      <c r="AB501" s="17" t="inlineStr">
        <is>
          <t>Wet Tillage (Puddling): 2 plowings + thorough harrowing under flooded condition</t>
        </is>
      </c>
      <c r="AC501" s="17" t="inlineStr">
        <is>
          <t>Continuous flooding 2–5 cm depth during vegetative stage; drain 2 weeks before harvest</t>
        </is>
      </c>
    </row>
    <row r="502" ht="21.75" customHeight="1" s="101">
      <c r="A502" s="6" t="inlineStr">
        <is>
          <t>Palay</t>
        </is>
      </c>
      <c r="B502" s="6" t="inlineStr">
        <is>
          <t>Linmansangan</t>
        </is>
      </c>
      <c r="C502" s="6" t="inlineStr">
        <is>
          <t>October</t>
        </is>
      </c>
      <c r="D502" s="6" t="inlineStr">
        <is>
          <t>2019</t>
        </is>
      </c>
      <c r="E502" s="6" t="inlineStr">
        <is>
          <t>WS 2019</t>
        </is>
      </c>
      <c r="F502" s="6" t="inlineStr">
        <is>
          <t>Harvest</t>
        </is>
      </c>
      <c r="G502" s="7" t="n">
        <v>3.3</v>
      </c>
      <c r="H502" s="8" t="n">
        <v>26.5</v>
      </c>
      <c r="I502" s="8" t="n">
        <v>21.07</v>
      </c>
      <c r="J502" s="8" t="n">
        <v>31.96</v>
      </c>
      <c r="K502" s="8" t="n">
        <v>82.27</v>
      </c>
      <c r="L502" s="8" t="n">
        <v>98.37</v>
      </c>
      <c r="M502" s="8" t="n">
        <v>20.07</v>
      </c>
      <c r="N502" s="6" t="inlineStr">
        <is>
          <t>Type I – Tropical Monsoon (PAGASA)</t>
        </is>
      </c>
      <c r="O502" s="6" t="inlineStr">
        <is>
          <t>Wet</t>
        </is>
      </c>
      <c r="P502" s="6" t="inlineStr">
        <is>
          <t>Silty Clay Loam</t>
        </is>
      </c>
      <c r="Q502" s="6" t="inlineStr">
        <is>
          <t>Flat / Lowland</t>
        </is>
      </c>
      <c r="R502" s="9" t="n">
        <v>30</v>
      </c>
      <c r="S502" s="6" t="inlineStr">
        <is>
          <t>—</t>
        </is>
      </c>
      <c r="T502" s="10" t="n">
        <v>492.24</v>
      </c>
      <c r="U502" s="10" t="n"/>
      <c r="V502" s="10" t="n"/>
      <c r="W502" s="10" t="n"/>
      <c r="X502" s="10" t="n">
        <v>67.18000000000001</v>
      </c>
      <c r="Y502" s="10" t="n">
        <v>97.11</v>
      </c>
      <c r="Z502" s="11" t="n">
        <v>1.45</v>
      </c>
      <c r="AA502" s="12" t="inlineStr">
        <is>
          <t>Transplanting (Pindot) — optimal for clay-loam paddy fields</t>
        </is>
      </c>
      <c r="AB502" s="12" t="inlineStr">
        <is>
          <t>Wet Tillage (Puddling): 2 plowings + thorough harrowing under flooded condition</t>
        </is>
      </c>
      <c r="AC502" s="12" t="inlineStr">
        <is>
          <t>Continuous flooding 2–5 cm depth during vegetative stage; drain 2 weeks before harvest</t>
        </is>
      </c>
    </row>
    <row r="503" ht="21.75" customHeight="1" s="101">
      <c r="A503" s="13" t="inlineStr">
        <is>
          <t>Palay</t>
        </is>
      </c>
      <c r="B503" s="13" t="inlineStr">
        <is>
          <t>Sumabnit</t>
        </is>
      </c>
      <c r="C503" s="13" t="inlineStr">
        <is>
          <t>October</t>
        </is>
      </c>
      <c r="D503" s="13" t="inlineStr">
        <is>
          <t>2019</t>
        </is>
      </c>
      <c r="E503" s="13" t="inlineStr">
        <is>
          <t>WS 2019</t>
        </is>
      </c>
      <c r="F503" s="13" t="inlineStr">
        <is>
          <t>Harvest</t>
        </is>
      </c>
      <c r="G503" s="7" t="n">
        <v>3.3</v>
      </c>
      <c r="H503" s="8" t="n">
        <v>26.5</v>
      </c>
      <c r="I503" s="8" t="n">
        <v>21.07</v>
      </c>
      <c r="J503" s="8" t="n">
        <v>31.96</v>
      </c>
      <c r="K503" s="8" t="n">
        <v>82.27</v>
      </c>
      <c r="L503" s="8" t="n">
        <v>98.37</v>
      </c>
      <c r="M503" s="8" t="n">
        <v>20.07</v>
      </c>
      <c r="N503" s="13" t="inlineStr">
        <is>
          <t>Type I – Tropical Monsoon (PAGASA)</t>
        </is>
      </c>
      <c r="O503" s="13" t="inlineStr">
        <is>
          <t>Wet</t>
        </is>
      </c>
      <c r="P503" s="13" t="inlineStr">
        <is>
          <t>Silty Clay Loam / Fine Sandy Loam</t>
        </is>
      </c>
      <c r="Q503" s="13" t="inlineStr">
        <is>
          <t>Flat / Lowland</t>
        </is>
      </c>
      <c r="R503" s="14" t="n">
        <v>30</v>
      </c>
      <c r="S503" s="13" t="inlineStr">
        <is>
          <t>Tagamusing River</t>
        </is>
      </c>
      <c r="T503" s="15" t="n">
        <v>406.56</v>
      </c>
      <c r="U503" s="15" t="n"/>
      <c r="V503" s="15" t="n"/>
      <c r="W503" s="15" t="n"/>
      <c r="X503" s="15" t="n">
        <v>0.4</v>
      </c>
      <c r="Y503" s="15" t="n">
        <v>2.02</v>
      </c>
      <c r="Z503" s="16" t="n">
        <v>5.05</v>
      </c>
      <c r="AA503" s="17" t="inlineStr">
        <is>
          <t>Transplanting (Pindot)</t>
        </is>
      </c>
      <c r="AB503" s="17" t="inlineStr">
        <is>
          <t>Minimum Tillage (avoid compaction; sandy structure fragile)</t>
        </is>
      </c>
      <c r="AC503" s="17" t="inlineStr">
        <is>
          <t>Continuous flooding or frequent irrigation; high percolation risk</t>
        </is>
      </c>
    </row>
    <row r="504" ht="21.75" customHeight="1" s="101">
      <c r="A504" s="6" t="inlineStr">
        <is>
          <t>Palay</t>
        </is>
      </c>
      <c r="B504" s="6" t="inlineStr">
        <is>
          <t>Capas</t>
        </is>
      </c>
      <c r="C504" s="6" t="inlineStr">
        <is>
          <t>October</t>
        </is>
      </c>
      <c r="D504" s="6" t="inlineStr">
        <is>
          <t>2019</t>
        </is>
      </c>
      <c r="E504" s="6" t="inlineStr">
        <is>
          <t>WS 2019</t>
        </is>
      </c>
      <c r="F504" s="6" t="inlineStr">
        <is>
          <t>Harvest</t>
        </is>
      </c>
      <c r="G504" s="7" t="n">
        <v>3.3</v>
      </c>
      <c r="H504" s="8" t="n">
        <v>26.5</v>
      </c>
      <c r="I504" s="8" t="n">
        <v>21.07</v>
      </c>
      <c r="J504" s="8" t="n">
        <v>31.96</v>
      </c>
      <c r="K504" s="8" t="n">
        <v>82.27</v>
      </c>
      <c r="L504" s="8" t="n">
        <v>98.37</v>
      </c>
      <c r="M504" s="8" t="n">
        <v>20.07</v>
      </c>
      <c r="N504" s="6" t="inlineStr">
        <is>
          <t>Type I – Tropical Monsoon (PAGASA)</t>
        </is>
      </c>
      <c r="O504" s="6" t="inlineStr">
        <is>
          <t>Wet</t>
        </is>
      </c>
      <c r="P504" s="6" t="inlineStr">
        <is>
          <t>Sandy Loam</t>
        </is>
      </c>
      <c r="Q504" s="6" t="inlineStr">
        <is>
          <t>Flat / Lowland</t>
        </is>
      </c>
      <c r="R504" s="9" t="n">
        <v>30</v>
      </c>
      <c r="S504" s="6" t="inlineStr">
        <is>
          <t>—</t>
        </is>
      </c>
      <c r="T504" s="10" t="n">
        <v>377.16</v>
      </c>
      <c r="U504" s="10" t="n"/>
      <c r="V504" s="10" t="n"/>
      <c r="W504" s="10" t="n"/>
      <c r="X504" s="10" t="n">
        <v>3.49</v>
      </c>
      <c r="Y504" s="10" t="n">
        <v>27.92</v>
      </c>
      <c r="Z504" s="11" t="n">
        <v>8</v>
      </c>
      <c r="AA504" s="12" t="inlineStr">
        <is>
          <t>Transplanting (Pindot) or Direct Seeding (Pinaghandaan)</t>
        </is>
      </c>
      <c r="AB504" s="12" t="inlineStr">
        <is>
          <t>Conventional Tillage: 2 plowings + 2 harrowings; soil workable when moist</t>
        </is>
      </c>
      <c r="AC504" s="12" t="inlineStr">
        <is>
          <t>Intermittent irrigation (Alternate Wetting and Drying — AWD); moderate retention</t>
        </is>
      </c>
    </row>
    <row r="505" ht="21.75" customHeight="1" s="101">
      <c r="A505" s="13" t="inlineStr">
        <is>
          <t>Palay</t>
        </is>
      </c>
      <c r="B505" s="13" t="inlineStr">
        <is>
          <t>Mangkasuy</t>
        </is>
      </c>
      <c r="C505" s="13" t="inlineStr">
        <is>
          <t>October</t>
        </is>
      </c>
      <c r="D505" s="13" t="inlineStr">
        <is>
          <t>2019</t>
        </is>
      </c>
      <c r="E505" s="13" t="inlineStr">
        <is>
          <t>WS 2019</t>
        </is>
      </c>
      <c r="F505" s="13" t="inlineStr">
        <is>
          <t>Harvest</t>
        </is>
      </c>
      <c r="G505" s="7" t="n">
        <v>3.3</v>
      </c>
      <c r="H505" s="8" t="n">
        <v>26.5</v>
      </c>
      <c r="I505" s="8" t="n">
        <v>21.07</v>
      </c>
      <c r="J505" s="8" t="n">
        <v>31.96</v>
      </c>
      <c r="K505" s="8" t="n">
        <v>82.27</v>
      </c>
      <c r="L505" s="8" t="n">
        <v>98.37</v>
      </c>
      <c r="M505" s="8" t="n">
        <v>20.07</v>
      </c>
      <c r="N505" s="13" t="inlineStr">
        <is>
          <t>Type I – Tropical Monsoon (PAGASA)</t>
        </is>
      </c>
      <c r="O505" s="13" t="inlineStr">
        <is>
          <t>Wet</t>
        </is>
      </c>
      <c r="P505" s="13" t="inlineStr">
        <is>
          <t>Sandy Loam</t>
        </is>
      </c>
      <c r="Q505" s="13" t="inlineStr">
        <is>
          <t>Flat / Lowland</t>
        </is>
      </c>
      <c r="R505" s="14" t="n">
        <v>30</v>
      </c>
      <c r="S505" s="13" t="inlineStr">
        <is>
          <t>Tagamusing River</t>
        </is>
      </c>
      <c r="T505" s="15" t="n">
        <v>802.2</v>
      </c>
      <c r="U505" s="15" t="n"/>
      <c r="V505" s="15" t="n"/>
      <c r="W505" s="15" t="n"/>
      <c r="X505" s="15" t="n">
        <v>13.55</v>
      </c>
      <c r="Y505" s="15" t="n">
        <v>23.42</v>
      </c>
      <c r="Z505" s="16" t="n">
        <v>1.73</v>
      </c>
      <c r="AA505" s="17" t="inlineStr">
        <is>
          <t>Transplanting (Pindot) or Direct Seeding (Pinaghandaan)</t>
        </is>
      </c>
      <c r="AB505" s="17" t="inlineStr">
        <is>
          <t>Conventional Tillage: 2 plowings + 2 harrowings; soil workable when moist</t>
        </is>
      </c>
      <c r="AC505" s="17" t="inlineStr">
        <is>
          <t>Intermittent irrigation (Alternate Wetting and Drying — AWD); moderate retention</t>
        </is>
      </c>
    </row>
    <row r="506" ht="21.75" customHeight="1" s="101">
      <c r="A506" s="6" t="inlineStr">
        <is>
          <t>Palay</t>
        </is>
      </c>
      <c r="B506" s="6" t="inlineStr">
        <is>
          <t>San Pablo</t>
        </is>
      </c>
      <c r="C506" s="6" t="inlineStr">
        <is>
          <t>October</t>
        </is>
      </c>
      <c r="D506" s="6" t="inlineStr">
        <is>
          <t>2019</t>
        </is>
      </c>
      <c r="E506" s="6" t="inlineStr">
        <is>
          <t>WS 2019</t>
        </is>
      </c>
      <c r="F506" s="6" t="inlineStr">
        <is>
          <t>Harvest</t>
        </is>
      </c>
      <c r="G506" s="7" t="n">
        <v>3.3</v>
      </c>
      <c r="H506" s="8" t="n">
        <v>26.5</v>
      </c>
      <c r="I506" s="8" t="n">
        <v>21.07</v>
      </c>
      <c r="J506" s="8" t="n">
        <v>31.96</v>
      </c>
      <c r="K506" s="8" t="n">
        <v>82.27</v>
      </c>
      <c r="L506" s="8" t="n">
        <v>98.37</v>
      </c>
      <c r="M506" s="8" t="n">
        <v>20.07</v>
      </c>
      <c r="N506" s="6" t="inlineStr">
        <is>
          <t>Type I – Tropical Monsoon (PAGASA)</t>
        </is>
      </c>
      <c r="O506" s="6" t="inlineStr">
        <is>
          <t>Wet</t>
        </is>
      </c>
      <c r="P506" s="6" t="inlineStr">
        <is>
          <t>Sandy Loam</t>
        </is>
      </c>
      <c r="Q506" s="6" t="inlineStr">
        <is>
          <t>Flat / Lowland</t>
        </is>
      </c>
      <c r="R506" s="9" t="n">
        <v>30</v>
      </c>
      <c r="S506" s="6" t="inlineStr">
        <is>
          <t>San Pablo Creek</t>
        </is>
      </c>
      <c r="T506" s="10" t="n">
        <v>215.04</v>
      </c>
      <c r="U506" s="10" t="n"/>
      <c r="V506" s="10" t="n"/>
      <c r="W506" s="10" t="n"/>
      <c r="X506" s="10" t="n">
        <v>1.43</v>
      </c>
      <c r="Y506" s="10" t="n">
        <v>9</v>
      </c>
      <c r="Z506" s="11" t="n">
        <v>6.29</v>
      </c>
      <c r="AA506" s="12" t="inlineStr">
        <is>
          <t>Transplanting (Pindot) or Direct Seeding (Pinaghandaan)</t>
        </is>
      </c>
      <c r="AB506" s="12" t="inlineStr">
        <is>
          <t>Conventional Tillage: 2 plowings + 2 harrowings; soil workable when moist</t>
        </is>
      </c>
      <c r="AC506" s="12" t="inlineStr">
        <is>
          <t>Intermittent irrigation (Alternate Wetting and Drying — AWD); moderate retention</t>
        </is>
      </c>
    </row>
    <row r="507" ht="21.75" customHeight="1" s="101">
      <c r="A507" s="13" t="inlineStr">
        <is>
          <t>Palay</t>
        </is>
      </c>
      <c r="B507" s="13" t="inlineStr">
        <is>
          <t>Balangobong</t>
        </is>
      </c>
      <c r="C507" s="13" t="inlineStr">
        <is>
          <t>October</t>
        </is>
      </c>
      <c r="D507" s="13" t="inlineStr">
        <is>
          <t>2019</t>
        </is>
      </c>
      <c r="E507" s="13" t="inlineStr">
        <is>
          <t>WS 2019</t>
        </is>
      </c>
      <c r="F507" s="13" t="inlineStr">
        <is>
          <t>Harvest</t>
        </is>
      </c>
      <c r="G507" s="7" t="n">
        <v>3.3</v>
      </c>
      <c r="H507" s="8" t="n">
        <v>26.5</v>
      </c>
      <c r="I507" s="8" t="n">
        <v>21.07</v>
      </c>
      <c r="J507" s="8" t="n">
        <v>31.96</v>
      </c>
      <c r="K507" s="8" t="n">
        <v>82.27</v>
      </c>
      <c r="L507" s="8" t="n">
        <v>98.37</v>
      </c>
      <c r="M507" s="8" t="n">
        <v>20.07</v>
      </c>
      <c r="N507" s="13" t="inlineStr">
        <is>
          <t>Type I – Tropical Monsoon (PAGASA)</t>
        </is>
      </c>
      <c r="O507" s="13" t="inlineStr">
        <is>
          <t>Wet</t>
        </is>
      </c>
      <c r="P507" s="13" t="inlineStr">
        <is>
          <t>Silty Clay Loam</t>
        </is>
      </c>
      <c r="Q507" s="13" t="inlineStr">
        <is>
          <t>Flat / Lowland</t>
        </is>
      </c>
      <c r="R507" s="14" t="n">
        <v>30</v>
      </c>
      <c r="S507" s="13" t="inlineStr">
        <is>
          <t>—</t>
        </is>
      </c>
      <c r="T507" s="15" t="n">
        <v>281.4</v>
      </c>
      <c r="U507" s="15" t="n"/>
      <c r="V507" s="15" t="n"/>
      <c r="W507" s="15" t="n"/>
      <c r="X507" s="15" t="n">
        <v>4.88</v>
      </c>
      <c r="Y507" s="15" t="n">
        <v>23.65</v>
      </c>
      <c r="Z507" s="16" t="n">
        <v>4.84</v>
      </c>
      <c r="AA507" s="17" t="inlineStr">
        <is>
          <t>Transplanting (Pindot) — optimal for clay-loam paddy fields</t>
        </is>
      </c>
      <c r="AB507" s="17" t="inlineStr">
        <is>
          <t>Wet Tillage (Puddling): 2 plowings + thorough harrowing under flooded condition</t>
        </is>
      </c>
      <c r="AC507" s="17" t="inlineStr">
        <is>
          <t>Continuous flooding 2–5 cm depth during vegetative stage; drain 2 weeks before harvest</t>
        </is>
      </c>
    </row>
    <row r="508" ht="21.75" customHeight="1" s="101">
      <c r="A508" s="6" t="inlineStr">
        <is>
          <t>Palay</t>
        </is>
      </c>
      <c r="B508" s="6" t="inlineStr">
        <is>
          <t>San Felipe Central</t>
        </is>
      </c>
      <c r="C508" s="6" t="inlineStr">
        <is>
          <t>October</t>
        </is>
      </c>
      <c r="D508" s="6" t="inlineStr">
        <is>
          <t>2019</t>
        </is>
      </c>
      <c r="E508" s="6" t="inlineStr">
        <is>
          <t>WS 2019</t>
        </is>
      </c>
      <c r="F508" s="6" t="inlineStr">
        <is>
          <t>Harvest</t>
        </is>
      </c>
      <c r="G508" s="7" t="n">
        <v>3.3</v>
      </c>
      <c r="H508" s="8" t="n">
        <v>26.5</v>
      </c>
      <c r="I508" s="8" t="n">
        <v>21.07</v>
      </c>
      <c r="J508" s="8" t="n">
        <v>31.96</v>
      </c>
      <c r="K508" s="8" t="n">
        <v>82.27</v>
      </c>
      <c r="L508" s="8" t="n">
        <v>98.37</v>
      </c>
      <c r="M508" s="8" t="n">
        <v>20.07</v>
      </c>
      <c r="N508" s="6" t="inlineStr">
        <is>
          <t>Type I – Tropical Monsoon (PAGASA)</t>
        </is>
      </c>
      <c r="O508" s="6" t="inlineStr">
        <is>
          <t>Wet</t>
        </is>
      </c>
      <c r="P508" s="6" t="inlineStr">
        <is>
          <t>Sandy Loam</t>
        </is>
      </c>
      <c r="Q508" s="6" t="inlineStr">
        <is>
          <t>Flat / Lowland</t>
        </is>
      </c>
      <c r="R508" s="9" t="n">
        <v>30</v>
      </c>
      <c r="S508" s="6" t="inlineStr">
        <is>
          <t>—</t>
        </is>
      </c>
      <c r="T508" s="10" t="n">
        <v>452.76</v>
      </c>
      <c r="U508" s="10" t="n"/>
      <c r="V508" s="10" t="n"/>
      <c r="W508" s="10" t="n"/>
      <c r="X508" s="10" t="n">
        <v>4.7</v>
      </c>
      <c r="Y508" s="10" t="n">
        <v>13.72</v>
      </c>
      <c r="Z508" s="11" t="n">
        <v>2.92</v>
      </c>
      <c r="AA508" s="12" t="inlineStr">
        <is>
          <t>Transplanting (Pindot) or Direct Seeding (Pinaghandaan)</t>
        </is>
      </c>
      <c r="AB508" s="12" t="inlineStr">
        <is>
          <t>Conventional Tillage: 2 plowings + 2 harrowings; soil workable when moist</t>
        </is>
      </c>
      <c r="AC508" s="12" t="inlineStr">
        <is>
          <t>Intermittent irrigation (Alternate Wetting and Drying — AWD); moderate retention</t>
        </is>
      </c>
    </row>
    <row r="509" ht="21.75" customHeight="1" s="101">
      <c r="A509" s="13" t="inlineStr">
        <is>
          <t>Palay</t>
        </is>
      </c>
      <c r="B509" s="13" t="inlineStr">
        <is>
          <t>San Felipe Sur</t>
        </is>
      </c>
      <c r="C509" s="13" t="inlineStr">
        <is>
          <t>October</t>
        </is>
      </c>
      <c r="D509" s="13" t="inlineStr">
        <is>
          <t>2019</t>
        </is>
      </c>
      <c r="E509" s="13" t="inlineStr">
        <is>
          <t>WS 2019</t>
        </is>
      </c>
      <c r="F509" s="13" t="inlineStr">
        <is>
          <t>Harvest</t>
        </is>
      </c>
      <c r="G509" s="7" t="n">
        <v>3.3</v>
      </c>
      <c r="H509" s="8" t="n">
        <v>26.5</v>
      </c>
      <c r="I509" s="8" t="n">
        <v>21.07</v>
      </c>
      <c r="J509" s="8" t="n">
        <v>31.96</v>
      </c>
      <c r="K509" s="8" t="n">
        <v>82.27</v>
      </c>
      <c r="L509" s="8" t="n">
        <v>98.37</v>
      </c>
      <c r="M509" s="8" t="n">
        <v>20.07</v>
      </c>
      <c r="N509" s="13" t="inlineStr">
        <is>
          <t>Type I – Tropical Monsoon (PAGASA)</t>
        </is>
      </c>
      <c r="O509" s="13" t="inlineStr">
        <is>
          <t>Wet</t>
        </is>
      </c>
      <c r="P509" s="13" t="inlineStr">
        <is>
          <t>Sandy Loam</t>
        </is>
      </c>
      <c r="Q509" s="13" t="inlineStr">
        <is>
          <t>Flat / Lowland</t>
        </is>
      </c>
      <c r="R509" s="14" t="n">
        <v>30</v>
      </c>
      <c r="S509" s="13" t="inlineStr">
        <is>
          <t>Tagamusing River</t>
        </is>
      </c>
      <c r="T509" s="15" t="n">
        <v>504</v>
      </c>
      <c r="U509" s="15" t="n"/>
      <c r="V509" s="15" t="n"/>
      <c r="W509" s="15" t="n"/>
      <c r="X509" s="15" t="n">
        <v>5.69</v>
      </c>
      <c r="Y509" s="15" t="n">
        <v>13.06</v>
      </c>
      <c r="Z509" s="16" t="n">
        <v>2.3</v>
      </c>
      <c r="AA509" s="17" t="inlineStr">
        <is>
          <t>Transplanting (Pindot) or Direct Seeding (Pinaghandaan)</t>
        </is>
      </c>
      <c r="AB509" s="17" t="inlineStr">
        <is>
          <t>Conventional Tillage: 2 plowings + 2 harrowings; soil workable when moist</t>
        </is>
      </c>
      <c r="AC509" s="17" t="inlineStr">
        <is>
          <t>Intermittent irrigation (Alternate Wetting and Drying — AWD); moderate retention</t>
        </is>
      </c>
    </row>
    <row r="510" ht="21.75" customHeight="1" s="101">
      <c r="A510" s="6" t="inlineStr">
        <is>
          <t>Palay</t>
        </is>
      </c>
      <c r="B510" s="6" t="inlineStr">
        <is>
          <t>Pasileng Sur</t>
        </is>
      </c>
      <c r="C510" s="6" t="inlineStr">
        <is>
          <t>October</t>
        </is>
      </c>
      <c r="D510" s="6" t="inlineStr">
        <is>
          <t>2019</t>
        </is>
      </c>
      <c r="E510" s="6" t="inlineStr">
        <is>
          <t>WS 2019</t>
        </is>
      </c>
      <c r="F510" s="6" t="inlineStr">
        <is>
          <t>Harvest</t>
        </is>
      </c>
      <c r="G510" s="7" t="n">
        <v>3.3</v>
      </c>
      <c r="H510" s="8" t="n">
        <v>26.5</v>
      </c>
      <c r="I510" s="8" t="n">
        <v>21.07</v>
      </c>
      <c r="J510" s="8" t="n">
        <v>31.96</v>
      </c>
      <c r="K510" s="8" t="n">
        <v>82.27</v>
      </c>
      <c r="L510" s="8" t="n">
        <v>98.37</v>
      </c>
      <c r="M510" s="8" t="n">
        <v>20.07</v>
      </c>
      <c r="N510" s="6" t="inlineStr">
        <is>
          <t>Type I – Tropical Monsoon (PAGASA)</t>
        </is>
      </c>
      <c r="O510" s="6" t="inlineStr">
        <is>
          <t>Wet</t>
        </is>
      </c>
      <c r="P510" s="6" t="inlineStr">
        <is>
          <t>Sandy Loam</t>
        </is>
      </c>
      <c r="Q510" s="6" t="inlineStr">
        <is>
          <t>Flat / Lowland</t>
        </is>
      </c>
      <c r="R510" s="9" t="n">
        <v>30</v>
      </c>
      <c r="S510" s="6" t="inlineStr">
        <is>
          <t>Tagamusing River</t>
        </is>
      </c>
      <c r="T510" s="10" t="n">
        <v>414.96</v>
      </c>
      <c r="U510" s="10" t="n"/>
      <c r="V510" s="10" t="n"/>
      <c r="W510" s="10" t="n"/>
      <c r="X510" s="10" t="n">
        <v>4.76</v>
      </c>
      <c r="Y510" s="10" t="n">
        <v>17.81</v>
      </c>
      <c r="Z510" s="11" t="n">
        <v>3.74</v>
      </c>
      <c r="AA510" s="12" t="inlineStr">
        <is>
          <t>Transplanting (Pindot) or Direct Seeding (Pinaghandaan)</t>
        </is>
      </c>
      <c r="AB510" s="12" t="inlineStr">
        <is>
          <t>Conventional Tillage: 2 plowings + 2 harrowings; soil workable when moist</t>
        </is>
      </c>
      <c r="AC510" s="12" t="inlineStr">
        <is>
          <t>Intermittent irrigation (Alternate Wetting and Drying — AWD); moderate retention</t>
        </is>
      </c>
    </row>
    <row r="511" ht="21.75" customHeight="1" s="101">
      <c r="A511" s="13" t="inlineStr">
        <is>
          <t>Palay</t>
        </is>
      </c>
      <c r="B511" s="13" t="inlineStr">
        <is>
          <t>Sta. Maria Norte</t>
        </is>
      </c>
      <c r="C511" s="13" t="inlineStr">
        <is>
          <t>October</t>
        </is>
      </c>
      <c r="D511" s="13" t="inlineStr">
        <is>
          <t>2019</t>
        </is>
      </c>
      <c r="E511" s="13" t="inlineStr">
        <is>
          <t>WS 2019</t>
        </is>
      </c>
      <c r="F511" s="13" t="inlineStr">
        <is>
          <t>Harvest</t>
        </is>
      </c>
      <c r="G511" s="7" t="n">
        <v>3.3</v>
      </c>
      <c r="H511" s="8" t="n">
        <v>26.5</v>
      </c>
      <c r="I511" s="8" t="n">
        <v>21.07</v>
      </c>
      <c r="J511" s="8" t="n">
        <v>31.96</v>
      </c>
      <c r="K511" s="8" t="n">
        <v>82.27</v>
      </c>
      <c r="L511" s="8" t="n">
        <v>98.37</v>
      </c>
      <c r="M511" s="8" t="n">
        <v>20.07</v>
      </c>
      <c r="N511" s="13" t="inlineStr">
        <is>
          <t>Type I – Tropical Monsoon (PAGASA)</t>
        </is>
      </c>
      <c r="O511" s="13" t="inlineStr">
        <is>
          <t>Wet</t>
        </is>
      </c>
      <c r="P511" s="13" t="inlineStr">
        <is>
          <t>Sandy Loam</t>
        </is>
      </c>
      <c r="Q511" s="13" t="inlineStr">
        <is>
          <t>Flat / Lowland</t>
        </is>
      </c>
      <c r="R511" s="14" t="n">
        <v>30</v>
      </c>
      <c r="S511" s="13" t="inlineStr">
        <is>
          <t>Tagamusing River</t>
        </is>
      </c>
      <c r="T511" s="15" t="n">
        <v>157.08</v>
      </c>
      <c r="U511" s="15" t="n"/>
      <c r="V511" s="15" t="n"/>
      <c r="W511" s="15" t="n"/>
      <c r="X511" s="15" t="n">
        <v>2.36</v>
      </c>
      <c r="Y511" s="15" t="n">
        <v>3.25</v>
      </c>
      <c r="Z511" s="16" t="n">
        <v>1.38</v>
      </c>
      <c r="AA511" s="17" t="inlineStr">
        <is>
          <t>Transplanting (Pindot) or Direct Seeding (Pinaghandaan)</t>
        </is>
      </c>
      <c r="AB511" s="17" t="inlineStr">
        <is>
          <t>Conventional Tillage: 2 plowings + 2 harrowings; soil workable when moist</t>
        </is>
      </c>
      <c r="AC511" s="17" t="inlineStr">
        <is>
          <t>Intermittent irrigation (Alternate Wetting and Drying — AWD); moderate retention</t>
        </is>
      </c>
    </row>
    <row r="512" ht="21.75" customHeight="1" s="101">
      <c r="A512" s="6" t="inlineStr">
        <is>
          <t>Palay</t>
        </is>
      </c>
      <c r="B512" s="6" t="inlineStr">
        <is>
          <t>Bugayong</t>
        </is>
      </c>
      <c r="C512" s="6" t="inlineStr">
        <is>
          <t>October</t>
        </is>
      </c>
      <c r="D512" s="6" t="inlineStr">
        <is>
          <t>2019</t>
        </is>
      </c>
      <c r="E512" s="6" t="inlineStr">
        <is>
          <t>WS 2019</t>
        </is>
      </c>
      <c r="F512" s="6" t="inlineStr">
        <is>
          <t>Harvest</t>
        </is>
      </c>
      <c r="G512" s="7" t="n">
        <v>3.3</v>
      </c>
      <c r="H512" s="8" t="n">
        <v>26.5</v>
      </c>
      <c r="I512" s="8" t="n">
        <v>21.07</v>
      </c>
      <c r="J512" s="8" t="n">
        <v>31.96</v>
      </c>
      <c r="K512" s="8" t="n">
        <v>82.27</v>
      </c>
      <c r="L512" s="8" t="n">
        <v>98.37</v>
      </c>
      <c r="M512" s="8" t="n">
        <v>20.07</v>
      </c>
      <c r="N512" s="6" t="inlineStr">
        <is>
          <t>Type I – Tropical Monsoon (PAGASA)</t>
        </is>
      </c>
      <c r="O512" s="6" t="inlineStr">
        <is>
          <t>Wet</t>
        </is>
      </c>
      <c r="P512" s="6" t="inlineStr">
        <is>
          <t>Sandy Loam / Silty Clay Loam</t>
        </is>
      </c>
      <c r="Q512" s="6" t="inlineStr">
        <is>
          <t>Flat / Lowland</t>
        </is>
      </c>
      <c r="R512" s="9" t="n">
        <v>30</v>
      </c>
      <c r="S512" s="6" t="inlineStr">
        <is>
          <t>Aloragat River</t>
        </is>
      </c>
      <c r="T512" s="10" t="n">
        <v>346.08</v>
      </c>
      <c r="U512" s="10" t="n"/>
      <c r="V512" s="10" t="n"/>
      <c r="W512" s="10" t="n"/>
      <c r="X512" s="10" t="n">
        <v>44.48</v>
      </c>
      <c r="Y512" s="10" t="n">
        <v>306.15</v>
      </c>
      <c r="Z512" s="11" t="n">
        <v>6.88</v>
      </c>
      <c r="AA512" s="12" t="inlineStr">
        <is>
          <t>Transplanting (Pindot) — recommended; Direct Seeding possible in dry season</t>
        </is>
      </c>
      <c r="AB512" s="12" t="inlineStr">
        <is>
          <t>Conventional Tillage: 2 plowings + harrowing; puddle thoroughly for transplanting</t>
        </is>
      </c>
      <c r="AC512" s="12" t="inlineStr">
        <is>
          <t>Intermittent to continuous flooding; manage according to drainage section present</t>
        </is>
      </c>
    </row>
    <row r="513" ht="21.75" customHeight="1" s="101">
      <c r="A513" s="13" t="inlineStr">
        <is>
          <t>Palay</t>
        </is>
      </c>
      <c r="B513" s="13" t="inlineStr">
        <is>
          <t>Santiago</t>
        </is>
      </c>
      <c r="C513" s="13" t="inlineStr">
        <is>
          <t>October</t>
        </is>
      </c>
      <c r="D513" s="13" t="inlineStr">
        <is>
          <t>2019</t>
        </is>
      </c>
      <c r="E513" s="13" t="inlineStr">
        <is>
          <t>WS 2019</t>
        </is>
      </c>
      <c r="F513" s="13" t="inlineStr">
        <is>
          <t>Harvest</t>
        </is>
      </c>
      <c r="G513" s="7" t="n">
        <v>3.3</v>
      </c>
      <c r="H513" s="8" t="n">
        <v>26.5</v>
      </c>
      <c r="I513" s="8" t="n">
        <v>21.07</v>
      </c>
      <c r="J513" s="8" t="n">
        <v>31.96</v>
      </c>
      <c r="K513" s="8" t="n">
        <v>82.27</v>
      </c>
      <c r="L513" s="8" t="n">
        <v>98.37</v>
      </c>
      <c r="M513" s="8" t="n">
        <v>20.07</v>
      </c>
      <c r="N513" s="13" t="inlineStr">
        <is>
          <t>Type I – Tropical Monsoon (PAGASA)</t>
        </is>
      </c>
      <c r="O513" s="13" t="inlineStr">
        <is>
          <t>Wet</t>
        </is>
      </c>
      <c r="P513" s="13" t="inlineStr">
        <is>
          <t>Silty Clay Loam</t>
        </is>
      </c>
      <c r="Q513" s="13" t="inlineStr">
        <is>
          <t>Flat / Lowland</t>
        </is>
      </c>
      <c r="R513" s="14" t="n">
        <v>30</v>
      </c>
      <c r="S513" s="13" t="inlineStr">
        <is>
          <t>—</t>
        </is>
      </c>
      <c r="T513" s="15" t="n">
        <v>283.08</v>
      </c>
      <c r="U513" s="15" t="n"/>
      <c r="V513" s="15" t="n"/>
      <c r="W513" s="15" t="n"/>
      <c r="X513" s="15" t="n">
        <v>4</v>
      </c>
      <c r="Y513" s="15" t="n">
        <v>11.7</v>
      </c>
      <c r="Z513" s="16" t="n">
        <v>2.92</v>
      </c>
      <c r="AA513" s="17" t="inlineStr">
        <is>
          <t>Transplanting (Pindot) — optimal for clay-loam paddy fields</t>
        </is>
      </c>
      <c r="AB513" s="17" t="inlineStr">
        <is>
          <t>Wet Tillage (Puddling): 2 plowings + thorough harrowing under flooded condition</t>
        </is>
      </c>
      <c r="AC513" s="17" t="inlineStr">
        <is>
          <t>Continuous flooding 2–5 cm depth during vegetative stage; drain 2 weeks before harvest</t>
        </is>
      </c>
    </row>
    <row r="514" ht="21.75" customHeight="1" s="101">
      <c r="A514" s="6" t="inlineStr">
        <is>
          <t>Palay</t>
        </is>
      </c>
      <c r="B514" s="6" t="inlineStr">
        <is>
          <t>Pasileng Norte</t>
        </is>
      </c>
      <c r="C514" s="6" t="inlineStr">
        <is>
          <t>October</t>
        </is>
      </c>
      <c r="D514" s="6" t="inlineStr">
        <is>
          <t>2020</t>
        </is>
      </c>
      <c r="E514" s="6" t="inlineStr">
        <is>
          <t>WS 2020</t>
        </is>
      </c>
      <c r="F514" s="6" t="inlineStr">
        <is>
          <t>Harvest</t>
        </is>
      </c>
      <c r="G514" s="7" t="n">
        <v>17.03</v>
      </c>
      <c r="H514" s="8" t="n">
        <v>26.32</v>
      </c>
      <c r="I514" s="8" t="n">
        <v>22.31</v>
      </c>
      <c r="J514" s="8" t="n">
        <v>31.82</v>
      </c>
      <c r="K514" s="8" t="n">
        <v>87.7</v>
      </c>
      <c r="L514" s="8" t="n">
        <v>98.08</v>
      </c>
      <c r="M514" s="8" t="n">
        <v>15.24</v>
      </c>
      <c r="N514" s="6" t="inlineStr">
        <is>
          <t>Type I – Tropical Monsoon (PAGASA)</t>
        </is>
      </c>
      <c r="O514" s="6" t="inlineStr">
        <is>
          <t>Wet</t>
        </is>
      </c>
      <c r="P514" s="6" t="inlineStr">
        <is>
          <t>Sandy Loam</t>
        </is>
      </c>
      <c r="Q514" s="6" t="inlineStr">
        <is>
          <t>Flat / Lowland</t>
        </is>
      </c>
      <c r="R514" s="9" t="n">
        <v>30</v>
      </c>
      <c r="S514" s="6" t="inlineStr">
        <is>
          <t>Tagamusing River</t>
        </is>
      </c>
      <c r="T514" s="10" t="n">
        <v>140.28</v>
      </c>
      <c r="U514" s="10" t="n"/>
      <c r="V514" s="10" t="n"/>
      <c r="W514" s="10" t="n"/>
      <c r="X514" s="10" t="n">
        <v>4.5</v>
      </c>
      <c r="Y514" s="10" t="n">
        <v>24.75</v>
      </c>
      <c r="Z514" s="11" t="n">
        <v>5.5</v>
      </c>
      <c r="AA514" s="12" t="inlineStr">
        <is>
          <t>Transplanting (Pindot) or Direct Seeding (Pinaghandaan)</t>
        </is>
      </c>
      <c r="AB514" s="12" t="inlineStr">
        <is>
          <t>Conventional Tillage: 2 plowings + 2 harrowings; soil workable when moist</t>
        </is>
      </c>
      <c r="AC514" s="12" t="inlineStr">
        <is>
          <t>Intermittent irrigation (Alternate Wetting and Drying — AWD); moderate retention</t>
        </is>
      </c>
    </row>
    <row r="515" ht="21.75" customHeight="1" s="101">
      <c r="A515" s="13" t="inlineStr">
        <is>
          <t>Palay</t>
        </is>
      </c>
      <c r="B515" s="13" t="inlineStr">
        <is>
          <t>Tabuyoc</t>
        </is>
      </c>
      <c r="C515" s="13" t="inlineStr">
        <is>
          <t>October</t>
        </is>
      </c>
      <c r="D515" s="13" t="inlineStr">
        <is>
          <t>2020</t>
        </is>
      </c>
      <c r="E515" s="13" t="inlineStr">
        <is>
          <t>WS 2020</t>
        </is>
      </c>
      <c r="F515" s="13" t="inlineStr">
        <is>
          <t>Harvest</t>
        </is>
      </c>
      <c r="G515" s="7" t="n">
        <v>17.03</v>
      </c>
      <c r="H515" s="8" t="n">
        <v>26.32</v>
      </c>
      <c r="I515" s="8" t="n">
        <v>22.31</v>
      </c>
      <c r="J515" s="8" t="n">
        <v>31.82</v>
      </c>
      <c r="K515" s="8" t="n">
        <v>87.7</v>
      </c>
      <c r="L515" s="8" t="n">
        <v>98.08</v>
      </c>
      <c r="M515" s="8" t="n">
        <v>15.24</v>
      </c>
      <c r="N515" s="13" t="inlineStr">
        <is>
          <t>Type I – Tropical Monsoon (PAGASA)</t>
        </is>
      </c>
      <c r="O515" s="13" t="inlineStr">
        <is>
          <t>Wet</t>
        </is>
      </c>
      <c r="P515" s="13" t="inlineStr">
        <is>
          <t>Silty Clay Loam</t>
        </is>
      </c>
      <c r="Q515" s="13" t="inlineStr">
        <is>
          <t>Flat / Lowland</t>
        </is>
      </c>
      <c r="R515" s="14" t="n">
        <v>30</v>
      </c>
      <c r="S515" s="13" t="inlineStr">
        <is>
          <t>—</t>
        </is>
      </c>
      <c r="T515" s="15" t="n">
        <v>277.2</v>
      </c>
      <c r="U515" s="15" t="n"/>
      <c r="V515" s="15" t="n"/>
      <c r="W515" s="15" t="n"/>
      <c r="X515" s="15" t="n">
        <v>4</v>
      </c>
      <c r="Y515" s="15" t="n">
        <v>21.36</v>
      </c>
      <c r="Z515" s="16" t="n">
        <v>5.34</v>
      </c>
      <c r="AA515" s="17" t="inlineStr">
        <is>
          <t>Transplanting (Pindot) — optimal for clay-loam paddy fields</t>
        </is>
      </c>
      <c r="AB515" s="17" t="inlineStr">
        <is>
          <t>Wet Tillage (Puddling): 2 plowings + thorough harrowing under flooded condition</t>
        </is>
      </c>
      <c r="AC515" s="17" t="inlineStr">
        <is>
          <t>Continuous flooding 2–5 cm depth during vegetative stage; drain 2 weeks before harvest</t>
        </is>
      </c>
    </row>
    <row r="516" ht="21.75" customHeight="1" s="101">
      <c r="A516" s="6" t="inlineStr">
        <is>
          <t>Palay</t>
        </is>
      </c>
      <c r="B516" s="6" t="inlineStr">
        <is>
          <t>Bued</t>
        </is>
      </c>
      <c r="C516" s="6" t="inlineStr">
        <is>
          <t>October</t>
        </is>
      </c>
      <c r="D516" s="6" t="inlineStr">
        <is>
          <t>2020</t>
        </is>
      </c>
      <c r="E516" s="6" t="inlineStr">
        <is>
          <t>WS 2020</t>
        </is>
      </c>
      <c r="F516" s="6" t="inlineStr">
        <is>
          <t>Harvest</t>
        </is>
      </c>
      <c r="G516" s="7" t="n">
        <v>17.03</v>
      </c>
      <c r="H516" s="8" t="n">
        <v>26.32</v>
      </c>
      <c r="I516" s="8" t="n">
        <v>22.31</v>
      </c>
      <c r="J516" s="8" t="n">
        <v>31.82</v>
      </c>
      <c r="K516" s="8" t="n">
        <v>87.7</v>
      </c>
      <c r="L516" s="8" t="n">
        <v>98.08</v>
      </c>
      <c r="M516" s="8" t="n">
        <v>15.24</v>
      </c>
      <c r="N516" s="6" t="inlineStr">
        <is>
          <t>Type I – Tropical Monsoon (PAGASA)</t>
        </is>
      </c>
      <c r="O516" s="6" t="inlineStr">
        <is>
          <t>Wet</t>
        </is>
      </c>
      <c r="P516" s="6" t="inlineStr">
        <is>
          <t>Silty Clay Loam</t>
        </is>
      </c>
      <c r="Q516" s="6" t="inlineStr">
        <is>
          <t>Flat / Lowland</t>
        </is>
      </c>
      <c r="R516" s="9" t="n">
        <v>30</v>
      </c>
      <c r="S516" s="6" t="inlineStr">
        <is>
          <t>Tagamusing River</t>
        </is>
      </c>
      <c r="T516" s="10" t="n">
        <v>210.84</v>
      </c>
      <c r="U516" s="10" t="n"/>
      <c r="V516" s="10" t="n"/>
      <c r="W516" s="10" t="n"/>
      <c r="X516" s="10" t="n">
        <v>2.8</v>
      </c>
      <c r="Y516" s="10" t="n">
        <v>8</v>
      </c>
      <c r="Z516" s="11" t="n">
        <v>2.86</v>
      </c>
      <c r="AA516" s="12" t="inlineStr">
        <is>
          <t>Transplanting (Pindot) — optimal for clay-loam paddy fields</t>
        </is>
      </c>
      <c r="AB516" s="12" t="inlineStr">
        <is>
          <t>Wet Tillage (Puddling): 2 plowings + thorough harrowing under flooded condition</t>
        </is>
      </c>
      <c r="AC516" s="12" t="inlineStr">
        <is>
          <t>Continuous flooding 2–5 cm depth during vegetative stage; drain 2 weeks before harvest</t>
        </is>
      </c>
    </row>
    <row r="517" ht="21.75" customHeight="1" s="101">
      <c r="A517" s="13" t="inlineStr">
        <is>
          <t>Palay</t>
        </is>
      </c>
      <c r="B517" s="13" t="inlineStr">
        <is>
          <t>Dumayat</t>
        </is>
      </c>
      <c r="C517" s="13" t="inlineStr">
        <is>
          <t>October</t>
        </is>
      </c>
      <c r="D517" s="13" t="inlineStr">
        <is>
          <t>2020</t>
        </is>
      </c>
      <c r="E517" s="13" t="inlineStr">
        <is>
          <t>WS 2020</t>
        </is>
      </c>
      <c r="F517" s="13" t="inlineStr">
        <is>
          <t>Harvest</t>
        </is>
      </c>
      <c r="G517" s="7" t="n">
        <v>17.03</v>
      </c>
      <c r="H517" s="8" t="n">
        <v>26.32</v>
      </c>
      <c r="I517" s="8" t="n">
        <v>22.31</v>
      </c>
      <c r="J517" s="8" t="n">
        <v>31.82</v>
      </c>
      <c r="K517" s="8" t="n">
        <v>87.7</v>
      </c>
      <c r="L517" s="8" t="n">
        <v>98.08</v>
      </c>
      <c r="M517" s="8" t="n">
        <v>15.24</v>
      </c>
      <c r="N517" s="13" t="inlineStr">
        <is>
          <t>Type I – Tropical Monsoon (PAGASA)</t>
        </is>
      </c>
      <c r="O517" s="13" t="inlineStr">
        <is>
          <t>Wet</t>
        </is>
      </c>
      <c r="P517" s="13" t="inlineStr">
        <is>
          <t>Silty Clay Loam</t>
        </is>
      </c>
      <c r="Q517" s="13" t="inlineStr">
        <is>
          <t>Flat / Lowland</t>
        </is>
      </c>
      <c r="R517" s="14" t="n">
        <v>30</v>
      </c>
      <c r="S517" s="13" t="inlineStr">
        <is>
          <t>—</t>
        </is>
      </c>
      <c r="T517" s="15" t="n">
        <v>266.28</v>
      </c>
      <c r="U517" s="15" t="n"/>
      <c r="V517" s="15" t="n"/>
      <c r="W517" s="15" t="n"/>
      <c r="X517" s="15" t="n">
        <v>3.15</v>
      </c>
      <c r="Y517" s="15" t="n">
        <v>9.77</v>
      </c>
      <c r="Z517" s="16" t="n">
        <v>3.1</v>
      </c>
      <c r="AA517" s="17" t="inlineStr">
        <is>
          <t>Transplanting (Pindot) — optimal for clay-loam paddy fields</t>
        </is>
      </c>
      <c r="AB517" s="17" t="inlineStr">
        <is>
          <t>Wet Tillage (Puddling): 2 plowings + thorough harrowing under flooded condition</t>
        </is>
      </c>
      <c r="AC517" s="17" t="inlineStr">
        <is>
          <t>Continuous flooding 2–5 cm depth during vegetative stage; drain 2 weeks before harvest</t>
        </is>
      </c>
    </row>
    <row r="518" ht="21.75" customHeight="1" s="101">
      <c r="A518" s="6" t="inlineStr">
        <is>
          <t>Palay</t>
        </is>
      </c>
      <c r="B518" s="6" t="inlineStr">
        <is>
          <t>Camanggaan</t>
        </is>
      </c>
      <c r="C518" s="6" t="inlineStr">
        <is>
          <t>October</t>
        </is>
      </c>
      <c r="D518" s="6" t="inlineStr">
        <is>
          <t>2020</t>
        </is>
      </c>
      <c r="E518" s="6" t="inlineStr">
        <is>
          <t>WS 2020</t>
        </is>
      </c>
      <c r="F518" s="6" t="inlineStr">
        <is>
          <t>Harvest</t>
        </is>
      </c>
      <c r="G518" s="7" t="n">
        <v>17.03</v>
      </c>
      <c r="H518" s="8" t="n">
        <v>26.32</v>
      </c>
      <c r="I518" s="8" t="n">
        <v>22.31</v>
      </c>
      <c r="J518" s="8" t="n">
        <v>31.82</v>
      </c>
      <c r="K518" s="8" t="n">
        <v>87.7</v>
      </c>
      <c r="L518" s="8" t="n">
        <v>98.08</v>
      </c>
      <c r="M518" s="8" t="n">
        <v>15.24</v>
      </c>
      <c r="N518" s="6" t="inlineStr">
        <is>
          <t>Type I – Tropical Monsoon (PAGASA)</t>
        </is>
      </c>
      <c r="O518" s="6" t="inlineStr">
        <is>
          <t>Wet</t>
        </is>
      </c>
      <c r="P518" s="6" t="inlineStr">
        <is>
          <t>Sandy Loam</t>
        </is>
      </c>
      <c r="Q518" s="6" t="inlineStr">
        <is>
          <t>Flat / Lowland</t>
        </is>
      </c>
      <c r="R518" s="9" t="n">
        <v>30</v>
      </c>
      <c r="S518" s="6" t="inlineStr">
        <is>
          <t>—</t>
        </is>
      </c>
      <c r="T518" s="10" t="n">
        <v>244.44</v>
      </c>
      <c r="U518" s="10" t="n"/>
      <c r="V518" s="10" t="n"/>
      <c r="W518" s="10" t="n"/>
      <c r="X518" s="10" t="n">
        <v>4.23</v>
      </c>
      <c r="Y518" s="10" t="n">
        <v>14.4</v>
      </c>
      <c r="Z518" s="11" t="n">
        <v>3.4</v>
      </c>
      <c r="AA518" s="12" t="inlineStr">
        <is>
          <t>Transplanting (Pindot) or Direct Seeding (Pinaghandaan)</t>
        </is>
      </c>
      <c r="AB518" s="12" t="inlineStr">
        <is>
          <t>Conventional Tillage: 2 plowings + 2 harrowings; soil workable when moist</t>
        </is>
      </c>
      <c r="AC518" s="12" t="inlineStr">
        <is>
          <t>Intermittent irrigation (Alternate Wetting and Drying — AWD); moderate retention</t>
        </is>
      </c>
    </row>
    <row r="519" ht="21.75" customHeight="1" s="101">
      <c r="A519" s="13" t="inlineStr">
        <is>
          <t>Palay</t>
        </is>
      </c>
      <c r="B519" s="13" t="inlineStr">
        <is>
          <t>Vacante</t>
        </is>
      </c>
      <c r="C519" s="13" t="inlineStr">
        <is>
          <t>October</t>
        </is>
      </c>
      <c r="D519" s="13" t="inlineStr">
        <is>
          <t>2020</t>
        </is>
      </c>
      <c r="E519" s="13" t="inlineStr">
        <is>
          <t>WS 2020</t>
        </is>
      </c>
      <c r="F519" s="13" t="inlineStr">
        <is>
          <t>Harvest</t>
        </is>
      </c>
      <c r="G519" s="7" t="n">
        <v>17.03</v>
      </c>
      <c r="H519" s="8" t="n">
        <v>26.32</v>
      </c>
      <c r="I519" s="8" t="n">
        <v>22.31</v>
      </c>
      <c r="J519" s="8" t="n">
        <v>31.82</v>
      </c>
      <c r="K519" s="8" t="n">
        <v>87.7</v>
      </c>
      <c r="L519" s="8" t="n">
        <v>98.08</v>
      </c>
      <c r="M519" s="8" t="n">
        <v>15.24</v>
      </c>
      <c r="N519" s="13" t="inlineStr">
        <is>
          <t>Type I – Tropical Monsoon (PAGASA)</t>
        </is>
      </c>
      <c r="O519" s="13" t="inlineStr">
        <is>
          <t>Wet</t>
        </is>
      </c>
      <c r="P519" s="13" t="inlineStr">
        <is>
          <t>Silty Clay Loam</t>
        </is>
      </c>
      <c r="Q519" s="13" t="inlineStr">
        <is>
          <t>Flat / Lowland</t>
        </is>
      </c>
      <c r="R519" s="14" t="n">
        <v>30</v>
      </c>
      <c r="S519" s="13" t="inlineStr">
        <is>
          <t>Aloragat River</t>
        </is>
      </c>
      <c r="T519" s="15" t="n">
        <v>484.68</v>
      </c>
      <c r="U519" s="15" t="n"/>
      <c r="V519" s="15" t="n"/>
      <c r="W519" s="15" t="n"/>
      <c r="X519" s="15" t="n">
        <v>2.5</v>
      </c>
      <c r="Y519" s="15" t="n">
        <v>9.23</v>
      </c>
      <c r="Z519" s="16" t="n">
        <v>3.69</v>
      </c>
      <c r="AA519" s="17" t="inlineStr">
        <is>
          <t>Transplanting (Pindot) — optimal for clay-loam paddy fields</t>
        </is>
      </c>
      <c r="AB519" s="17" t="inlineStr">
        <is>
          <t>Wet Tillage (Puddling): 2 plowings + thorough harrowing under flooded condition</t>
        </is>
      </c>
      <c r="AC519" s="17" t="inlineStr">
        <is>
          <t>Continuous flooding 2–5 cm depth during vegetative stage; drain 2 weeks before harvest</t>
        </is>
      </c>
    </row>
    <row r="520" ht="21.75" customHeight="1" s="101">
      <c r="A520" s="6" t="inlineStr">
        <is>
          <t>Palay</t>
        </is>
      </c>
      <c r="B520" s="6" t="inlineStr">
        <is>
          <t>Sta. Catalina</t>
        </is>
      </c>
      <c r="C520" s="6" t="inlineStr">
        <is>
          <t>October</t>
        </is>
      </c>
      <c r="D520" s="6" t="inlineStr">
        <is>
          <t>2020</t>
        </is>
      </c>
      <c r="E520" s="6" t="inlineStr">
        <is>
          <t>WS 2020</t>
        </is>
      </c>
      <c r="F520" s="6" t="inlineStr">
        <is>
          <t>Harvest</t>
        </is>
      </c>
      <c r="G520" s="7" t="n">
        <v>17.03</v>
      </c>
      <c r="H520" s="8" t="n">
        <v>26.32</v>
      </c>
      <c r="I520" s="8" t="n">
        <v>22.31</v>
      </c>
      <c r="J520" s="8" t="n">
        <v>31.82</v>
      </c>
      <c r="K520" s="8" t="n">
        <v>87.7</v>
      </c>
      <c r="L520" s="8" t="n">
        <v>98.08</v>
      </c>
      <c r="M520" s="8" t="n">
        <v>15.24</v>
      </c>
      <c r="N520" s="6" t="inlineStr">
        <is>
          <t>Type I – Tropical Monsoon (PAGASA)</t>
        </is>
      </c>
      <c r="O520" s="6" t="inlineStr">
        <is>
          <t>Wet</t>
        </is>
      </c>
      <c r="P520" s="6" t="inlineStr">
        <is>
          <t>Fine Sand / Sandy Loam</t>
        </is>
      </c>
      <c r="Q520" s="6" t="inlineStr">
        <is>
          <t>Moderately Sloping / Highland</t>
        </is>
      </c>
      <c r="R520" s="9" t="n">
        <v>90</v>
      </c>
      <c r="S520" s="6" t="inlineStr">
        <is>
          <t>—</t>
        </is>
      </c>
      <c r="T520" s="10" t="n">
        <v>709.8</v>
      </c>
      <c r="U520" s="10" t="n"/>
      <c r="V520" s="10" t="n"/>
      <c r="W520" s="10" t="n"/>
      <c r="X520" s="10" t="n">
        <v>2.8</v>
      </c>
      <c r="Y520" s="10" t="n">
        <v>8.4</v>
      </c>
      <c r="Z520" s="11" t="n">
        <v>3</v>
      </c>
      <c r="AA520" s="12" t="inlineStr">
        <is>
          <t>Transplanting (Pindot)</t>
        </is>
      </c>
      <c r="AB520" s="12" t="inlineStr">
        <is>
          <t>Minimum Tillage (avoid compaction; sandy structure fragile)</t>
        </is>
      </c>
      <c r="AC520" s="12" t="inlineStr">
        <is>
          <t>Continuous flooding or frequent irrigation; high percolation risk; terrace or bund-assisted water retention essential on slopes</t>
        </is>
      </c>
    </row>
    <row r="521" ht="21.75" customHeight="1" s="101">
      <c r="A521" s="13" t="inlineStr">
        <is>
          <t>Palay</t>
        </is>
      </c>
      <c r="B521" s="13" t="inlineStr">
        <is>
          <t>Moreno</t>
        </is>
      </c>
      <c r="C521" s="13" t="inlineStr">
        <is>
          <t>October</t>
        </is>
      </c>
      <c r="D521" s="13" t="inlineStr">
        <is>
          <t>2020</t>
        </is>
      </c>
      <c r="E521" s="13" t="inlineStr">
        <is>
          <t>WS 2020</t>
        </is>
      </c>
      <c r="F521" s="13" t="inlineStr">
        <is>
          <t>Harvest</t>
        </is>
      </c>
      <c r="G521" s="7" t="n">
        <v>17.03</v>
      </c>
      <c r="H521" s="8" t="n">
        <v>26.32</v>
      </c>
      <c r="I521" s="8" t="n">
        <v>22.31</v>
      </c>
      <c r="J521" s="8" t="n">
        <v>31.82</v>
      </c>
      <c r="K521" s="8" t="n">
        <v>87.7</v>
      </c>
      <c r="L521" s="8" t="n">
        <v>98.08</v>
      </c>
      <c r="M521" s="8" t="n">
        <v>15.24</v>
      </c>
      <c r="N521" s="13" t="inlineStr">
        <is>
          <t>Type I – Tropical Monsoon (PAGASA)</t>
        </is>
      </c>
      <c r="O521" s="13" t="inlineStr">
        <is>
          <t>Wet</t>
        </is>
      </c>
      <c r="P521" s="13" t="inlineStr">
        <is>
          <t>Sandy Loam</t>
        </is>
      </c>
      <c r="Q521" s="13" t="inlineStr">
        <is>
          <t>Moderately Sloping / Highland</t>
        </is>
      </c>
      <c r="R521" s="14" t="n">
        <v>90</v>
      </c>
      <c r="S521" s="13" t="inlineStr">
        <is>
          <t>Alibeng River</t>
        </is>
      </c>
      <c r="T521" s="15" t="n">
        <v>641.76</v>
      </c>
      <c r="U521" s="15" t="n"/>
      <c r="V521" s="15" t="n"/>
      <c r="W521" s="15" t="n"/>
      <c r="X521" s="15" t="n">
        <v>34.35</v>
      </c>
      <c r="Y521" s="15" t="n">
        <v>123.96</v>
      </c>
      <c r="Z521" s="16" t="n">
        <v>3.61</v>
      </c>
      <c r="AA521" s="17" t="inlineStr">
        <is>
          <t>Transplanting (Pindot) or Direct Seeding (Pinaghandaan)</t>
        </is>
      </c>
      <c r="AB521" s="17" t="inlineStr">
        <is>
          <t>Conventional Tillage: 2 plowings + 2 harrowings; soil workable when moist</t>
        </is>
      </c>
      <c r="AC521" s="17" t="inlineStr">
        <is>
          <t>Intermittent irrigation (Alternate Wetting and Drying — AWD); moderate retention; terrace or bund-assisted water retention essential on slopes</t>
        </is>
      </c>
    </row>
    <row r="522" ht="21.75" customHeight="1" s="101">
      <c r="A522" s="6" t="inlineStr">
        <is>
          <t>Palay</t>
        </is>
      </c>
      <c r="B522" s="6" t="inlineStr">
        <is>
          <t>Cili</t>
        </is>
      </c>
      <c r="C522" s="6" t="inlineStr">
        <is>
          <t>October</t>
        </is>
      </c>
      <c r="D522" s="6" t="inlineStr">
        <is>
          <t>2020</t>
        </is>
      </c>
      <c r="E522" s="6" t="inlineStr">
        <is>
          <t>WS 2020</t>
        </is>
      </c>
      <c r="F522" s="6" t="inlineStr">
        <is>
          <t>Harvest</t>
        </is>
      </c>
      <c r="G522" s="7" t="n">
        <v>17.03</v>
      </c>
      <c r="H522" s="8" t="n">
        <v>26.32</v>
      </c>
      <c r="I522" s="8" t="n">
        <v>22.31</v>
      </c>
      <c r="J522" s="8" t="n">
        <v>31.82</v>
      </c>
      <c r="K522" s="8" t="n">
        <v>87.7</v>
      </c>
      <c r="L522" s="8" t="n">
        <v>98.08</v>
      </c>
      <c r="M522" s="8" t="n">
        <v>15.24</v>
      </c>
      <c r="N522" s="6" t="inlineStr">
        <is>
          <t>Type I – Tropical Monsoon (PAGASA)</t>
        </is>
      </c>
      <c r="O522" s="6" t="inlineStr">
        <is>
          <t>Wet</t>
        </is>
      </c>
      <c r="P522" s="6" t="inlineStr">
        <is>
          <t>Silty Clay Loam</t>
        </is>
      </c>
      <c r="Q522" s="6" t="inlineStr">
        <is>
          <t>Flat / Lowland</t>
        </is>
      </c>
      <c r="R522" s="9" t="n">
        <v>30</v>
      </c>
      <c r="S522" s="6" t="inlineStr">
        <is>
          <t>Alibeng River</t>
        </is>
      </c>
      <c r="T522" s="10" t="n">
        <v>264.6</v>
      </c>
      <c r="U522" s="10" t="n"/>
      <c r="V522" s="10" t="n"/>
      <c r="W522" s="10" t="n"/>
      <c r="X522" s="10" t="n">
        <v>38.6</v>
      </c>
      <c r="Y522" s="10" t="n">
        <v>12.07</v>
      </c>
      <c r="Z522" s="11" t="n">
        <v>0.31</v>
      </c>
      <c r="AA522" s="12" t="inlineStr">
        <is>
          <t>Transplanting (Pindot) — optimal for clay-loam paddy fields</t>
        </is>
      </c>
      <c r="AB522" s="12" t="inlineStr">
        <is>
          <t>Wet Tillage (Puddling): 2 plowings + thorough harrowing under flooded condition</t>
        </is>
      </c>
      <c r="AC522" s="12" t="inlineStr">
        <is>
          <t>Continuous flooding 2–5 cm depth during vegetative stage; drain 2 weeks before harvest</t>
        </is>
      </c>
    </row>
    <row r="523" ht="21.75" customHeight="1" s="101">
      <c r="A523" s="13" t="inlineStr">
        <is>
          <t>Palay</t>
        </is>
      </c>
      <c r="B523" s="13" t="inlineStr">
        <is>
          <t>Linmansangan</t>
        </is>
      </c>
      <c r="C523" s="13" t="inlineStr">
        <is>
          <t>October</t>
        </is>
      </c>
      <c r="D523" s="13" t="inlineStr">
        <is>
          <t>2020</t>
        </is>
      </c>
      <c r="E523" s="13" t="inlineStr">
        <is>
          <t>WS 2020</t>
        </is>
      </c>
      <c r="F523" s="13" t="inlineStr">
        <is>
          <t>Harvest</t>
        </is>
      </c>
      <c r="G523" s="7" t="n">
        <v>17.03</v>
      </c>
      <c r="H523" s="8" t="n">
        <v>26.32</v>
      </c>
      <c r="I523" s="8" t="n">
        <v>22.31</v>
      </c>
      <c r="J523" s="8" t="n">
        <v>31.82</v>
      </c>
      <c r="K523" s="8" t="n">
        <v>87.7</v>
      </c>
      <c r="L523" s="8" t="n">
        <v>98.08</v>
      </c>
      <c r="M523" s="8" t="n">
        <v>15.24</v>
      </c>
      <c r="N523" s="13" t="inlineStr">
        <is>
          <t>Type I – Tropical Monsoon (PAGASA)</t>
        </is>
      </c>
      <c r="O523" s="13" t="inlineStr">
        <is>
          <t>Wet</t>
        </is>
      </c>
      <c r="P523" s="13" t="inlineStr">
        <is>
          <t>Silty Clay Loam</t>
        </is>
      </c>
      <c r="Q523" s="13" t="inlineStr">
        <is>
          <t>Flat / Lowland</t>
        </is>
      </c>
      <c r="R523" s="14" t="n">
        <v>30</v>
      </c>
      <c r="S523" s="13" t="inlineStr">
        <is>
          <t>—</t>
        </is>
      </c>
      <c r="T523" s="15" t="n">
        <v>492.24</v>
      </c>
      <c r="U523" s="15" t="n"/>
      <c r="V523" s="15" t="n"/>
      <c r="W523" s="15" t="n"/>
      <c r="X523" s="15" t="n">
        <v>85.18000000000001</v>
      </c>
      <c r="Y523" s="15" t="n">
        <v>171.55</v>
      </c>
      <c r="Z523" s="16" t="n">
        <v>2.01</v>
      </c>
      <c r="AA523" s="17" t="inlineStr">
        <is>
          <t>Transplanting (Pindot) — optimal for clay-loam paddy fields</t>
        </is>
      </c>
      <c r="AB523" s="17" t="inlineStr">
        <is>
          <t>Wet Tillage (Puddling): 2 plowings + thorough harrowing under flooded condition</t>
        </is>
      </c>
      <c r="AC523" s="17" t="inlineStr">
        <is>
          <t>Continuous flooding 2–5 cm depth during vegetative stage; drain 2 weeks before harvest</t>
        </is>
      </c>
    </row>
    <row r="524" ht="21.75" customHeight="1" s="101">
      <c r="A524" s="6" t="inlineStr">
        <is>
          <t>Palay</t>
        </is>
      </c>
      <c r="B524" s="6" t="inlineStr">
        <is>
          <t>Sumabnit</t>
        </is>
      </c>
      <c r="C524" s="6" t="inlineStr">
        <is>
          <t>October</t>
        </is>
      </c>
      <c r="D524" s="6" t="inlineStr">
        <is>
          <t>2020</t>
        </is>
      </c>
      <c r="E524" s="6" t="inlineStr">
        <is>
          <t>WS 2020</t>
        </is>
      </c>
      <c r="F524" s="6" t="inlineStr">
        <is>
          <t>Harvest</t>
        </is>
      </c>
      <c r="G524" s="7" t="n">
        <v>17.03</v>
      </c>
      <c r="H524" s="8" t="n">
        <v>26.32</v>
      </c>
      <c r="I524" s="8" t="n">
        <v>22.31</v>
      </c>
      <c r="J524" s="8" t="n">
        <v>31.82</v>
      </c>
      <c r="K524" s="8" t="n">
        <v>87.7</v>
      </c>
      <c r="L524" s="8" t="n">
        <v>98.08</v>
      </c>
      <c r="M524" s="8" t="n">
        <v>15.24</v>
      </c>
      <c r="N524" s="6" t="inlineStr">
        <is>
          <t>Type I – Tropical Monsoon (PAGASA)</t>
        </is>
      </c>
      <c r="O524" s="6" t="inlineStr">
        <is>
          <t>Wet</t>
        </is>
      </c>
      <c r="P524" s="6" t="inlineStr">
        <is>
          <t>Silty Clay Loam / Fine Sandy Loam</t>
        </is>
      </c>
      <c r="Q524" s="6" t="inlineStr">
        <is>
          <t>Flat / Lowland</t>
        </is>
      </c>
      <c r="R524" s="9" t="n">
        <v>30</v>
      </c>
      <c r="S524" s="6" t="inlineStr">
        <is>
          <t>Tagamusing River</t>
        </is>
      </c>
      <c r="T524" s="10" t="n">
        <v>406.56</v>
      </c>
      <c r="U524" s="10" t="n"/>
      <c r="V524" s="10" t="n"/>
      <c r="W524" s="10" t="n"/>
      <c r="X524" s="10" t="n">
        <v>3.5</v>
      </c>
      <c r="Y524" s="10" t="n">
        <v>18.03</v>
      </c>
      <c r="Z524" s="11" t="n">
        <v>5.15</v>
      </c>
      <c r="AA524" s="12" t="inlineStr">
        <is>
          <t>Transplanting (Pindot)</t>
        </is>
      </c>
      <c r="AB524" s="12" t="inlineStr">
        <is>
          <t>Minimum Tillage (avoid compaction; sandy structure fragile)</t>
        </is>
      </c>
      <c r="AC524" s="12" t="inlineStr">
        <is>
          <t>Continuous flooding or frequent irrigation; high percolation risk</t>
        </is>
      </c>
    </row>
    <row r="525" ht="21.75" customHeight="1" s="101">
      <c r="A525" s="13" t="inlineStr">
        <is>
          <t>Palay</t>
        </is>
      </c>
      <c r="B525" s="13" t="inlineStr">
        <is>
          <t>Capas</t>
        </is>
      </c>
      <c r="C525" s="13" t="inlineStr">
        <is>
          <t>October</t>
        </is>
      </c>
      <c r="D525" s="13" t="inlineStr">
        <is>
          <t>2020</t>
        </is>
      </c>
      <c r="E525" s="13" t="inlineStr">
        <is>
          <t>WS 2020</t>
        </is>
      </c>
      <c r="F525" s="13" t="inlineStr">
        <is>
          <t>Harvest</t>
        </is>
      </c>
      <c r="G525" s="7" t="n">
        <v>17.03</v>
      </c>
      <c r="H525" s="8" t="n">
        <v>26.32</v>
      </c>
      <c r="I525" s="8" t="n">
        <v>22.31</v>
      </c>
      <c r="J525" s="8" t="n">
        <v>31.82</v>
      </c>
      <c r="K525" s="8" t="n">
        <v>87.7</v>
      </c>
      <c r="L525" s="8" t="n">
        <v>98.08</v>
      </c>
      <c r="M525" s="8" t="n">
        <v>15.24</v>
      </c>
      <c r="N525" s="13" t="inlineStr">
        <is>
          <t>Type I – Tropical Monsoon (PAGASA)</t>
        </is>
      </c>
      <c r="O525" s="13" t="inlineStr">
        <is>
          <t>Wet</t>
        </is>
      </c>
      <c r="P525" s="13" t="inlineStr">
        <is>
          <t>Sandy Loam</t>
        </is>
      </c>
      <c r="Q525" s="13" t="inlineStr">
        <is>
          <t>Flat / Lowland</t>
        </is>
      </c>
      <c r="R525" s="14" t="n">
        <v>30</v>
      </c>
      <c r="S525" s="13" t="inlineStr">
        <is>
          <t>—</t>
        </is>
      </c>
      <c r="T525" s="15" t="n">
        <v>377.16</v>
      </c>
      <c r="U525" s="15" t="n"/>
      <c r="V525" s="15" t="n"/>
      <c r="W525" s="15" t="n"/>
      <c r="X525" s="15" t="n">
        <v>7.5</v>
      </c>
      <c r="Y525" s="15" t="n">
        <v>37.58</v>
      </c>
      <c r="Z525" s="16" t="n">
        <v>5.01</v>
      </c>
      <c r="AA525" s="17" t="inlineStr">
        <is>
          <t>Transplanting (Pindot) or Direct Seeding (Pinaghandaan)</t>
        </is>
      </c>
      <c r="AB525" s="17" t="inlineStr">
        <is>
          <t>Conventional Tillage: 2 plowings + 2 harrowings; soil workable when moist</t>
        </is>
      </c>
      <c r="AC525" s="17" t="inlineStr">
        <is>
          <t>Intermittent irrigation (Alternate Wetting and Drying — AWD); moderate retention</t>
        </is>
      </c>
    </row>
    <row r="526" ht="21.75" customHeight="1" s="101">
      <c r="A526" s="6" t="inlineStr">
        <is>
          <t>Palay</t>
        </is>
      </c>
      <c r="B526" s="6" t="inlineStr">
        <is>
          <t>Mangkasuy</t>
        </is>
      </c>
      <c r="C526" s="6" t="inlineStr">
        <is>
          <t>October</t>
        </is>
      </c>
      <c r="D526" s="6" t="inlineStr">
        <is>
          <t>2020</t>
        </is>
      </c>
      <c r="E526" s="6" t="inlineStr">
        <is>
          <t>WS 2020</t>
        </is>
      </c>
      <c r="F526" s="6" t="inlineStr">
        <is>
          <t>Harvest</t>
        </is>
      </c>
      <c r="G526" s="7" t="n">
        <v>17.03</v>
      </c>
      <c r="H526" s="8" t="n">
        <v>26.32</v>
      </c>
      <c r="I526" s="8" t="n">
        <v>22.31</v>
      </c>
      <c r="J526" s="8" t="n">
        <v>31.82</v>
      </c>
      <c r="K526" s="8" t="n">
        <v>87.7</v>
      </c>
      <c r="L526" s="8" t="n">
        <v>98.08</v>
      </c>
      <c r="M526" s="8" t="n">
        <v>15.24</v>
      </c>
      <c r="N526" s="6" t="inlineStr">
        <is>
          <t>Type I – Tropical Monsoon (PAGASA)</t>
        </is>
      </c>
      <c r="O526" s="6" t="inlineStr">
        <is>
          <t>Wet</t>
        </is>
      </c>
      <c r="P526" s="6" t="inlineStr">
        <is>
          <t>Sandy Loam</t>
        </is>
      </c>
      <c r="Q526" s="6" t="inlineStr">
        <is>
          <t>Flat / Lowland</t>
        </is>
      </c>
      <c r="R526" s="9" t="n">
        <v>30</v>
      </c>
      <c r="S526" s="6" t="inlineStr">
        <is>
          <t>Tagamusing River</t>
        </is>
      </c>
      <c r="T526" s="10" t="n">
        <v>802.2</v>
      </c>
      <c r="U526" s="10" t="n"/>
      <c r="V526" s="10" t="n"/>
      <c r="W526" s="10" t="n"/>
      <c r="X526" s="10" t="n">
        <v>6</v>
      </c>
      <c r="Y526" s="10" t="n">
        <v>30</v>
      </c>
      <c r="Z526" s="11" t="n">
        <v>5</v>
      </c>
      <c r="AA526" s="12" t="inlineStr">
        <is>
          <t>Transplanting (Pindot) or Direct Seeding (Pinaghandaan)</t>
        </is>
      </c>
      <c r="AB526" s="12" t="inlineStr">
        <is>
          <t>Conventional Tillage: 2 plowings + 2 harrowings; soil workable when moist</t>
        </is>
      </c>
      <c r="AC526" s="12" t="inlineStr">
        <is>
          <t>Intermittent irrigation (Alternate Wetting and Drying — AWD); moderate retention</t>
        </is>
      </c>
    </row>
    <row r="527" ht="21.75" customHeight="1" s="101">
      <c r="A527" s="13" t="inlineStr">
        <is>
          <t>Palay</t>
        </is>
      </c>
      <c r="B527" s="13" t="inlineStr">
        <is>
          <t>San Pablo</t>
        </is>
      </c>
      <c r="C527" s="13" t="inlineStr">
        <is>
          <t>October</t>
        </is>
      </c>
      <c r="D527" s="13" t="inlineStr">
        <is>
          <t>2020</t>
        </is>
      </c>
      <c r="E527" s="13" t="inlineStr">
        <is>
          <t>WS 2020</t>
        </is>
      </c>
      <c r="F527" s="13" t="inlineStr">
        <is>
          <t>Harvest</t>
        </is>
      </c>
      <c r="G527" s="7" t="n">
        <v>17.03</v>
      </c>
      <c r="H527" s="8" t="n">
        <v>26.32</v>
      </c>
      <c r="I527" s="8" t="n">
        <v>22.31</v>
      </c>
      <c r="J527" s="8" t="n">
        <v>31.82</v>
      </c>
      <c r="K527" s="8" t="n">
        <v>87.7</v>
      </c>
      <c r="L527" s="8" t="n">
        <v>98.08</v>
      </c>
      <c r="M527" s="8" t="n">
        <v>15.24</v>
      </c>
      <c r="N527" s="13" t="inlineStr">
        <is>
          <t>Type I – Tropical Monsoon (PAGASA)</t>
        </is>
      </c>
      <c r="O527" s="13" t="inlineStr">
        <is>
          <t>Wet</t>
        </is>
      </c>
      <c r="P527" s="13" t="inlineStr">
        <is>
          <t>Sandy Loam</t>
        </is>
      </c>
      <c r="Q527" s="13" t="inlineStr">
        <is>
          <t>Flat / Lowland</t>
        </is>
      </c>
      <c r="R527" s="14" t="n">
        <v>30</v>
      </c>
      <c r="S527" s="13" t="inlineStr">
        <is>
          <t>San Pablo Creek</t>
        </is>
      </c>
      <c r="T527" s="15" t="n">
        <v>215.04</v>
      </c>
      <c r="U527" s="15" t="n"/>
      <c r="V527" s="15" t="n"/>
      <c r="W527" s="15" t="n"/>
      <c r="X527" s="15" t="n">
        <v>2.7</v>
      </c>
      <c r="Y527" s="15" t="n">
        <v>15.53</v>
      </c>
      <c r="Z527" s="16" t="n">
        <v>5.75</v>
      </c>
      <c r="AA527" s="17" t="inlineStr">
        <is>
          <t>Transplanting (Pindot) or Direct Seeding (Pinaghandaan)</t>
        </is>
      </c>
      <c r="AB527" s="17" t="inlineStr">
        <is>
          <t>Conventional Tillage: 2 plowings + 2 harrowings; soil workable when moist</t>
        </is>
      </c>
      <c r="AC527" s="17" t="inlineStr">
        <is>
          <t>Intermittent irrigation (Alternate Wetting and Drying — AWD); moderate retention</t>
        </is>
      </c>
    </row>
    <row r="528" ht="21.75" customHeight="1" s="101">
      <c r="A528" s="6" t="inlineStr">
        <is>
          <t>Palay</t>
        </is>
      </c>
      <c r="B528" s="6" t="inlineStr">
        <is>
          <t>Balangobong</t>
        </is>
      </c>
      <c r="C528" s="6" t="inlineStr">
        <is>
          <t>October</t>
        </is>
      </c>
      <c r="D528" s="6" t="inlineStr">
        <is>
          <t>2020</t>
        </is>
      </c>
      <c r="E528" s="6" t="inlineStr">
        <is>
          <t>WS 2020</t>
        </is>
      </c>
      <c r="F528" s="6" t="inlineStr">
        <is>
          <t>Harvest</t>
        </is>
      </c>
      <c r="G528" s="7" t="n">
        <v>17.03</v>
      </c>
      <c r="H528" s="8" t="n">
        <v>26.32</v>
      </c>
      <c r="I528" s="8" t="n">
        <v>22.31</v>
      </c>
      <c r="J528" s="8" t="n">
        <v>31.82</v>
      </c>
      <c r="K528" s="8" t="n">
        <v>87.7</v>
      </c>
      <c r="L528" s="8" t="n">
        <v>98.08</v>
      </c>
      <c r="M528" s="8" t="n">
        <v>15.24</v>
      </c>
      <c r="N528" s="6" t="inlineStr">
        <is>
          <t>Type I – Tropical Monsoon (PAGASA)</t>
        </is>
      </c>
      <c r="O528" s="6" t="inlineStr">
        <is>
          <t>Wet</t>
        </is>
      </c>
      <c r="P528" s="6" t="inlineStr">
        <is>
          <t>Silty Clay Loam</t>
        </is>
      </c>
      <c r="Q528" s="6" t="inlineStr">
        <is>
          <t>Flat / Lowland</t>
        </is>
      </c>
      <c r="R528" s="9" t="n">
        <v>30</v>
      </c>
      <c r="S528" s="6" t="inlineStr">
        <is>
          <t>—</t>
        </is>
      </c>
      <c r="T528" s="10" t="n">
        <v>281.4</v>
      </c>
      <c r="U528" s="10" t="n"/>
      <c r="V528" s="10" t="n"/>
      <c r="W528" s="10" t="n"/>
      <c r="X528" s="10" t="n">
        <v>34.8</v>
      </c>
      <c r="Y528" s="10" t="n">
        <v>182.7</v>
      </c>
      <c r="Z528" s="11" t="n">
        <v>5.25</v>
      </c>
      <c r="AA528" s="12" t="inlineStr">
        <is>
          <t>Transplanting (Pindot) — optimal for clay-loam paddy fields</t>
        </is>
      </c>
      <c r="AB528" s="12" t="inlineStr">
        <is>
          <t>Wet Tillage (Puddling): 2 plowings + thorough harrowing under flooded condition</t>
        </is>
      </c>
      <c r="AC528" s="12" t="inlineStr">
        <is>
          <t>Continuous flooding 2–5 cm depth during vegetative stage; drain 2 weeks before harvest</t>
        </is>
      </c>
    </row>
    <row r="529" ht="21.75" customHeight="1" s="101">
      <c r="A529" s="13" t="inlineStr">
        <is>
          <t>Palay</t>
        </is>
      </c>
      <c r="B529" s="13" t="inlineStr">
        <is>
          <t>San Felipe Central</t>
        </is>
      </c>
      <c r="C529" s="13" t="inlineStr">
        <is>
          <t>October</t>
        </is>
      </c>
      <c r="D529" s="13" t="inlineStr">
        <is>
          <t>2020</t>
        </is>
      </c>
      <c r="E529" s="13" t="inlineStr">
        <is>
          <t>WS 2020</t>
        </is>
      </c>
      <c r="F529" s="13" t="inlineStr">
        <is>
          <t>Harvest</t>
        </is>
      </c>
      <c r="G529" s="7" t="n">
        <v>17.03</v>
      </c>
      <c r="H529" s="8" t="n">
        <v>26.32</v>
      </c>
      <c r="I529" s="8" t="n">
        <v>22.31</v>
      </c>
      <c r="J529" s="8" t="n">
        <v>31.82</v>
      </c>
      <c r="K529" s="8" t="n">
        <v>87.7</v>
      </c>
      <c r="L529" s="8" t="n">
        <v>98.08</v>
      </c>
      <c r="M529" s="8" t="n">
        <v>15.24</v>
      </c>
      <c r="N529" s="13" t="inlineStr">
        <is>
          <t>Type I – Tropical Monsoon (PAGASA)</t>
        </is>
      </c>
      <c r="O529" s="13" t="inlineStr">
        <is>
          <t>Wet</t>
        </is>
      </c>
      <c r="P529" s="13" t="inlineStr">
        <is>
          <t>Sandy Loam</t>
        </is>
      </c>
      <c r="Q529" s="13" t="inlineStr">
        <is>
          <t>Flat / Lowland</t>
        </is>
      </c>
      <c r="R529" s="14" t="n">
        <v>30</v>
      </c>
      <c r="S529" s="13" t="inlineStr">
        <is>
          <t>—</t>
        </is>
      </c>
      <c r="T529" s="15" t="n">
        <v>452.76</v>
      </c>
      <c r="U529" s="15" t="n"/>
      <c r="V529" s="15" t="n"/>
      <c r="W529" s="15" t="n"/>
      <c r="X529" s="15" t="n">
        <v>2.8</v>
      </c>
      <c r="Y529" s="15" t="n">
        <v>14</v>
      </c>
      <c r="Z529" s="16" t="n">
        <v>5</v>
      </c>
      <c r="AA529" s="17" t="inlineStr">
        <is>
          <t>Transplanting (Pindot) or Direct Seeding (Pinaghandaan)</t>
        </is>
      </c>
      <c r="AB529" s="17" t="inlineStr">
        <is>
          <t>Conventional Tillage: 2 plowings + 2 harrowings; soil workable when moist</t>
        </is>
      </c>
      <c r="AC529" s="17" t="inlineStr">
        <is>
          <t>Intermittent irrigation (Alternate Wetting and Drying — AWD); moderate retention</t>
        </is>
      </c>
    </row>
    <row r="530" ht="21.75" customHeight="1" s="101">
      <c r="A530" s="6" t="inlineStr">
        <is>
          <t>Palay</t>
        </is>
      </c>
      <c r="B530" s="6" t="inlineStr">
        <is>
          <t>San Felipe Sur</t>
        </is>
      </c>
      <c r="C530" s="6" t="inlineStr">
        <is>
          <t>October</t>
        </is>
      </c>
      <c r="D530" s="6" t="inlineStr">
        <is>
          <t>2020</t>
        </is>
      </c>
      <c r="E530" s="6" t="inlineStr">
        <is>
          <t>WS 2020</t>
        </is>
      </c>
      <c r="F530" s="6" t="inlineStr">
        <is>
          <t>Harvest</t>
        </is>
      </c>
      <c r="G530" s="7" t="n">
        <v>17.03</v>
      </c>
      <c r="H530" s="8" t="n">
        <v>26.32</v>
      </c>
      <c r="I530" s="8" t="n">
        <v>22.31</v>
      </c>
      <c r="J530" s="8" t="n">
        <v>31.82</v>
      </c>
      <c r="K530" s="8" t="n">
        <v>87.7</v>
      </c>
      <c r="L530" s="8" t="n">
        <v>98.08</v>
      </c>
      <c r="M530" s="8" t="n">
        <v>15.24</v>
      </c>
      <c r="N530" s="6" t="inlineStr">
        <is>
          <t>Type I – Tropical Monsoon (PAGASA)</t>
        </is>
      </c>
      <c r="O530" s="6" t="inlineStr">
        <is>
          <t>Wet</t>
        </is>
      </c>
      <c r="P530" s="6" t="inlineStr">
        <is>
          <t>Sandy Loam</t>
        </is>
      </c>
      <c r="Q530" s="6" t="inlineStr">
        <is>
          <t>Flat / Lowland</t>
        </is>
      </c>
      <c r="R530" s="9" t="n">
        <v>30</v>
      </c>
      <c r="S530" s="6" t="inlineStr">
        <is>
          <t>Tagamusing River</t>
        </is>
      </c>
      <c r="T530" s="10" t="n">
        <v>504</v>
      </c>
      <c r="U530" s="10" t="n"/>
      <c r="V530" s="10" t="n"/>
      <c r="W530" s="10" t="n"/>
      <c r="X530" s="10" t="n">
        <v>6.4</v>
      </c>
      <c r="Y530" s="10" t="n">
        <v>31.04</v>
      </c>
      <c r="Z530" s="11" t="n">
        <v>4.85</v>
      </c>
      <c r="AA530" s="12" t="inlineStr">
        <is>
          <t>Transplanting (Pindot) or Direct Seeding (Pinaghandaan)</t>
        </is>
      </c>
      <c r="AB530" s="12" t="inlineStr">
        <is>
          <t>Conventional Tillage: 2 plowings + 2 harrowings; soil workable when moist</t>
        </is>
      </c>
      <c r="AC530" s="12" t="inlineStr">
        <is>
          <t>Intermittent irrigation (Alternate Wetting and Drying — AWD); moderate retention</t>
        </is>
      </c>
    </row>
    <row r="531" ht="21.75" customHeight="1" s="101">
      <c r="A531" s="13" t="inlineStr">
        <is>
          <t>Palay</t>
        </is>
      </c>
      <c r="B531" s="13" t="inlineStr">
        <is>
          <t>Pasileng Sur</t>
        </is>
      </c>
      <c r="C531" s="13" t="inlineStr">
        <is>
          <t>October</t>
        </is>
      </c>
      <c r="D531" s="13" t="inlineStr">
        <is>
          <t>2020</t>
        </is>
      </c>
      <c r="E531" s="13" t="inlineStr">
        <is>
          <t>WS 2020</t>
        </is>
      </c>
      <c r="F531" s="13" t="inlineStr">
        <is>
          <t>Harvest</t>
        </is>
      </c>
      <c r="G531" s="7" t="n">
        <v>17.03</v>
      </c>
      <c r="H531" s="8" t="n">
        <v>26.32</v>
      </c>
      <c r="I531" s="8" t="n">
        <v>22.31</v>
      </c>
      <c r="J531" s="8" t="n">
        <v>31.82</v>
      </c>
      <c r="K531" s="8" t="n">
        <v>87.7</v>
      </c>
      <c r="L531" s="8" t="n">
        <v>98.08</v>
      </c>
      <c r="M531" s="8" t="n">
        <v>15.24</v>
      </c>
      <c r="N531" s="13" t="inlineStr">
        <is>
          <t>Type I – Tropical Monsoon (PAGASA)</t>
        </is>
      </c>
      <c r="O531" s="13" t="inlineStr">
        <is>
          <t>Wet</t>
        </is>
      </c>
      <c r="P531" s="13" t="inlineStr">
        <is>
          <t>Sandy Loam</t>
        </is>
      </c>
      <c r="Q531" s="13" t="inlineStr">
        <is>
          <t>Flat / Lowland</t>
        </is>
      </c>
      <c r="R531" s="14" t="n">
        <v>30</v>
      </c>
      <c r="S531" s="13" t="inlineStr">
        <is>
          <t>Tagamusing River</t>
        </is>
      </c>
      <c r="T531" s="15" t="n">
        <v>414.96</v>
      </c>
      <c r="U531" s="15" t="n"/>
      <c r="V531" s="15" t="n"/>
      <c r="W531" s="15" t="n"/>
      <c r="X531" s="15" t="n">
        <v>3.6</v>
      </c>
      <c r="Y531" s="15" t="n">
        <v>21.82</v>
      </c>
      <c r="Z531" s="16" t="n">
        <v>6.06</v>
      </c>
      <c r="AA531" s="17" t="inlineStr">
        <is>
          <t>Transplanting (Pindot) or Direct Seeding (Pinaghandaan)</t>
        </is>
      </c>
      <c r="AB531" s="17" t="inlineStr">
        <is>
          <t>Conventional Tillage: 2 plowings + 2 harrowings; soil workable when moist</t>
        </is>
      </c>
      <c r="AC531" s="17" t="inlineStr">
        <is>
          <t>Intermittent irrigation (Alternate Wetting and Drying — AWD); moderate retention</t>
        </is>
      </c>
    </row>
    <row r="532" ht="21.75" customHeight="1" s="101">
      <c r="A532" s="6" t="inlineStr">
        <is>
          <t>Palay</t>
        </is>
      </c>
      <c r="B532" s="6" t="inlineStr">
        <is>
          <t>Sta. Maria Norte</t>
        </is>
      </c>
      <c r="C532" s="6" t="inlineStr">
        <is>
          <t>October</t>
        </is>
      </c>
      <c r="D532" s="6" t="inlineStr">
        <is>
          <t>2020</t>
        </is>
      </c>
      <c r="E532" s="6" t="inlineStr">
        <is>
          <t>WS 2020</t>
        </is>
      </c>
      <c r="F532" s="6" t="inlineStr">
        <is>
          <t>Harvest</t>
        </is>
      </c>
      <c r="G532" s="7" t="n">
        <v>17.03</v>
      </c>
      <c r="H532" s="8" t="n">
        <v>26.32</v>
      </c>
      <c r="I532" s="8" t="n">
        <v>22.31</v>
      </c>
      <c r="J532" s="8" t="n">
        <v>31.82</v>
      </c>
      <c r="K532" s="8" t="n">
        <v>87.7</v>
      </c>
      <c r="L532" s="8" t="n">
        <v>98.08</v>
      </c>
      <c r="M532" s="8" t="n">
        <v>15.24</v>
      </c>
      <c r="N532" s="6" t="inlineStr">
        <is>
          <t>Type I – Tropical Monsoon (PAGASA)</t>
        </is>
      </c>
      <c r="O532" s="6" t="inlineStr">
        <is>
          <t>Wet</t>
        </is>
      </c>
      <c r="P532" s="6" t="inlineStr">
        <is>
          <t>Sandy Loam</t>
        </is>
      </c>
      <c r="Q532" s="6" t="inlineStr">
        <is>
          <t>Flat / Lowland</t>
        </is>
      </c>
      <c r="R532" s="9" t="n">
        <v>30</v>
      </c>
      <c r="S532" s="6" t="inlineStr">
        <is>
          <t>Tagamusing River</t>
        </is>
      </c>
      <c r="T532" s="10" t="n">
        <v>157.08</v>
      </c>
      <c r="U532" s="10" t="n"/>
      <c r="V532" s="10" t="n"/>
      <c r="W532" s="10" t="n"/>
      <c r="X532" s="10" t="n">
        <v>3.1</v>
      </c>
      <c r="Y532" s="10" t="n">
        <v>4.84</v>
      </c>
      <c r="Z532" s="11" t="n">
        <v>1.56</v>
      </c>
      <c r="AA532" s="12" t="inlineStr">
        <is>
          <t>Transplanting (Pindot) or Direct Seeding (Pinaghandaan)</t>
        </is>
      </c>
      <c r="AB532" s="12" t="inlineStr">
        <is>
          <t>Conventional Tillage: 2 plowings + 2 harrowings; soil workable when moist</t>
        </is>
      </c>
      <c r="AC532" s="12" t="inlineStr">
        <is>
          <t>Intermittent irrigation (Alternate Wetting and Drying — AWD); moderate retention</t>
        </is>
      </c>
    </row>
    <row r="533" ht="21.75" customHeight="1" s="101">
      <c r="A533" s="13" t="inlineStr">
        <is>
          <t>Palay</t>
        </is>
      </c>
      <c r="B533" s="13" t="inlineStr">
        <is>
          <t>Bugayong</t>
        </is>
      </c>
      <c r="C533" s="13" t="inlineStr">
        <is>
          <t>October</t>
        </is>
      </c>
      <c r="D533" s="13" t="inlineStr">
        <is>
          <t>2020</t>
        </is>
      </c>
      <c r="E533" s="13" t="inlineStr">
        <is>
          <t>WS 2020</t>
        </is>
      </c>
      <c r="F533" s="13" t="inlineStr">
        <is>
          <t>Harvest</t>
        </is>
      </c>
      <c r="G533" s="7" t="n">
        <v>17.03</v>
      </c>
      <c r="H533" s="8" t="n">
        <v>26.32</v>
      </c>
      <c r="I533" s="8" t="n">
        <v>22.31</v>
      </c>
      <c r="J533" s="8" t="n">
        <v>31.82</v>
      </c>
      <c r="K533" s="8" t="n">
        <v>87.7</v>
      </c>
      <c r="L533" s="8" t="n">
        <v>98.08</v>
      </c>
      <c r="M533" s="8" t="n">
        <v>15.24</v>
      </c>
      <c r="N533" s="13" t="inlineStr">
        <is>
          <t>Type I – Tropical Monsoon (PAGASA)</t>
        </is>
      </c>
      <c r="O533" s="13" t="inlineStr">
        <is>
          <t>Wet</t>
        </is>
      </c>
      <c r="P533" s="13" t="inlineStr">
        <is>
          <t>Sandy Loam / Silty Clay Loam</t>
        </is>
      </c>
      <c r="Q533" s="13" t="inlineStr">
        <is>
          <t>Flat / Lowland</t>
        </is>
      </c>
      <c r="R533" s="14" t="n">
        <v>30</v>
      </c>
      <c r="S533" s="13" t="inlineStr">
        <is>
          <t>Aloragat River</t>
        </is>
      </c>
      <c r="T533" s="15" t="n">
        <v>346.08</v>
      </c>
      <c r="U533" s="15" t="n"/>
      <c r="V533" s="15" t="n"/>
      <c r="W533" s="15" t="n"/>
      <c r="X533" s="15" t="n">
        <v>28.81</v>
      </c>
      <c r="Y533" s="15" t="n">
        <v>98.48999999999999</v>
      </c>
      <c r="Z533" s="16" t="n">
        <v>3.42</v>
      </c>
      <c r="AA533" s="17" t="inlineStr">
        <is>
          <t>Transplanting (Pindot) — recommended; Direct Seeding possible in dry season</t>
        </is>
      </c>
      <c r="AB533" s="17" t="inlineStr">
        <is>
          <t>Conventional Tillage: 2 plowings + harrowing; puddle thoroughly for transplanting</t>
        </is>
      </c>
      <c r="AC533" s="17" t="inlineStr">
        <is>
          <t>Intermittent to continuous flooding; manage according to drainage section present</t>
        </is>
      </c>
    </row>
    <row r="534" ht="21.75" customHeight="1" s="101">
      <c r="A534" s="6" t="inlineStr">
        <is>
          <t>Palay</t>
        </is>
      </c>
      <c r="B534" s="6" t="inlineStr">
        <is>
          <t>Santiago</t>
        </is>
      </c>
      <c r="C534" s="6" t="inlineStr">
        <is>
          <t>October</t>
        </is>
      </c>
      <c r="D534" s="6" t="inlineStr">
        <is>
          <t>2020</t>
        </is>
      </c>
      <c r="E534" s="6" t="inlineStr">
        <is>
          <t>WS 2020</t>
        </is>
      </c>
      <c r="F534" s="6" t="inlineStr">
        <is>
          <t>Harvest</t>
        </is>
      </c>
      <c r="G534" s="7" t="n">
        <v>17.03</v>
      </c>
      <c r="H534" s="8" t="n">
        <v>26.32</v>
      </c>
      <c r="I534" s="8" t="n">
        <v>22.31</v>
      </c>
      <c r="J534" s="8" t="n">
        <v>31.82</v>
      </c>
      <c r="K534" s="8" t="n">
        <v>87.7</v>
      </c>
      <c r="L534" s="8" t="n">
        <v>98.08</v>
      </c>
      <c r="M534" s="8" t="n">
        <v>15.24</v>
      </c>
      <c r="N534" s="6" t="inlineStr">
        <is>
          <t>Type I – Tropical Monsoon (PAGASA)</t>
        </is>
      </c>
      <c r="O534" s="6" t="inlineStr">
        <is>
          <t>Wet</t>
        </is>
      </c>
      <c r="P534" s="6" t="inlineStr">
        <is>
          <t>Silty Clay Loam</t>
        </is>
      </c>
      <c r="Q534" s="6" t="inlineStr">
        <is>
          <t>Flat / Lowland</t>
        </is>
      </c>
      <c r="R534" s="9" t="n">
        <v>30</v>
      </c>
      <c r="S534" s="6" t="inlineStr">
        <is>
          <t>—</t>
        </is>
      </c>
      <c r="T534" s="10" t="n">
        <v>283.08</v>
      </c>
      <c r="U534" s="10" t="n"/>
      <c r="V534" s="10" t="n"/>
      <c r="W534" s="10" t="n"/>
      <c r="X534" s="10" t="n">
        <v>4</v>
      </c>
      <c r="Y534" s="10" t="n">
        <v>21</v>
      </c>
      <c r="Z534" s="11" t="n">
        <v>5.25</v>
      </c>
      <c r="AA534" s="12" t="inlineStr">
        <is>
          <t>Transplanting (Pindot) — optimal for clay-loam paddy fields</t>
        </is>
      </c>
      <c r="AB534" s="12" t="inlineStr">
        <is>
          <t>Wet Tillage (Puddling): 2 plowings + thorough harrowing under flooded condition</t>
        </is>
      </c>
      <c r="AC534" s="12" t="inlineStr">
        <is>
          <t>Continuous flooding 2–5 cm depth during vegetative stage; drain 2 weeks before harvest</t>
        </is>
      </c>
    </row>
    <row r="535" ht="21.75" customHeight="1" s="101">
      <c r="A535" s="13" t="inlineStr">
        <is>
          <t>Palay</t>
        </is>
      </c>
      <c r="B535" s="13" t="inlineStr">
        <is>
          <t>Balangobong</t>
        </is>
      </c>
      <c r="C535" s="13" t="inlineStr">
        <is>
          <t>October</t>
        </is>
      </c>
      <c r="D535" s="13" t="inlineStr">
        <is>
          <t>2023</t>
        </is>
      </c>
      <c r="E535" s="13" t="inlineStr">
        <is>
          <t>WS 2023</t>
        </is>
      </c>
      <c r="F535" s="13" t="inlineStr">
        <is>
          <t>Harvest</t>
        </is>
      </c>
      <c r="G535" s="7" t="n">
        <v>6.18</v>
      </c>
      <c r="H535" s="8" t="n">
        <v>26.89</v>
      </c>
      <c r="I535" s="8" t="n">
        <v>21.79</v>
      </c>
      <c r="J535" s="8" t="n">
        <v>32.55</v>
      </c>
      <c r="K535" s="8" t="n">
        <v>84.83</v>
      </c>
      <c r="L535" s="8" t="n">
        <v>98.41</v>
      </c>
      <c r="M535" s="8" t="n">
        <v>17.88</v>
      </c>
      <c r="N535" s="13" t="inlineStr">
        <is>
          <t>Type I – Tropical Monsoon (PAGASA)</t>
        </is>
      </c>
      <c r="O535" s="13" t="inlineStr">
        <is>
          <t>Wet</t>
        </is>
      </c>
      <c r="P535" s="13" t="inlineStr">
        <is>
          <t>Silty Clay Loam</t>
        </is>
      </c>
      <c r="Q535" s="13" t="inlineStr">
        <is>
          <t>Flat / Lowland</t>
        </is>
      </c>
      <c r="R535" s="14" t="n">
        <v>30</v>
      </c>
      <c r="S535" s="13" t="inlineStr">
        <is>
          <t>—</t>
        </is>
      </c>
      <c r="T535" s="15" t="n">
        <v>281.4</v>
      </c>
      <c r="U535" s="15" t="n"/>
      <c r="V535" s="15" t="n"/>
      <c r="W535" s="15" t="n"/>
      <c r="X535" s="15" t="n">
        <v>120</v>
      </c>
      <c r="Y535" s="15" t="n">
        <v>569.5700000000001</v>
      </c>
      <c r="Z535" s="16" t="n">
        <v>4.75</v>
      </c>
      <c r="AA535" s="17" t="inlineStr">
        <is>
          <t>Transplanting (Pindot) — optimal for clay-loam paddy fields</t>
        </is>
      </c>
      <c r="AB535" s="17" t="inlineStr">
        <is>
          <t>Wet Tillage (Puddling): 2 plowings + thorough harrowing under flooded condition</t>
        </is>
      </c>
      <c r="AC535" s="17" t="inlineStr">
        <is>
          <t>Continuous flooding 2–5 cm depth during vegetative stage; drain 2 weeks before harvest</t>
        </is>
      </c>
    </row>
    <row r="536" ht="21.75" customHeight="1" s="101">
      <c r="A536" s="6" t="inlineStr">
        <is>
          <t>Palay</t>
        </is>
      </c>
      <c r="B536" s="6" t="inlineStr">
        <is>
          <t>Bued</t>
        </is>
      </c>
      <c r="C536" s="6" t="inlineStr">
        <is>
          <t>October</t>
        </is>
      </c>
      <c r="D536" s="6" t="inlineStr">
        <is>
          <t>2023</t>
        </is>
      </c>
      <c r="E536" s="6" t="inlineStr">
        <is>
          <t>WS 2023</t>
        </is>
      </c>
      <c r="F536" s="6" t="inlineStr">
        <is>
          <t>Harvest</t>
        </is>
      </c>
      <c r="G536" s="7" t="n">
        <v>6.18</v>
      </c>
      <c r="H536" s="8" t="n">
        <v>26.89</v>
      </c>
      <c r="I536" s="8" t="n">
        <v>21.79</v>
      </c>
      <c r="J536" s="8" t="n">
        <v>32.55</v>
      </c>
      <c r="K536" s="8" t="n">
        <v>84.83</v>
      </c>
      <c r="L536" s="8" t="n">
        <v>98.41</v>
      </c>
      <c r="M536" s="8" t="n">
        <v>17.88</v>
      </c>
      <c r="N536" s="6" t="inlineStr">
        <is>
          <t>Type I – Tropical Monsoon (PAGASA)</t>
        </is>
      </c>
      <c r="O536" s="6" t="inlineStr">
        <is>
          <t>Wet</t>
        </is>
      </c>
      <c r="P536" s="6" t="inlineStr">
        <is>
          <t>Silty Clay Loam</t>
        </is>
      </c>
      <c r="Q536" s="6" t="inlineStr">
        <is>
          <t>Flat / Lowland</t>
        </is>
      </c>
      <c r="R536" s="9" t="n">
        <v>30</v>
      </c>
      <c r="S536" s="6" t="inlineStr">
        <is>
          <t>Tagamusing River</t>
        </is>
      </c>
      <c r="T536" s="10" t="n">
        <v>210.84</v>
      </c>
      <c r="U536" s="10" t="n"/>
      <c r="V536" s="10" t="n"/>
      <c r="W536" s="10" t="n"/>
      <c r="X536" s="10" t="n">
        <v>56.5</v>
      </c>
      <c r="Y536" s="10" t="n">
        <v>248.22</v>
      </c>
      <c r="Z536" s="11" t="n">
        <v>4.39</v>
      </c>
      <c r="AA536" s="12" t="inlineStr">
        <is>
          <t>Transplanting (Pindot) — optimal for clay-loam paddy fields</t>
        </is>
      </c>
      <c r="AB536" s="12" t="inlineStr">
        <is>
          <t>Wet Tillage (Puddling): 2 plowings + thorough harrowing under flooded condition</t>
        </is>
      </c>
      <c r="AC536" s="12" t="inlineStr">
        <is>
          <t>Continuous flooding 2–5 cm depth during vegetative stage; drain 2 weeks before harvest</t>
        </is>
      </c>
    </row>
    <row r="537" ht="21.75" customHeight="1" s="101">
      <c r="A537" s="13" t="inlineStr">
        <is>
          <t>Palay</t>
        </is>
      </c>
      <c r="B537" s="13" t="inlineStr">
        <is>
          <t>Bugayong</t>
        </is>
      </c>
      <c r="C537" s="13" t="inlineStr">
        <is>
          <t>October</t>
        </is>
      </c>
      <c r="D537" s="13" t="inlineStr">
        <is>
          <t>2023</t>
        </is>
      </c>
      <c r="E537" s="13" t="inlineStr">
        <is>
          <t>WS 2023</t>
        </is>
      </c>
      <c r="F537" s="13" t="inlineStr">
        <is>
          <t>Harvest</t>
        </is>
      </c>
      <c r="G537" s="7" t="n">
        <v>6.18</v>
      </c>
      <c r="H537" s="8" t="n">
        <v>26.89</v>
      </c>
      <c r="I537" s="8" t="n">
        <v>21.79</v>
      </c>
      <c r="J537" s="8" t="n">
        <v>32.55</v>
      </c>
      <c r="K537" s="8" t="n">
        <v>84.83</v>
      </c>
      <c r="L537" s="8" t="n">
        <v>98.41</v>
      </c>
      <c r="M537" s="8" t="n">
        <v>17.88</v>
      </c>
      <c r="N537" s="13" t="inlineStr">
        <is>
          <t>Type I – Tropical Monsoon (PAGASA)</t>
        </is>
      </c>
      <c r="O537" s="13" t="inlineStr">
        <is>
          <t>Wet</t>
        </is>
      </c>
      <c r="P537" s="13" t="inlineStr">
        <is>
          <t>Sandy Loam / Silty Clay Loam</t>
        </is>
      </c>
      <c r="Q537" s="13" t="inlineStr">
        <is>
          <t>Flat / Lowland</t>
        </is>
      </c>
      <c r="R537" s="14" t="n">
        <v>30</v>
      </c>
      <c r="S537" s="13" t="inlineStr">
        <is>
          <t>Aloragat River</t>
        </is>
      </c>
      <c r="T537" s="15" t="n">
        <v>346.08</v>
      </c>
      <c r="U537" s="15" t="n"/>
      <c r="V537" s="15" t="n"/>
      <c r="W537" s="15" t="n"/>
      <c r="X537" s="15" t="n">
        <v>25.95</v>
      </c>
      <c r="Y537" s="15" t="n">
        <v>130.27</v>
      </c>
      <c r="Z537" s="16" t="n">
        <v>5.02</v>
      </c>
      <c r="AA537" s="17" t="inlineStr">
        <is>
          <t>Transplanting (Pindot) — recommended; Direct Seeding possible in dry season</t>
        </is>
      </c>
      <c r="AB537" s="17" t="inlineStr">
        <is>
          <t>Conventional Tillage: 2 plowings + harrowing; puddle thoroughly for transplanting</t>
        </is>
      </c>
      <c r="AC537" s="17" t="inlineStr">
        <is>
          <t>Intermittent to continuous flooding; manage according to drainage section present</t>
        </is>
      </c>
    </row>
    <row r="538" ht="21.75" customHeight="1" s="101">
      <c r="A538" s="6" t="inlineStr">
        <is>
          <t>Palay</t>
        </is>
      </c>
      <c r="B538" s="6" t="inlineStr">
        <is>
          <t>Camanggaan</t>
        </is>
      </c>
      <c r="C538" s="6" t="inlineStr">
        <is>
          <t>October</t>
        </is>
      </c>
      <c r="D538" s="6" t="inlineStr">
        <is>
          <t>2023</t>
        </is>
      </c>
      <c r="E538" s="6" t="inlineStr">
        <is>
          <t>WS 2023</t>
        </is>
      </c>
      <c r="F538" s="6" t="inlineStr">
        <is>
          <t>Harvest</t>
        </is>
      </c>
      <c r="G538" s="7" t="n">
        <v>6.18</v>
      </c>
      <c r="H538" s="8" t="n">
        <v>26.89</v>
      </c>
      <c r="I538" s="8" t="n">
        <v>21.79</v>
      </c>
      <c r="J538" s="8" t="n">
        <v>32.55</v>
      </c>
      <c r="K538" s="8" t="n">
        <v>84.83</v>
      </c>
      <c r="L538" s="8" t="n">
        <v>98.41</v>
      </c>
      <c r="M538" s="8" t="n">
        <v>17.88</v>
      </c>
      <c r="N538" s="6" t="inlineStr">
        <is>
          <t>Type I – Tropical Monsoon (PAGASA)</t>
        </is>
      </c>
      <c r="O538" s="6" t="inlineStr">
        <is>
          <t>Wet</t>
        </is>
      </c>
      <c r="P538" s="6" t="inlineStr">
        <is>
          <t>Sandy Loam</t>
        </is>
      </c>
      <c r="Q538" s="6" t="inlineStr">
        <is>
          <t>Flat / Lowland</t>
        </is>
      </c>
      <c r="R538" s="9" t="n">
        <v>30</v>
      </c>
      <c r="S538" s="6" t="inlineStr">
        <is>
          <t>—</t>
        </is>
      </c>
      <c r="T538" s="10" t="n">
        <v>244.44</v>
      </c>
      <c r="U538" s="10" t="n"/>
      <c r="V538" s="10" t="n"/>
      <c r="W538" s="10" t="n"/>
      <c r="X538" s="10" t="n">
        <v>19</v>
      </c>
      <c r="Y538" s="10" t="n">
        <v>81.73999999999999</v>
      </c>
      <c r="Z538" s="11" t="n">
        <v>4.3</v>
      </c>
      <c r="AA538" s="12" t="inlineStr">
        <is>
          <t>Transplanting (Pindot) or Direct Seeding (Pinaghandaan)</t>
        </is>
      </c>
      <c r="AB538" s="12" t="inlineStr">
        <is>
          <t>Conventional Tillage: 2 plowings + 2 harrowings; soil workable when moist</t>
        </is>
      </c>
      <c r="AC538" s="12" t="inlineStr">
        <is>
          <t>Intermittent irrigation (Alternate Wetting and Drying — AWD); moderate retention</t>
        </is>
      </c>
    </row>
    <row r="539" ht="21.75" customHeight="1" s="101">
      <c r="A539" s="13" t="inlineStr">
        <is>
          <t>Palay</t>
        </is>
      </c>
      <c r="B539" s="13" t="inlineStr">
        <is>
          <t>Capas</t>
        </is>
      </c>
      <c r="C539" s="13" t="inlineStr">
        <is>
          <t>October</t>
        </is>
      </c>
      <c r="D539" s="13" t="inlineStr">
        <is>
          <t>2023</t>
        </is>
      </c>
      <c r="E539" s="13" t="inlineStr">
        <is>
          <t>WS 2023</t>
        </is>
      </c>
      <c r="F539" s="13" t="inlineStr">
        <is>
          <t>Harvest</t>
        </is>
      </c>
      <c r="G539" s="7" t="n">
        <v>6.18</v>
      </c>
      <c r="H539" s="8" t="n">
        <v>26.89</v>
      </c>
      <c r="I539" s="8" t="n">
        <v>21.79</v>
      </c>
      <c r="J539" s="8" t="n">
        <v>32.55</v>
      </c>
      <c r="K539" s="8" t="n">
        <v>84.83</v>
      </c>
      <c r="L539" s="8" t="n">
        <v>98.41</v>
      </c>
      <c r="M539" s="8" t="n">
        <v>17.88</v>
      </c>
      <c r="N539" s="13" t="inlineStr">
        <is>
          <t>Type I – Tropical Monsoon (PAGASA)</t>
        </is>
      </c>
      <c r="O539" s="13" t="inlineStr">
        <is>
          <t>Wet</t>
        </is>
      </c>
      <c r="P539" s="13" t="inlineStr">
        <is>
          <t>Sandy Loam</t>
        </is>
      </c>
      <c r="Q539" s="13" t="inlineStr">
        <is>
          <t>Flat / Lowland</t>
        </is>
      </c>
      <c r="R539" s="14" t="n">
        <v>30</v>
      </c>
      <c r="S539" s="13" t="inlineStr">
        <is>
          <t>—</t>
        </is>
      </c>
      <c r="T539" s="15" t="n">
        <v>377.16</v>
      </c>
      <c r="U539" s="15" t="n"/>
      <c r="V539" s="15" t="n"/>
      <c r="W539" s="15" t="n"/>
      <c r="X539" s="15" t="n">
        <v>139</v>
      </c>
      <c r="Y539" s="15" t="n">
        <v>766.55</v>
      </c>
      <c r="Z539" s="16" t="n">
        <v>5.51</v>
      </c>
      <c r="AA539" s="17" t="inlineStr">
        <is>
          <t>Transplanting (Pindot) or Direct Seeding (Pinaghandaan)</t>
        </is>
      </c>
      <c r="AB539" s="17" t="inlineStr">
        <is>
          <t>Conventional Tillage: 2 plowings + 2 harrowings; soil workable when moist</t>
        </is>
      </c>
      <c r="AC539" s="17" t="inlineStr">
        <is>
          <t>Intermittent irrigation (Alternate Wetting and Drying — AWD); moderate retention</t>
        </is>
      </c>
    </row>
    <row r="540" ht="21.75" customHeight="1" s="101">
      <c r="A540" s="6" t="inlineStr">
        <is>
          <t>Palay</t>
        </is>
      </c>
      <c r="B540" s="6" t="inlineStr">
        <is>
          <t>Cili</t>
        </is>
      </c>
      <c r="C540" s="6" t="inlineStr">
        <is>
          <t>October</t>
        </is>
      </c>
      <c r="D540" s="6" t="inlineStr">
        <is>
          <t>2023</t>
        </is>
      </c>
      <c r="E540" s="6" t="inlineStr">
        <is>
          <t>WS 2023</t>
        </is>
      </c>
      <c r="F540" s="6" t="inlineStr">
        <is>
          <t>Harvest</t>
        </is>
      </c>
      <c r="G540" s="7" t="n">
        <v>6.18</v>
      </c>
      <c r="H540" s="8" t="n">
        <v>26.89</v>
      </c>
      <c r="I540" s="8" t="n">
        <v>21.79</v>
      </c>
      <c r="J540" s="8" t="n">
        <v>32.55</v>
      </c>
      <c r="K540" s="8" t="n">
        <v>84.83</v>
      </c>
      <c r="L540" s="8" t="n">
        <v>98.41</v>
      </c>
      <c r="M540" s="8" t="n">
        <v>17.88</v>
      </c>
      <c r="N540" s="6" t="inlineStr">
        <is>
          <t>Type I – Tropical Monsoon (PAGASA)</t>
        </is>
      </c>
      <c r="O540" s="6" t="inlineStr">
        <is>
          <t>Wet</t>
        </is>
      </c>
      <c r="P540" s="6" t="inlineStr">
        <is>
          <t>Silty Clay Loam</t>
        </is>
      </c>
      <c r="Q540" s="6" t="inlineStr">
        <is>
          <t>Flat / Lowland</t>
        </is>
      </c>
      <c r="R540" s="9" t="n">
        <v>30</v>
      </c>
      <c r="S540" s="6" t="inlineStr">
        <is>
          <t>Alibeng River</t>
        </is>
      </c>
      <c r="T540" s="10" t="n">
        <v>264.6</v>
      </c>
      <c r="U540" s="10" t="n"/>
      <c r="V540" s="10" t="n"/>
      <c r="W540" s="10" t="n"/>
      <c r="X540" s="10" t="n">
        <v>40</v>
      </c>
      <c r="Y540" s="10" t="n">
        <v>185.2</v>
      </c>
      <c r="Z540" s="11" t="n">
        <v>4.63</v>
      </c>
      <c r="AA540" s="12" t="inlineStr">
        <is>
          <t>Transplanting (Pindot) — optimal for clay-loam paddy fields</t>
        </is>
      </c>
      <c r="AB540" s="12" t="inlineStr">
        <is>
          <t>Wet Tillage (Puddling): 2 plowings + thorough harrowing under flooded condition</t>
        </is>
      </c>
      <c r="AC540" s="12" t="inlineStr">
        <is>
          <t>Continuous flooding 2–5 cm depth during vegetative stage; drain 2 weeks before harvest</t>
        </is>
      </c>
    </row>
    <row r="541" ht="21.75" customHeight="1" s="101">
      <c r="A541" s="13" t="inlineStr">
        <is>
          <t>Palay</t>
        </is>
      </c>
      <c r="B541" s="13" t="inlineStr">
        <is>
          <t>Dumayat</t>
        </is>
      </c>
      <c r="C541" s="13" t="inlineStr">
        <is>
          <t>October</t>
        </is>
      </c>
      <c r="D541" s="13" t="inlineStr">
        <is>
          <t>2023</t>
        </is>
      </c>
      <c r="E541" s="13" t="inlineStr">
        <is>
          <t>WS 2023</t>
        </is>
      </c>
      <c r="F541" s="13" t="inlineStr">
        <is>
          <t>Harvest</t>
        </is>
      </c>
      <c r="G541" s="7" t="n">
        <v>6.18</v>
      </c>
      <c r="H541" s="8" t="n">
        <v>26.89</v>
      </c>
      <c r="I541" s="8" t="n">
        <v>21.79</v>
      </c>
      <c r="J541" s="8" t="n">
        <v>32.55</v>
      </c>
      <c r="K541" s="8" t="n">
        <v>84.83</v>
      </c>
      <c r="L541" s="8" t="n">
        <v>98.41</v>
      </c>
      <c r="M541" s="8" t="n">
        <v>17.88</v>
      </c>
      <c r="N541" s="13" t="inlineStr">
        <is>
          <t>Type I – Tropical Monsoon (PAGASA)</t>
        </is>
      </c>
      <c r="O541" s="13" t="inlineStr">
        <is>
          <t>Wet</t>
        </is>
      </c>
      <c r="P541" s="13" t="inlineStr">
        <is>
          <t>Silty Clay Loam</t>
        </is>
      </c>
      <c r="Q541" s="13" t="inlineStr">
        <is>
          <t>Flat / Lowland</t>
        </is>
      </c>
      <c r="R541" s="14" t="n">
        <v>30</v>
      </c>
      <c r="S541" s="13" t="inlineStr">
        <is>
          <t>—</t>
        </is>
      </c>
      <c r="T541" s="15" t="n">
        <v>266.28</v>
      </c>
      <c r="U541" s="15" t="n"/>
      <c r="V541" s="15" t="n"/>
      <c r="W541" s="15" t="n"/>
      <c r="X541" s="15" t="n">
        <v>56</v>
      </c>
      <c r="Y541" s="15" t="n">
        <v>287.84</v>
      </c>
      <c r="Z541" s="16" t="n">
        <v>5.14</v>
      </c>
      <c r="AA541" s="17" t="inlineStr">
        <is>
          <t>Transplanting (Pindot) — optimal for clay-loam paddy fields</t>
        </is>
      </c>
      <c r="AB541" s="17" t="inlineStr">
        <is>
          <t>Wet Tillage (Puddling): 2 plowings + thorough harrowing under flooded condition</t>
        </is>
      </c>
      <c r="AC541" s="17" t="inlineStr">
        <is>
          <t>Continuous flooding 2–5 cm depth during vegetative stage; drain 2 weeks before harvest</t>
        </is>
      </c>
    </row>
    <row r="542" ht="21.75" customHeight="1" s="101">
      <c r="A542" s="6" t="inlineStr">
        <is>
          <t>Palay</t>
        </is>
      </c>
      <c r="B542" s="6" t="inlineStr">
        <is>
          <t>Linmansangan</t>
        </is>
      </c>
      <c r="C542" s="6" t="inlineStr">
        <is>
          <t>October</t>
        </is>
      </c>
      <c r="D542" s="6" t="inlineStr">
        <is>
          <t>2023</t>
        </is>
      </c>
      <c r="E542" s="6" t="inlineStr">
        <is>
          <t>WS 2023</t>
        </is>
      </c>
      <c r="F542" s="6" t="inlineStr">
        <is>
          <t>Harvest</t>
        </is>
      </c>
      <c r="G542" s="7" t="n">
        <v>6.18</v>
      </c>
      <c r="H542" s="8" t="n">
        <v>26.89</v>
      </c>
      <c r="I542" s="8" t="n">
        <v>21.79</v>
      </c>
      <c r="J542" s="8" t="n">
        <v>32.55</v>
      </c>
      <c r="K542" s="8" t="n">
        <v>84.83</v>
      </c>
      <c r="L542" s="8" t="n">
        <v>98.41</v>
      </c>
      <c r="M542" s="8" t="n">
        <v>17.88</v>
      </c>
      <c r="N542" s="6" t="inlineStr">
        <is>
          <t>Type I – Tropical Monsoon (PAGASA)</t>
        </is>
      </c>
      <c r="O542" s="6" t="inlineStr">
        <is>
          <t>Wet</t>
        </is>
      </c>
      <c r="P542" s="6" t="inlineStr">
        <is>
          <t>Silty Clay Loam</t>
        </is>
      </c>
      <c r="Q542" s="6" t="inlineStr">
        <is>
          <t>Flat / Lowland</t>
        </is>
      </c>
      <c r="R542" s="9" t="n">
        <v>30</v>
      </c>
      <c r="S542" s="6" t="inlineStr">
        <is>
          <t>—</t>
        </is>
      </c>
      <c r="T542" s="10" t="n">
        <v>492.24</v>
      </c>
      <c r="U542" s="10" t="n"/>
      <c r="V542" s="10" t="n"/>
      <c r="W542" s="10" t="n"/>
      <c r="X542" s="10" t="n">
        <v>65.5</v>
      </c>
      <c r="Y542" s="10" t="n">
        <v>302.43</v>
      </c>
      <c r="Z542" s="11" t="n">
        <v>4.62</v>
      </c>
      <c r="AA542" s="12" t="inlineStr">
        <is>
          <t>Transplanting (Pindot) — optimal for clay-loam paddy fields</t>
        </is>
      </c>
      <c r="AB542" s="12" t="inlineStr">
        <is>
          <t>Wet Tillage (Puddling): 2 plowings + thorough harrowing under flooded condition</t>
        </is>
      </c>
      <c r="AC542" s="12" t="inlineStr">
        <is>
          <t>Continuous flooding 2–5 cm depth during vegetative stage; drain 2 weeks before harvest</t>
        </is>
      </c>
    </row>
    <row r="543" ht="21.75" customHeight="1" s="101">
      <c r="A543" s="13" t="inlineStr">
        <is>
          <t>Palay</t>
        </is>
      </c>
      <c r="B543" s="13" t="inlineStr">
        <is>
          <t>Mangkasuy</t>
        </is>
      </c>
      <c r="C543" s="13" t="inlineStr">
        <is>
          <t>October</t>
        </is>
      </c>
      <c r="D543" s="13" t="inlineStr">
        <is>
          <t>2023</t>
        </is>
      </c>
      <c r="E543" s="13" t="inlineStr">
        <is>
          <t>WS 2023</t>
        </is>
      </c>
      <c r="F543" s="13" t="inlineStr">
        <is>
          <t>Harvest</t>
        </is>
      </c>
      <c r="G543" s="7" t="n">
        <v>6.18</v>
      </c>
      <c r="H543" s="8" t="n">
        <v>26.89</v>
      </c>
      <c r="I543" s="8" t="n">
        <v>21.79</v>
      </c>
      <c r="J543" s="8" t="n">
        <v>32.55</v>
      </c>
      <c r="K543" s="8" t="n">
        <v>84.83</v>
      </c>
      <c r="L543" s="8" t="n">
        <v>98.41</v>
      </c>
      <c r="M543" s="8" t="n">
        <v>17.88</v>
      </c>
      <c r="N543" s="13" t="inlineStr">
        <is>
          <t>Type I – Tropical Monsoon (PAGASA)</t>
        </is>
      </c>
      <c r="O543" s="13" t="inlineStr">
        <is>
          <t>Wet</t>
        </is>
      </c>
      <c r="P543" s="13" t="inlineStr">
        <is>
          <t>Sandy Loam</t>
        </is>
      </c>
      <c r="Q543" s="13" t="inlineStr">
        <is>
          <t>Flat / Lowland</t>
        </is>
      </c>
      <c r="R543" s="14" t="n">
        <v>30</v>
      </c>
      <c r="S543" s="13" t="inlineStr">
        <is>
          <t>Tagamusing River</t>
        </is>
      </c>
      <c r="T543" s="15" t="n">
        <v>802.2</v>
      </c>
      <c r="U543" s="15" t="n"/>
      <c r="V543" s="15" t="n"/>
      <c r="W543" s="15" t="n"/>
      <c r="X543" s="15" t="n">
        <v>90</v>
      </c>
      <c r="Y543" s="15" t="n">
        <v>471.74</v>
      </c>
      <c r="Z543" s="16" t="n">
        <v>5.24</v>
      </c>
      <c r="AA543" s="17" t="inlineStr">
        <is>
          <t>Transplanting (Pindot) or Direct Seeding (Pinaghandaan)</t>
        </is>
      </c>
      <c r="AB543" s="17" t="inlineStr">
        <is>
          <t>Conventional Tillage: 2 plowings + 2 harrowings; soil workable when moist</t>
        </is>
      </c>
      <c r="AC543" s="17" t="inlineStr">
        <is>
          <t>Intermittent irrigation (Alternate Wetting and Drying — AWD); moderate retention</t>
        </is>
      </c>
    </row>
    <row r="544" ht="21.75" customHeight="1" s="101">
      <c r="A544" s="6" t="inlineStr">
        <is>
          <t>Palay</t>
        </is>
      </c>
      <c r="B544" s="6" t="inlineStr">
        <is>
          <t>Moreno</t>
        </is>
      </c>
      <c r="C544" s="6" t="inlineStr">
        <is>
          <t>October</t>
        </is>
      </c>
      <c r="D544" s="6" t="inlineStr">
        <is>
          <t>2023</t>
        </is>
      </c>
      <c r="E544" s="6" t="inlineStr">
        <is>
          <t>WS 2023</t>
        </is>
      </c>
      <c r="F544" s="6" t="inlineStr">
        <is>
          <t>Harvest</t>
        </is>
      </c>
      <c r="G544" s="7" t="n">
        <v>6.18</v>
      </c>
      <c r="H544" s="8" t="n">
        <v>26.89</v>
      </c>
      <c r="I544" s="8" t="n">
        <v>21.79</v>
      </c>
      <c r="J544" s="8" t="n">
        <v>32.55</v>
      </c>
      <c r="K544" s="8" t="n">
        <v>84.83</v>
      </c>
      <c r="L544" s="8" t="n">
        <v>98.41</v>
      </c>
      <c r="M544" s="8" t="n">
        <v>17.88</v>
      </c>
      <c r="N544" s="6" t="inlineStr">
        <is>
          <t>Type I – Tropical Monsoon (PAGASA)</t>
        </is>
      </c>
      <c r="O544" s="6" t="inlineStr">
        <is>
          <t>Wet</t>
        </is>
      </c>
      <c r="P544" s="6" t="inlineStr">
        <is>
          <t>Sandy Loam</t>
        </is>
      </c>
      <c r="Q544" s="6" t="inlineStr">
        <is>
          <t>Moderately Sloping / Highland</t>
        </is>
      </c>
      <c r="R544" s="9" t="n">
        <v>90</v>
      </c>
      <c r="S544" s="6" t="inlineStr">
        <is>
          <t>Alibeng River</t>
        </is>
      </c>
      <c r="T544" s="10" t="n">
        <v>641.76</v>
      </c>
      <c r="U544" s="10" t="n"/>
      <c r="V544" s="10" t="n"/>
      <c r="W544" s="10" t="n"/>
      <c r="X544" s="10" t="n">
        <v>47.4</v>
      </c>
      <c r="Y544" s="10" t="n">
        <v>250.3</v>
      </c>
      <c r="Z544" s="11" t="n">
        <v>5.28</v>
      </c>
      <c r="AA544" s="12" t="inlineStr">
        <is>
          <t>Transplanting (Pindot) or Direct Seeding (Pinaghandaan)</t>
        </is>
      </c>
      <c r="AB544" s="12" t="inlineStr">
        <is>
          <t>Conventional Tillage: 2 plowings + 2 harrowings; soil workable when moist</t>
        </is>
      </c>
      <c r="AC544" s="12" t="inlineStr">
        <is>
          <t>Intermittent irrigation (Alternate Wetting and Drying — AWD); moderate retention; terrace or bund-assisted water retention essential on slopes</t>
        </is>
      </c>
    </row>
    <row r="545" ht="21.75" customHeight="1" s="101">
      <c r="A545" s="13" t="inlineStr">
        <is>
          <t>Palay</t>
        </is>
      </c>
      <c r="B545" s="13" t="inlineStr">
        <is>
          <t>Pasileng Norte</t>
        </is>
      </c>
      <c r="C545" s="13" t="inlineStr">
        <is>
          <t>October</t>
        </is>
      </c>
      <c r="D545" s="13" t="inlineStr">
        <is>
          <t>2023</t>
        </is>
      </c>
      <c r="E545" s="13" t="inlineStr">
        <is>
          <t>WS 2023</t>
        </is>
      </c>
      <c r="F545" s="13" t="inlineStr">
        <is>
          <t>Harvest</t>
        </is>
      </c>
      <c r="G545" s="7" t="n">
        <v>6.18</v>
      </c>
      <c r="H545" s="8" t="n">
        <v>26.89</v>
      </c>
      <c r="I545" s="8" t="n">
        <v>21.79</v>
      </c>
      <c r="J545" s="8" t="n">
        <v>32.55</v>
      </c>
      <c r="K545" s="8" t="n">
        <v>84.83</v>
      </c>
      <c r="L545" s="8" t="n">
        <v>98.41</v>
      </c>
      <c r="M545" s="8" t="n">
        <v>17.88</v>
      </c>
      <c r="N545" s="13" t="inlineStr">
        <is>
          <t>Type I – Tropical Monsoon (PAGASA)</t>
        </is>
      </c>
      <c r="O545" s="13" t="inlineStr">
        <is>
          <t>Wet</t>
        </is>
      </c>
      <c r="P545" s="13" t="inlineStr">
        <is>
          <t>Sandy Loam</t>
        </is>
      </c>
      <c r="Q545" s="13" t="inlineStr">
        <is>
          <t>Flat / Lowland</t>
        </is>
      </c>
      <c r="R545" s="14" t="n">
        <v>30</v>
      </c>
      <c r="S545" s="13" t="inlineStr">
        <is>
          <t>Tagamusing River</t>
        </is>
      </c>
      <c r="T545" s="15" t="n">
        <v>140.28</v>
      </c>
      <c r="U545" s="15" t="n"/>
      <c r="V545" s="15" t="n"/>
      <c r="W545" s="15" t="n"/>
      <c r="X545" s="15" t="n">
        <v>78.34999999999999</v>
      </c>
      <c r="Y545" s="15" t="n">
        <v>423.46</v>
      </c>
      <c r="Z545" s="16" t="n">
        <v>5.4</v>
      </c>
      <c r="AA545" s="17" t="inlineStr">
        <is>
          <t>Transplanting (Pindot) or Direct Seeding (Pinaghandaan)</t>
        </is>
      </c>
      <c r="AB545" s="17" t="inlineStr">
        <is>
          <t>Conventional Tillage: 2 plowings + 2 harrowings; soil workable when moist</t>
        </is>
      </c>
      <c r="AC545" s="17" t="inlineStr">
        <is>
          <t>Intermittent irrigation (Alternate Wetting and Drying — AWD); moderate retention</t>
        </is>
      </c>
    </row>
    <row r="546" ht="21.75" customHeight="1" s="101">
      <c r="A546" s="6" t="inlineStr">
        <is>
          <t>Palay</t>
        </is>
      </c>
      <c r="B546" s="6" t="inlineStr">
        <is>
          <t>Pasileng Sur</t>
        </is>
      </c>
      <c r="C546" s="6" t="inlineStr">
        <is>
          <t>October</t>
        </is>
      </c>
      <c r="D546" s="6" t="inlineStr">
        <is>
          <t>2023</t>
        </is>
      </c>
      <c r="E546" s="6" t="inlineStr">
        <is>
          <t>WS 2023</t>
        </is>
      </c>
      <c r="F546" s="6" t="inlineStr">
        <is>
          <t>Harvest</t>
        </is>
      </c>
      <c r="G546" s="7" t="n">
        <v>6.18</v>
      </c>
      <c r="H546" s="8" t="n">
        <v>26.89</v>
      </c>
      <c r="I546" s="8" t="n">
        <v>21.79</v>
      </c>
      <c r="J546" s="8" t="n">
        <v>32.55</v>
      </c>
      <c r="K546" s="8" t="n">
        <v>84.83</v>
      </c>
      <c r="L546" s="8" t="n">
        <v>98.41</v>
      </c>
      <c r="M546" s="8" t="n">
        <v>17.88</v>
      </c>
      <c r="N546" s="6" t="inlineStr">
        <is>
          <t>Type I – Tropical Monsoon (PAGASA)</t>
        </is>
      </c>
      <c r="O546" s="6" t="inlineStr">
        <is>
          <t>Wet</t>
        </is>
      </c>
      <c r="P546" s="6" t="inlineStr">
        <is>
          <t>Sandy Loam</t>
        </is>
      </c>
      <c r="Q546" s="6" t="inlineStr">
        <is>
          <t>Flat / Lowland</t>
        </is>
      </c>
      <c r="R546" s="9" t="n">
        <v>30</v>
      </c>
      <c r="S546" s="6" t="inlineStr">
        <is>
          <t>Tagamusing River</t>
        </is>
      </c>
      <c r="T546" s="10" t="n">
        <v>414.96</v>
      </c>
      <c r="U546" s="10" t="n"/>
      <c r="V546" s="10" t="n"/>
      <c r="W546" s="10" t="n"/>
      <c r="X546" s="10" t="n">
        <v>150.9</v>
      </c>
      <c r="Y546" s="10" t="n">
        <v>761.85</v>
      </c>
      <c r="Z546" s="11" t="n">
        <v>5.05</v>
      </c>
      <c r="AA546" s="12" t="inlineStr">
        <is>
          <t>Transplanting (Pindot) or Direct Seeding (Pinaghandaan)</t>
        </is>
      </c>
      <c r="AB546" s="12" t="inlineStr">
        <is>
          <t>Conventional Tillage: 2 plowings + 2 harrowings; soil workable when moist</t>
        </is>
      </c>
      <c r="AC546" s="12" t="inlineStr">
        <is>
          <t>Intermittent irrigation (Alternate Wetting and Drying — AWD); moderate retention</t>
        </is>
      </c>
    </row>
    <row r="547" ht="21.75" customHeight="1" s="101">
      <c r="A547" s="13" t="inlineStr">
        <is>
          <t>Palay</t>
        </is>
      </c>
      <c r="B547" s="13" t="inlineStr">
        <is>
          <t>San Felipe Central</t>
        </is>
      </c>
      <c r="C547" s="13" t="inlineStr">
        <is>
          <t>October</t>
        </is>
      </c>
      <c r="D547" s="13" t="inlineStr">
        <is>
          <t>2023</t>
        </is>
      </c>
      <c r="E547" s="13" t="inlineStr">
        <is>
          <t>WS 2023</t>
        </is>
      </c>
      <c r="F547" s="13" t="inlineStr">
        <is>
          <t>Harvest</t>
        </is>
      </c>
      <c r="G547" s="7" t="n">
        <v>6.18</v>
      </c>
      <c r="H547" s="8" t="n">
        <v>26.89</v>
      </c>
      <c r="I547" s="8" t="n">
        <v>21.79</v>
      </c>
      <c r="J547" s="8" t="n">
        <v>32.55</v>
      </c>
      <c r="K547" s="8" t="n">
        <v>84.83</v>
      </c>
      <c r="L547" s="8" t="n">
        <v>98.41</v>
      </c>
      <c r="M547" s="8" t="n">
        <v>17.88</v>
      </c>
      <c r="N547" s="13" t="inlineStr">
        <is>
          <t>Type I – Tropical Monsoon (PAGASA)</t>
        </is>
      </c>
      <c r="O547" s="13" t="inlineStr">
        <is>
          <t>Wet</t>
        </is>
      </c>
      <c r="P547" s="13" t="inlineStr">
        <is>
          <t>Sandy Loam</t>
        </is>
      </c>
      <c r="Q547" s="13" t="inlineStr">
        <is>
          <t>Flat / Lowland</t>
        </is>
      </c>
      <c r="R547" s="14" t="n">
        <v>30</v>
      </c>
      <c r="S547" s="13" t="inlineStr">
        <is>
          <t>—</t>
        </is>
      </c>
      <c r="T547" s="15" t="n">
        <v>452.76</v>
      </c>
      <c r="U547" s="15" t="n"/>
      <c r="V547" s="15" t="n"/>
      <c r="W547" s="15" t="n"/>
      <c r="X547" s="15" t="n">
        <v>117</v>
      </c>
      <c r="Y547" s="15" t="n">
        <v>537.83</v>
      </c>
      <c r="Z547" s="16" t="n">
        <v>4.6</v>
      </c>
      <c r="AA547" s="17" t="inlineStr">
        <is>
          <t>Transplanting (Pindot) or Direct Seeding (Pinaghandaan)</t>
        </is>
      </c>
      <c r="AB547" s="17" t="inlineStr">
        <is>
          <t>Conventional Tillage: 2 plowings + 2 harrowings; soil workable when moist</t>
        </is>
      </c>
      <c r="AC547" s="17" t="inlineStr">
        <is>
          <t>Intermittent irrigation (Alternate Wetting and Drying — AWD); moderate retention</t>
        </is>
      </c>
    </row>
    <row r="548" ht="21.75" customHeight="1" s="101">
      <c r="A548" s="6" t="inlineStr">
        <is>
          <t>Palay</t>
        </is>
      </c>
      <c r="B548" s="6" t="inlineStr">
        <is>
          <t>San Felipe Sur</t>
        </is>
      </c>
      <c r="C548" s="6" t="inlineStr">
        <is>
          <t>October</t>
        </is>
      </c>
      <c r="D548" s="6" t="inlineStr">
        <is>
          <t>2023</t>
        </is>
      </c>
      <c r="E548" s="6" t="inlineStr">
        <is>
          <t>WS 2023</t>
        </is>
      </c>
      <c r="F548" s="6" t="inlineStr">
        <is>
          <t>Harvest</t>
        </is>
      </c>
      <c r="G548" s="7" t="n">
        <v>6.18</v>
      </c>
      <c r="H548" s="8" t="n">
        <v>26.89</v>
      </c>
      <c r="I548" s="8" t="n">
        <v>21.79</v>
      </c>
      <c r="J548" s="8" t="n">
        <v>32.55</v>
      </c>
      <c r="K548" s="8" t="n">
        <v>84.83</v>
      </c>
      <c r="L548" s="8" t="n">
        <v>98.41</v>
      </c>
      <c r="M548" s="8" t="n">
        <v>17.88</v>
      </c>
      <c r="N548" s="6" t="inlineStr">
        <is>
          <t>Type I – Tropical Monsoon (PAGASA)</t>
        </is>
      </c>
      <c r="O548" s="6" t="inlineStr">
        <is>
          <t>Wet</t>
        </is>
      </c>
      <c r="P548" s="6" t="inlineStr">
        <is>
          <t>Sandy Loam</t>
        </is>
      </c>
      <c r="Q548" s="6" t="inlineStr">
        <is>
          <t>Flat / Lowland</t>
        </is>
      </c>
      <c r="R548" s="9" t="n">
        <v>30</v>
      </c>
      <c r="S548" s="6" t="inlineStr">
        <is>
          <t>Tagamusing River</t>
        </is>
      </c>
      <c r="T548" s="10" t="n">
        <v>504</v>
      </c>
      <c r="U548" s="10" t="n"/>
      <c r="V548" s="10" t="n"/>
      <c r="W548" s="10" t="n"/>
      <c r="X548" s="10" t="n">
        <v>127.5</v>
      </c>
      <c r="Y548" s="10" t="n">
        <v>744.6</v>
      </c>
      <c r="Z548" s="11" t="n">
        <v>5.84</v>
      </c>
      <c r="AA548" s="12" t="inlineStr">
        <is>
          <t>Transplanting (Pindot) or Direct Seeding (Pinaghandaan)</t>
        </is>
      </c>
      <c r="AB548" s="12" t="inlineStr">
        <is>
          <t>Conventional Tillage: 2 plowings + 2 harrowings; soil workable when moist</t>
        </is>
      </c>
      <c r="AC548" s="12" t="inlineStr">
        <is>
          <t>Intermittent irrigation (Alternate Wetting and Drying — AWD); moderate retention</t>
        </is>
      </c>
    </row>
    <row r="549" ht="21.75" customHeight="1" s="101">
      <c r="A549" s="13" t="inlineStr">
        <is>
          <t>Palay</t>
        </is>
      </c>
      <c r="B549" s="13" t="inlineStr">
        <is>
          <t>San Pablo</t>
        </is>
      </c>
      <c r="C549" s="13" t="inlineStr">
        <is>
          <t>October</t>
        </is>
      </c>
      <c r="D549" s="13" t="inlineStr">
        <is>
          <t>2023</t>
        </is>
      </c>
      <c r="E549" s="13" t="inlineStr">
        <is>
          <t>WS 2023</t>
        </is>
      </c>
      <c r="F549" s="13" t="inlineStr">
        <is>
          <t>Harvest</t>
        </is>
      </c>
      <c r="G549" s="7" t="n">
        <v>6.18</v>
      </c>
      <c r="H549" s="8" t="n">
        <v>26.89</v>
      </c>
      <c r="I549" s="8" t="n">
        <v>21.79</v>
      </c>
      <c r="J549" s="8" t="n">
        <v>32.55</v>
      </c>
      <c r="K549" s="8" t="n">
        <v>84.83</v>
      </c>
      <c r="L549" s="8" t="n">
        <v>98.41</v>
      </c>
      <c r="M549" s="8" t="n">
        <v>17.88</v>
      </c>
      <c r="N549" s="13" t="inlineStr">
        <is>
          <t>Type I – Tropical Monsoon (PAGASA)</t>
        </is>
      </c>
      <c r="O549" s="13" t="inlineStr">
        <is>
          <t>Wet</t>
        </is>
      </c>
      <c r="P549" s="13" t="inlineStr">
        <is>
          <t>Sandy Loam</t>
        </is>
      </c>
      <c r="Q549" s="13" t="inlineStr">
        <is>
          <t>Flat / Lowland</t>
        </is>
      </c>
      <c r="R549" s="14" t="n">
        <v>30</v>
      </c>
      <c r="S549" s="13" t="inlineStr">
        <is>
          <t>San Pablo Creek</t>
        </is>
      </c>
      <c r="T549" s="15" t="n">
        <v>215.04</v>
      </c>
      <c r="U549" s="15" t="n"/>
      <c r="V549" s="15" t="n"/>
      <c r="W549" s="15" t="n"/>
      <c r="X549" s="15" t="n">
        <v>103.5</v>
      </c>
      <c r="Y549" s="15" t="n">
        <v>492.65</v>
      </c>
      <c r="Z549" s="16" t="n">
        <v>4.76</v>
      </c>
      <c r="AA549" s="17" t="inlineStr">
        <is>
          <t>Transplanting (Pindot) or Direct Seeding (Pinaghandaan)</t>
        </is>
      </c>
      <c r="AB549" s="17" t="inlineStr">
        <is>
          <t>Conventional Tillage: 2 plowings + 2 harrowings; soil workable when moist</t>
        </is>
      </c>
      <c r="AC549" s="17" t="inlineStr">
        <is>
          <t>Intermittent irrigation (Alternate Wetting and Drying — AWD); moderate retention</t>
        </is>
      </c>
    </row>
    <row r="550" ht="21.75" customHeight="1" s="101">
      <c r="A550" s="6" t="inlineStr">
        <is>
          <t>Palay</t>
        </is>
      </c>
      <c r="B550" s="6" t="inlineStr">
        <is>
          <t>Santiago</t>
        </is>
      </c>
      <c r="C550" s="6" t="inlineStr">
        <is>
          <t>October</t>
        </is>
      </c>
      <c r="D550" s="6" t="inlineStr">
        <is>
          <t>2023</t>
        </is>
      </c>
      <c r="E550" s="6" t="inlineStr">
        <is>
          <t>WS 2023</t>
        </is>
      </c>
      <c r="F550" s="6" t="inlineStr">
        <is>
          <t>Harvest</t>
        </is>
      </c>
      <c r="G550" s="7" t="n">
        <v>6.18</v>
      </c>
      <c r="H550" s="8" t="n">
        <v>26.89</v>
      </c>
      <c r="I550" s="8" t="n">
        <v>21.79</v>
      </c>
      <c r="J550" s="8" t="n">
        <v>32.55</v>
      </c>
      <c r="K550" s="8" t="n">
        <v>84.83</v>
      </c>
      <c r="L550" s="8" t="n">
        <v>98.41</v>
      </c>
      <c r="M550" s="8" t="n">
        <v>17.88</v>
      </c>
      <c r="N550" s="6" t="inlineStr">
        <is>
          <t>Type I – Tropical Monsoon (PAGASA)</t>
        </is>
      </c>
      <c r="O550" s="6" t="inlineStr">
        <is>
          <t>Wet</t>
        </is>
      </c>
      <c r="P550" s="6" t="inlineStr">
        <is>
          <t>Silty Clay Loam</t>
        </is>
      </c>
      <c r="Q550" s="6" t="inlineStr">
        <is>
          <t>Flat / Lowland</t>
        </is>
      </c>
      <c r="R550" s="9" t="n">
        <v>30</v>
      </c>
      <c r="S550" s="6" t="inlineStr">
        <is>
          <t>—</t>
        </is>
      </c>
      <c r="T550" s="10" t="n">
        <v>283.08</v>
      </c>
      <c r="U550" s="10" t="n"/>
      <c r="V550" s="10" t="n"/>
      <c r="W550" s="10" t="n"/>
      <c r="X550" s="10" t="n">
        <v>103.6</v>
      </c>
      <c r="Y550" s="10" t="n">
        <v>528.0700000000001</v>
      </c>
      <c r="Z550" s="11" t="n">
        <v>5.1</v>
      </c>
      <c r="AA550" s="12" t="inlineStr">
        <is>
          <t>Transplanting (Pindot) — optimal for clay-loam paddy fields</t>
        </is>
      </c>
      <c r="AB550" s="12" t="inlineStr">
        <is>
          <t>Wet Tillage (Puddling): 2 plowings + thorough harrowing under flooded condition</t>
        </is>
      </c>
      <c r="AC550" s="12" t="inlineStr">
        <is>
          <t>Continuous flooding 2–5 cm depth during vegetative stage; drain 2 weeks before harvest</t>
        </is>
      </c>
    </row>
    <row r="551" ht="21.75" customHeight="1" s="101">
      <c r="A551" s="13" t="inlineStr">
        <is>
          <t>Palay</t>
        </is>
      </c>
      <c r="B551" s="13" t="inlineStr">
        <is>
          <t>Sta. Catalina</t>
        </is>
      </c>
      <c r="C551" s="13" t="inlineStr">
        <is>
          <t>October</t>
        </is>
      </c>
      <c r="D551" s="13" t="inlineStr">
        <is>
          <t>2023</t>
        </is>
      </c>
      <c r="E551" s="13" t="inlineStr">
        <is>
          <t>WS 2023</t>
        </is>
      </c>
      <c r="F551" s="13" t="inlineStr">
        <is>
          <t>Harvest</t>
        </is>
      </c>
      <c r="G551" s="7" t="n">
        <v>6.18</v>
      </c>
      <c r="H551" s="8" t="n">
        <v>26.89</v>
      </c>
      <c r="I551" s="8" t="n">
        <v>21.79</v>
      </c>
      <c r="J551" s="8" t="n">
        <v>32.55</v>
      </c>
      <c r="K551" s="8" t="n">
        <v>84.83</v>
      </c>
      <c r="L551" s="8" t="n">
        <v>98.41</v>
      </c>
      <c r="M551" s="8" t="n">
        <v>17.88</v>
      </c>
      <c r="N551" s="13" t="inlineStr">
        <is>
          <t>Type I – Tropical Monsoon (PAGASA)</t>
        </is>
      </c>
      <c r="O551" s="13" t="inlineStr">
        <is>
          <t>Wet</t>
        </is>
      </c>
      <c r="P551" s="13" t="inlineStr">
        <is>
          <t>Fine Sand / Sandy Loam</t>
        </is>
      </c>
      <c r="Q551" s="13" t="inlineStr">
        <is>
          <t>Moderately Sloping / Highland</t>
        </is>
      </c>
      <c r="R551" s="14" t="n">
        <v>90</v>
      </c>
      <c r="S551" s="13" t="inlineStr">
        <is>
          <t>—</t>
        </is>
      </c>
      <c r="T551" s="15" t="n">
        <v>709.8</v>
      </c>
      <c r="U551" s="15" t="n"/>
      <c r="V551" s="15" t="n"/>
      <c r="W551" s="15" t="n"/>
      <c r="X551" s="15" t="n">
        <v>49</v>
      </c>
      <c r="Y551" s="15" t="n">
        <v>237.31</v>
      </c>
      <c r="Z551" s="16" t="n">
        <v>4.84</v>
      </c>
      <c r="AA551" s="17" t="inlineStr">
        <is>
          <t>Transplanting (Pindot)</t>
        </is>
      </c>
      <c r="AB551" s="17" t="inlineStr">
        <is>
          <t>Minimum Tillage (avoid compaction; sandy structure fragile)</t>
        </is>
      </c>
      <c r="AC551" s="17" t="inlineStr">
        <is>
          <t>Continuous flooding or frequent irrigation; high percolation risk; terrace or bund-assisted water retention essential on slopes</t>
        </is>
      </c>
    </row>
    <row r="552" ht="21.75" customHeight="1" s="101">
      <c r="A552" s="6" t="inlineStr">
        <is>
          <t>Palay</t>
        </is>
      </c>
      <c r="B552" s="6" t="inlineStr">
        <is>
          <t>Sta. Maria Norte</t>
        </is>
      </c>
      <c r="C552" s="6" t="inlineStr">
        <is>
          <t>October</t>
        </is>
      </c>
      <c r="D552" s="6" t="inlineStr">
        <is>
          <t>2023</t>
        </is>
      </c>
      <c r="E552" s="6" t="inlineStr">
        <is>
          <t>WS 2023</t>
        </is>
      </c>
      <c r="F552" s="6" t="inlineStr">
        <is>
          <t>Harvest</t>
        </is>
      </c>
      <c r="G552" s="7" t="n">
        <v>6.18</v>
      </c>
      <c r="H552" s="8" t="n">
        <v>26.89</v>
      </c>
      <c r="I552" s="8" t="n">
        <v>21.79</v>
      </c>
      <c r="J552" s="8" t="n">
        <v>32.55</v>
      </c>
      <c r="K552" s="8" t="n">
        <v>84.83</v>
      </c>
      <c r="L552" s="8" t="n">
        <v>98.41</v>
      </c>
      <c r="M552" s="8" t="n">
        <v>17.88</v>
      </c>
      <c r="N552" s="6" t="inlineStr">
        <is>
          <t>Type I – Tropical Monsoon (PAGASA)</t>
        </is>
      </c>
      <c r="O552" s="6" t="inlineStr">
        <is>
          <t>Wet</t>
        </is>
      </c>
      <c r="P552" s="6" t="inlineStr">
        <is>
          <t>Sandy Loam</t>
        </is>
      </c>
      <c r="Q552" s="6" t="inlineStr">
        <is>
          <t>Flat / Lowland</t>
        </is>
      </c>
      <c r="R552" s="9" t="n">
        <v>30</v>
      </c>
      <c r="S552" s="6" t="inlineStr">
        <is>
          <t>Tagamusing River</t>
        </is>
      </c>
      <c r="T552" s="10" t="n">
        <v>157.08</v>
      </c>
      <c r="U552" s="10" t="n"/>
      <c r="V552" s="10" t="n"/>
      <c r="W552" s="10" t="n"/>
      <c r="X552" s="10" t="n">
        <v>24.5</v>
      </c>
      <c r="Y552" s="10" t="n">
        <v>128.17</v>
      </c>
      <c r="Z552" s="11" t="n">
        <v>5.23</v>
      </c>
      <c r="AA552" s="12" t="inlineStr">
        <is>
          <t>Transplanting (Pindot) or Direct Seeding (Pinaghandaan)</t>
        </is>
      </c>
      <c r="AB552" s="12" t="inlineStr">
        <is>
          <t>Conventional Tillage: 2 plowings + 2 harrowings; soil workable when moist</t>
        </is>
      </c>
      <c r="AC552" s="12" t="inlineStr">
        <is>
          <t>Intermittent irrigation (Alternate Wetting and Drying — AWD); moderate retention</t>
        </is>
      </c>
    </row>
    <row r="553" ht="21.75" customHeight="1" s="101">
      <c r="A553" s="13" t="inlineStr">
        <is>
          <t>Palay</t>
        </is>
      </c>
      <c r="B553" s="13" t="inlineStr">
        <is>
          <t>Sumabnit</t>
        </is>
      </c>
      <c r="C553" s="13" t="inlineStr">
        <is>
          <t>October</t>
        </is>
      </c>
      <c r="D553" s="13" t="inlineStr">
        <is>
          <t>2023</t>
        </is>
      </c>
      <c r="E553" s="13" t="inlineStr">
        <is>
          <t>WS 2023</t>
        </is>
      </c>
      <c r="F553" s="13" t="inlineStr">
        <is>
          <t>Harvest</t>
        </is>
      </c>
      <c r="G553" s="7" t="n">
        <v>6.18</v>
      </c>
      <c r="H553" s="8" t="n">
        <v>26.89</v>
      </c>
      <c r="I553" s="8" t="n">
        <v>21.79</v>
      </c>
      <c r="J553" s="8" t="n">
        <v>32.55</v>
      </c>
      <c r="K553" s="8" t="n">
        <v>84.83</v>
      </c>
      <c r="L553" s="8" t="n">
        <v>98.41</v>
      </c>
      <c r="M553" s="8" t="n">
        <v>17.88</v>
      </c>
      <c r="N553" s="13" t="inlineStr">
        <is>
          <t>Type I – Tropical Monsoon (PAGASA)</t>
        </is>
      </c>
      <c r="O553" s="13" t="inlineStr">
        <is>
          <t>Wet</t>
        </is>
      </c>
      <c r="P553" s="13" t="inlineStr">
        <is>
          <t>Silty Clay Loam / Fine Sandy Loam</t>
        </is>
      </c>
      <c r="Q553" s="13" t="inlineStr">
        <is>
          <t>Flat / Lowland</t>
        </is>
      </c>
      <c r="R553" s="14" t="n">
        <v>30</v>
      </c>
      <c r="S553" s="13" t="inlineStr">
        <is>
          <t>Tagamusing River</t>
        </is>
      </c>
      <c r="T553" s="15" t="n">
        <v>406.56</v>
      </c>
      <c r="U553" s="15" t="n"/>
      <c r="V553" s="15" t="n"/>
      <c r="W553" s="15" t="n"/>
      <c r="X553" s="15" t="n">
        <v>133.3</v>
      </c>
      <c r="Y553" s="15" t="n">
        <v>669.95</v>
      </c>
      <c r="Z553" s="16" t="n">
        <v>5.03</v>
      </c>
      <c r="AA553" s="17" t="inlineStr">
        <is>
          <t>Transplanting (Pindot)</t>
        </is>
      </c>
      <c r="AB553" s="17" t="inlineStr">
        <is>
          <t>Minimum Tillage (avoid compaction; sandy structure fragile)</t>
        </is>
      </c>
      <c r="AC553" s="17" t="inlineStr">
        <is>
          <t>Continuous flooding or frequent irrigation; high percolation risk</t>
        </is>
      </c>
    </row>
    <row r="554" ht="21.75" customHeight="1" s="101">
      <c r="A554" s="6" t="inlineStr">
        <is>
          <t>Palay</t>
        </is>
      </c>
      <c r="B554" s="6" t="inlineStr">
        <is>
          <t>Tabuyoc</t>
        </is>
      </c>
      <c r="C554" s="6" t="inlineStr">
        <is>
          <t>October</t>
        </is>
      </c>
      <c r="D554" s="6" t="inlineStr">
        <is>
          <t>2023</t>
        </is>
      </c>
      <c r="E554" s="6" t="inlineStr">
        <is>
          <t>WS 2023</t>
        </is>
      </c>
      <c r="F554" s="6" t="inlineStr">
        <is>
          <t>Harvest</t>
        </is>
      </c>
      <c r="G554" s="7" t="n">
        <v>6.18</v>
      </c>
      <c r="H554" s="8" t="n">
        <v>26.89</v>
      </c>
      <c r="I554" s="8" t="n">
        <v>21.79</v>
      </c>
      <c r="J554" s="8" t="n">
        <v>32.55</v>
      </c>
      <c r="K554" s="8" t="n">
        <v>84.83</v>
      </c>
      <c r="L554" s="8" t="n">
        <v>98.41</v>
      </c>
      <c r="M554" s="8" t="n">
        <v>17.88</v>
      </c>
      <c r="N554" s="6" t="inlineStr">
        <is>
          <t>Type I – Tropical Monsoon (PAGASA)</t>
        </is>
      </c>
      <c r="O554" s="6" t="inlineStr">
        <is>
          <t>Wet</t>
        </is>
      </c>
      <c r="P554" s="6" t="inlineStr">
        <is>
          <t>Silty Clay Loam</t>
        </is>
      </c>
      <c r="Q554" s="6" t="inlineStr">
        <is>
          <t>Flat / Lowland</t>
        </is>
      </c>
      <c r="R554" s="9" t="n">
        <v>30</v>
      </c>
      <c r="S554" s="6" t="inlineStr">
        <is>
          <t>—</t>
        </is>
      </c>
      <c r="T554" s="10" t="n">
        <v>277.2</v>
      </c>
      <c r="U554" s="10" t="n"/>
      <c r="V554" s="10" t="n"/>
      <c r="W554" s="10" t="n"/>
      <c r="X554" s="10" t="n">
        <v>134</v>
      </c>
      <c r="Y554" s="10" t="n">
        <v>691.25</v>
      </c>
      <c r="Z554" s="11" t="n">
        <v>5.16</v>
      </c>
      <c r="AA554" s="12" t="inlineStr">
        <is>
          <t>Transplanting (Pindot) — optimal for clay-loam paddy fields</t>
        </is>
      </c>
      <c r="AB554" s="12" t="inlineStr">
        <is>
          <t>Wet Tillage (Puddling): 2 plowings + thorough harrowing under flooded condition</t>
        </is>
      </c>
      <c r="AC554" s="12" t="inlineStr">
        <is>
          <t>Continuous flooding 2–5 cm depth during vegetative stage; drain 2 weeks before harvest</t>
        </is>
      </c>
    </row>
    <row r="555" ht="21.75" customHeight="1" s="101">
      <c r="A555" s="13" t="inlineStr">
        <is>
          <t>Palay</t>
        </is>
      </c>
      <c r="B555" s="13" t="inlineStr">
        <is>
          <t>Vacante</t>
        </is>
      </c>
      <c r="C555" s="13" t="inlineStr">
        <is>
          <t>October</t>
        </is>
      </c>
      <c r="D555" s="13" t="inlineStr">
        <is>
          <t>2023</t>
        </is>
      </c>
      <c r="E555" s="13" t="inlineStr">
        <is>
          <t>WS 2023</t>
        </is>
      </c>
      <c r="F555" s="13" t="inlineStr">
        <is>
          <t>Harvest</t>
        </is>
      </c>
      <c r="G555" s="7" t="n">
        <v>6.18</v>
      </c>
      <c r="H555" s="8" t="n">
        <v>26.89</v>
      </c>
      <c r="I555" s="8" t="n">
        <v>21.79</v>
      </c>
      <c r="J555" s="8" t="n">
        <v>32.55</v>
      </c>
      <c r="K555" s="8" t="n">
        <v>84.83</v>
      </c>
      <c r="L555" s="8" t="n">
        <v>98.41</v>
      </c>
      <c r="M555" s="8" t="n">
        <v>17.88</v>
      </c>
      <c r="N555" s="13" t="inlineStr">
        <is>
          <t>Type I – Tropical Monsoon (PAGASA)</t>
        </is>
      </c>
      <c r="O555" s="13" t="inlineStr">
        <is>
          <t>Wet</t>
        </is>
      </c>
      <c r="P555" s="13" t="inlineStr">
        <is>
          <t>Silty Clay Loam</t>
        </is>
      </c>
      <c r="Q555" s="13" t="inlineStr">
        <is>
          <t>Flat / Lowland</t>
        </is>
      </c>
      <c r="R555" s="14" t="n">
        <v>30</v>
      </c>
      <c r="S555" s="13" t="inlineStr">
        <is>
          <t>Aloragat River</t>
        </is>
      </c>
      <c r="T555" s="15" t="n">
        <v>484.68</v>
      </c>
      <c r="U555" s="15" t="n"/>
      <c r="V555" s="15" t="n"/>
      <c r="W555" s="15" t="n"/>
      <c r="X555" s="15" t="n">
        <v>28</v>
      </c>
      <c r="Y555" s="15" t="n">
        <v>109.2</v>
      </c>
      <c r="Z555" s="16" t="n">
        <v>3.9</v>
      </c>
      <c r="AA555" s="17" t="inlineStr">
        <is>
          <t>Transplanting (Pindot) — optimal for clay-loam paddy fields</t>
        </is>
      </c>
      <c r="AB555" s="17" t="inlineStr">
        <is>
          <t>Wet Tillage (Puddling): 2 plowings + thorough harrowing under flooded condition</t>
        </is>
      </c>
      <c r="AC555" s="17" t="inlineStr">
        <is>
          <t>Continuous flooding 2–5 cm depth during vegetative stage; drain 2 weeks before harvest</t>
        </is>
      </c>
    </row>
    <row r="556" ht="21.75" customHeight="1" s="101">
      <c r="A556" s="6" t="inlineStr">
        <is>
          <t>Palay</t>
        </is>
      </c>
      <c r="B556" s="6" t="inlineStr">
        <is>
          <t>Pasileng Norte</t>
        </is>
      </c>
      <c r="C556" s="6" t="inlineStr">
        <is>
          <t>January</t>
        </is>
      </c>
      <c r="D556" s="6" t="inlineStr">
        <is>
          <t>2021</t>
        </is>
      </c>
      <c r="E556" s="6" t="inlineStr">
        <is>
          <t>DS 2021</t>
        </is>
      </c>
      <c r="F556" s="6" t="inlineStr">
        <is>
          <t>Planting</t>
        </is>
      </c>
      <c r="G556" s="7" t="n">
        <v>3.08</v>
      </c>
      <c r="H556" s="8" t="n">
        <v>23.98</v>
      </c>
      <c r="I556" s="8" t="n">
        <v>16.07</v>
      </c>
      <c r="J556" s="8" t="n">
        <v>30.79</v>
      </c>
      <c r="K556" s="8" t="n">
        <v>82.79000000000001</v>
      </c>
      <c r="L556" s="8" t="n">
        <v>98.45</v>
      </c>
      <c r="M556" s="8" t="n">
        <v>15.82</v>
      </c>
      <c r="N556" s="6" t="inlineStr">
        <is>
          <t>Type I – Tropical Monsoon (PAGASA)</t>
        </is>
      </c>
      <c r="O556" s="6" t="inlineStr">
        <is>
          <t>Dry (Cool)</t>
        </is>
      </c>
      <c r="P556" s="6" t="inlineStr">
        <is>
          <t>Sandy Loam</t>
        </is>
      </c>
      <c r="Q556" s="6" t="inlineStr">
        <is>
          <t>Flat / Lowland</t>
        </is>
      </c>
      <c r="R556" s="9" t="n">
        <v>30</v>
      </c>
      <c r="S556" s="6" t="inlineStr">
        <is>
          <t>Tagamusing River</t>
        </is>
      </c>
      <c r="T556" s="10" t="n">
        <v>140.28</v>
      </c>
      <c r="U556" s="10" t="n">
        <v>0.6</v>
      </c>
      <c r="V556" s="10" t="n">
        <v>26.4</v>
      </c>
      <c r="W556" s="10" t="n">
        <v>0.6</v>
      </c>
      <c r="X556" s="10" t="n"/>
      <c r="Y556" s="10" t="n"/>
      <c r="Z556" s="11" t="n"/>
      <c r="AA556" s="12" t="inlineStr">
        <is>
          <t>Transplanting (Pindot) or Direct Seeding (Pinaghandaan)</t>
        </is>
      </c>
      <c r="AB556" s="12" t="inlineStr">
        <is>
          <t>Conventional Tillage: 2 plowings + 2 harrowings; soil workable when moist</t>
        </is>
      </c>
      <c r="AC556" s="12" t="inlineStr">
        <is>
          <t>Intermittent irrigation (Alternate Wetting and Drying — AWD); moderate retention</t>
        </is>
      </c>
    </row>
    <row r="557" ht="21.75" customHeight="1" s="101">
      <c r="A557" s="13" t="inlineStr">
        <is>
          <t>Palay</t>
        </is>
      </c>
      <c r="B557" s="13" t="inlineStr">
        <is>
          <t>Tabuyoc</t>
        </is>
      </c>
      <c r="C557" s="13" t="inlineStr">
        <is>
          <t>January</t>
        </is>
      </c>
      <c r="D557" s="13" t="inlineStr">
        <is>
          <t>2021</t>
        </is>
      </c>
      <c r="E557" s="13" t="inlineStr">
        <is>
          <t>DS 2021</t>
        </is>
      </c>
      <c r="F557" s="13" t="inlineStr">
        <is>
          <t>Planting</t>
        </is>
      </c>
      <c r="G557" s="7" t="n">
        <v>3.08</v>
      </c>
      <c r="H557" s="8" t="n">
        <v>23.98</v>
      </c>
      <c r="I557" s="8" t="n">
        <v>16.07</v>
      </c>
      <c r="J557" s="8" t="n">
        <v>30.79</v>
      </c>
      <c r="K557" s="8" t="n">
        <v>82.79000000000001</v>
      </c>
      <c r="L557" s="8" t="n">
        <v>98.45</v>
      </c>
      <c r="M557" s="8" t="n">
        <v>15.82</v>
      </c>
      <c r="N557" s="13" t="inlineStr">
        <is>
          <t>Type I – Tropical Monsoon (PAGASA)</t>
        </is>
      </c>
      <c r="O557" s="13" t="inlineStr">
        <is>
          <t>Dry (Cool)</t>
        </is>
      </c>
      <c r="P557" s="13" t="inlineStr">
        <is>
          <t>Silty Clay Loam</t>
        </is>
      </c>
      <c r="Q557" s="13" t="inlineStr">
        <is>
          <t>Flat / Lowland</t>
        </is>
      </c>
      <c r="R557" s="14" t="n">
        <v>30</v>
      </c>
      <c r="S557" s="13" t="inlineStr">
        <is>
          <t>—</t>
        </is>
      </c>
      <c r="T557" s="15" t="n">
        <v>277.2</v>
      </c>
      <c r="U557" s="15" t="n">
        <v>0.8</v>
      </c>
      <c r="V557" s="15" t="n">
        <v>44.8</v>
      </c>
      <c r="W557" s="15" t="n">
        <v>0.8</v>
      </c>
      <c r="X557" s="15" t="n"/>
      <c r="Y557" s="15" t="n"/>
      <c r="Z557" s="16" t="n"/>
      <c r="AA557" s="17" t="inlineStr">
        <is>
          <t>Transplanting (Pindot) — optimal for clay-loam paddy fields</t>
        </is>
      </c>
      <c r="AB557" s="17" t="inlineStr">
        <is>
          <t>Wet Tillage (Puddling): 2 plowings + thorough harrowing under flooded condition</t>
        </is>
      </c>
      <c r="AC557" s="17" t="inlineStr">
        <is>
          <t>Continuous flooding 2–5 cm depth during vegetative stage; drain 2 weeks before harvest</t>
        </is>
      </c>
    </row>
    <row r="558" ht="21.75" customHeight="1" s="101">
      <c r="A558" s="6" t="inlineStr">
        <is>
          <t>Palay</t>
        </is>
      </c>
      <c r="B558" s="6" t="inlineStr">
        <is>
          <t>Camanggaan</t>
        </is>
      </c>
      <c r="C558" s="6" t="inlineStr">
        <is>
          <t>January</t>
        </is>
      </c>
      <c r="D558" s="6" t="inlineStr">
        <is>
          <t>2021</t>
        </is>
      </c>
      <c r="E558" s="6" t="inlineStr">
        <is>
          <t>DS 2021</t>
        </is>
      </c>
      <c r="F558" s="6" t="inlineStr">
        <is>
          <t>Planting</t>
        </is>
      </c>
      <c r="G558" s="7" t="n">
        <v>3.08</v>
      </c>
      <c r="H558" s="8" t="n">
        <v>23.98</v>
      </c>
      <c r="I558" s="8" t="n">
        <v>16.07</v>
      </c>
      <c r="J558" s="8" t="n">
        <v>30.79</v>
      </c>
      <c r="K558" s="8" t="n">
        <v>82.79000000000001</v>
      </c>
      <c r="L558" s="8" t="n">
        <v>98.45</v>
      </c>
      <c r="M558" s="8" t="n">
        <v>15.82</v>
      </c>
      <c r="N558" s="6" t="inlineStr">
        <is>
          <t>Type I – Tropical Monsoon (PAGASA)</t>
        </is>
      </c>
      <c r="O558" s="6" t="inlineStr">
        <is>
          <t>Dry (Cool)</t>
        </is>
      </c>
      <c r="P558" s="6" t="inlineStr">
        <is>
          <t>Sandy Loam</t>
        </is>
      </c>
      <c r="Q558" s="6" t="inlineStr">
        <is>
          <t>Flat / Lowland</t>
        </is>
      </c>
      <c r="R558" s="9" t="n">
        <v>30</v>
      </c>
      <c r="S558" s="6" t="inlineStr">
        <is>
          <t>—</t>
        </is>
      </c>
      <c r="T558" s="10" t="n">
        <v>244.44</v>
      </c>
      <c r="U558" s="10" t="n">
        <v>2.85</v>
      </c>
      <c r="V558" s="10" t="n">
        <v>101.98</v>
      </c>
      <c r="W558" s="10" t="n">
        <v>2.85</v>
      </c>
      <c r="X558" s="10" t="n"/>
      <c r="Y558" s="10" t="n"/>
      <c r="Z558" s="11" t="n"/>
      <c r="AA558" s="12" t="inlineStr">
        <is>
          <t>Transplanting (Pindot) or Direct Seeding (Pinaghandaan)</t>
        </is>
      </c>
      <c r="AB558" s="12" t="inlineStr">
        <is>
          <t>Conventional Tillage: 2 plowings + 2 harrowings; soil workable when moist</t>
        </is>
      </c>
      <c r="AC558" s="12" t="inlineStr">
        <is>
          <t>Intermittent irrigation (Alternate Wetting and Drying — AWD); moderate retention</t>
        </is>
      </c>
    </row>
    <row r="559" ht="21.75" customHeight="1" s="101">
      <c r="A559" s="13" t="inlineStr">
        <is>
          <t>Palay</t>
        </is>
      </c>
      <c r="B559" s="13" t="inlineStr">
        <is>
          <t>Sta. Catalina</t>
        </is>
      </c>
      <c r="C559" s="13" t="inlineStr">
        <is>
          <t>January</t>
        </is>
      </c>
      <c r="D559" s="13" t="inlineStr">
        <is>
          <t>2021</t>
        </is>
      </c>
      <c r="E559" s="13" t="inlineStr">
        <is>
          <t>DS 2021</t>
        </is>
      </c>
      <c r="F559" s="13" t="inlineStr">
        <is>
          <t>Planting</t>
        </is>
      </c>
      <c r="G559" s="7" t="n">
        <v>3.08</v>
      </c>
      <c r="H559" s="8" t="n">
        <v>23.98</v>
      </c>
      <c r="I559" s="8" t="n">
        <v>16.07</v>
      </c>
      <c r="J559" s="8" t="n">
        <v>30.79</v>
      </c>
      <c r="K559" s="8" t="n">
        <v>82.79000000000001</v>
      </c>
      <c r="L559" s="8" t="n">
        <v>98.45</v>
      </c>
      <c r="M559" s="8" t="n">
        <v>15.82</v>
      </c>
      <c r="N559" s="13" t="inlineStr">
        <is>
          <t>Type I – Tropical Monsoon (PAGASA)</t>
        </is>
      </c>
      <c r="O559" s="13" t="inlineStr">
        <is>
          <t>Dry (Cool)</t>
        </is>
      </c>
      <c r="P559" s="13" t="inlineStr">
        <is>
          <t>Fine Sand / Sandy Loam</t>
        </is>
      </c>
      <c r="Q559" s="13" t="inlineStr">
        <is>
          <t>Moderately Sloping / Highland</t>
        </is>
      </c>
      <c r="R559" s="14" t="n">
        <v>90</v>
      </c>
      <c r="S559" s="13" t="inlineStr">
        <is>
          <t>—</t>
        </is>
      </c>
      <c r="T559" s="15" t="n">
        <v>709.8</v>
      </c>
      <c r="U559" s="15" t="n">
        <v>1.3</v>
      </c>
      <c r="V559" s="15" t="n">
        <v>164</v>
      </c>
      <c r="W559" s="15" t="n">
        <v>1.3</v>
      </c>
      <c r="X559" s="15" t="n"/>
      <c r="Y559" s="15" t="n"/>
      <c r="Z559" s="16" t="n"/>
      <c r="AA559" s="17" t="inlineStr">
        <is>
          <t>Transplanting (Pindot)</t>
        </is>
      </c>
      <c r="AB559" s="17" t="inlineStr">
        <is>
          <t>Minimum Tillage (avoid compaction; sandy structure fragile)</t>
        </is>
      </c>
      <c r="AC559" s="17" t="inlineStr">
        <is>
          <t>Continuous flooding or frequent irrigation; high percolation risk; terrace or bund-assisted water retention essential on slopes</t>
        </is>
      </c>
    </row>
    <row r="560" ht="21.75" customHeight="1" s="101">
      <c r="A560" s="6" t="inlineStr">
        <is>
          <t>Palay</t>
        </is>
      </c>
      <c r="B560" s="6" t="inlineStr">
        <is>
          <t>Sumabnit</t>
        </is>
      </c>
      <c r="C560" s="6" t="inlineStr">
        <is>
          <t>January</t>
        </is>
      </c>
      <c r="D560" s="6" t="inlineStr">
        <is>
          <t>2021</t>
        </is>
      </c>
      <c r="E560" s="6" t="inlineStr">
        <is>
          <t>DS 2021</t>
        </is>
      </c>
      <c r="F560" s="6" t="inlineStr">
        <is>
          <t>Planting</t>
        </is>
      </c>
      <c r="G560" s="7" t="n">
        <v>3.08</v>
      </c>
      <c r="H560" s="8" t="n">
        <v>23.98</v>
      </c>
      <c r="I560" s="8" t="n">
        <v>16.07</v>
      </c>
      <c r="J560" s="8" t="n">
        <v>30.79</v>
      </c>
      <c r="K560" s="8" t="n">
        <v>82.79000000000001</v>
      </c>
      <c r="L560" s="8" t="n">
        <v>98.45</v>
      </c>
      <c r="M560" s="8" t="n">
        <v>15.82</v>
      </c>
      <c r="N560" s="6" t="inlineStr">
        <is>
          <t>Type I – Tropical Monsoon (PAGASA)</t>
        </is>
      </c>
      <c r="O560" s="6" t="inlineStr">
        <is>
          <t>Dry (Cool)</t>
        </is>
      </c>
      <c r="P560" s="6" t="inlineStr">
        <is>
          <t>Silty Clay Loam / Fine Sandy Loam</t>
        </is>
      </c>
      <c r="Q560" s="6" t="inlineStr">
        <is>
          <t>Flat / Lowland</t>
        </is>
      </c>
      <c r="R560" s="9" t="n">
        <v>30</v>
      </c>
      <c r="S560" s="6" t="inlineStr">
        <is>
          <t>Tagamusing River</t>
        </is>
      </c>
      <c r="T560" s="10" t="n">
        <v>406.56</v>
      </c>
      <c r="U560" s="10" t="n">
        <v>0.7</v>
      </c>
      <c r="V560" s="10" t="n">
        <v>116.6</v>
      </c>
      <c r="W560" s="10" t="n">
        <v>0.7</v>
      </c>
      <c r="X560" s="10" t="n"/>
      <c r="Y560" s="10" t="n"/>
      <c r="Z560" s="11" t="n"/>
      <c r="AA560" s="12" t="inlineStr">
        <is>
          <t>Transplanting (Pindot)</t>
        </is>
      </c>
      <c r="AB560" s="12" t="inlineStr">
        <is>
          <t>Minimum Tillage (avoid compaction; sandy structure fragile)</t>
        </is>
      </c>
      <c r="AC560" s="12" t="inlineStr">
        <is>
          <t>Continuous flooding or frequent irrigation; high percolation risk</t>
        </is>
      </c>
    </row>
    <row r="561" ht="21.75" customHeight="1" s="101">
      <c r="A561" s="13" t="inlineStr">
        <is>
          <t>Palay</t>
        </is>
      </c>
      <c r="B561" s="13" t="inlineStr">
        <is>
          <t>Capas</t>
        </is>
      </c>
      <c r="C561" s="13" t="inlineStr">
        <is>
          <t>January</t>
        </is>
      </c>
      <c r="D561" s="13" t="inlineStr">
        <is>
          <t>2021</t>
        </is>
      </c>
      <c r="E561" s="13" t="inlineStr">
        <is>
          <t>DS 2021</t>
        </is>
      </c>
      <c r="F561" s="13" t="inlineStr">
        <is>
          <t>Planting</t>
        </is>
      </c>
      <c r="G561" s="7" t="n">
        <v>3.08</v>
      </c>
      <c r="H561" s="8" t="n">
        <v>23.98</v>
      </c>
      <c r="I561" s="8" t="n">
        <v>16.07</v>
      </c>
      <c r="J561" s="8" t="n">
        <v>30.79</v>
      </c>
      <c r="K561" s="8" t="n">
        <v>82.79000000000001</v>
      </c>
      <c r="L561" s="8" t="n">
        <v>98.45</v>
      </c>
      <c r="M561" s="8" t="n">
        <v>15.82</v>
      </c>
      <c r="N561" s="13" t="inlineStr">
        <is>
          <t>Type I – Tropical Monsoon (PAGASA)</t>
        </is>
      </c>
      <c r="O561" s="13" t="inlineStr">
        <is>
          <t>Dry (Cool)</t>
        </is>
      </c>
      <c r="P561" s="13" t="inlineStr">
        <is>
          <t>Sandy Loam</t>
        </is>
      </c>
      <c r="Q561" s="13" t="inlineStr">
        <is>
          <t>Flat / Lowland</t>
        </is>
      </c>
      <c r="R561" s="14" t="n">
        <v>30</v>
      </c>
      <c r="S561" s="13" t="inlineStr">
        <is>
          <t>—</t>
        </is>
      </c>
      <c r="T561" s="15" t="n">
        <v>377.16</v>
      </c>
      <c r="U561" s="15" t="n">
        <v>3.8</v>
      </c>
      <c r="V561" s="15" t="n">
        <v>154.52</v>
      </c>
      <c r="W561" s="15" t="n">
        <v>3.8</v>
      </c>
      <c r="X561" s="15" t="n"/>
      <c r="Y561" s="15" t="n"/>
      <c r="Z561" s="16" t="n"/>
      <c r="AA561" s="17" t="inlineStr">
        <is>
          <t>Transplanting (Pindot) or Direct Seeding (Pinaghandaan)</t>
        </is>
      </c>
      <c r="AB561" s="17" t="inlineStr">
        <is>
          <t>Conventional Tillage: 2 plowings + 2 harrowings; soil workable when moist</t>
        </is>
      </c>
      <c r="AC561" s="17" t="inlineStr">
        <is>
          <t>Intermittent irrigation (Alternate Wetting and Drying — AWD); moderate retention</t>
        </is>
      </c>
    </row>
    <row r="562" ht="21.75" customHeight="1" s="101">
      <c r="A562" s="6" t="inlineStr">
        <is>
          <t>Palay</t>
        </is>
      </c>
      <c r="B562" s="6" t="inlineStr">
        <is>
          <t>Mangkasuy</t>
        </is>
      </c>
      <c r="C562" s="6" t="inlineStr">
        <is>
          <t>January</t>
        </is>
      </c>
      <c r="D562" s="6" t="inlineStr">
        <is>
          <t>2021</t>
        </is>
      </c>
      <c r="E562" s="6" t="inlineStr">
        <is>
          <t>DS 2021</t>
        </is>
      </c>
      <c r="F562" s="6" t="inlineStr">
        <is>
          <t>Planting</t>
        </is>
      </c>
      <c r="G562" s="7" t="n">
        <v>3.08</v>
      </c>
      <c r="H562" s="8" t="n">
        <v>23.98</v>
      </c>
      <c r="I562" s="8" t="n">
        <v>16.07</v>
      </c>
      <c r="J562" s="8" t="n">
        <v>30.79</v>
      </c>
      <c r="K562" s="8" t="n">
        <v>82.79000000000001</v>
      </c>
      <c r="L562" s="8" t="n">
        <v>98.45</v>
      </c>
      <c r="M562" s="8" t="n">
        <v>15.82</v>
      </c>
      <c r="N562" s="6" t="inlineStr">
        <is>
          <t>Type I – Tropical Monsoon (PAGASA)</t>
        </is>
      </c>
      <c r="O562" s="6" t="inlineStr">
        <is>
          <t>Dry (Cool)</t>
        </is>
      </c>
      <c r="P562" s="6" t="inlineStr">
        <is>
          <t>Sandy Loam</t>
        </is>
      </c>
      <c r="Q562" s="6" t="inlineStr">
        <is>
          <t>Flat / Lowland</t>
        </is>
      </c>
      <c r="R562" s="9" t="n">
        <v>30</v>
      </c>
      <c r="S562" s="6" t="inlineStr">
        <is>
          <t>Tagamusing River</t>
        </is>
      </c>
      <c r="T562" s="10" t="n">
        <v>802.2</v>
      </c>
      <c r="U562" s="10" t="n">
        <v>2.95</v>
      </c>
      <c r="V562" s="10" t="n">
        <v>164</v>
      </c>
      <c r="W562" s="10" t="n">
        <v>2.95</v>
      </c>
      <c r="X562" s="10" t="n"/>
      <c r="Y562" s="10" t="n"/>
      <c r="Z562" s="11" t="n"/>
      <c r="AA562" s="12" t="inlineStr">
        <is>
          <t>Transplanting (Pindot) or Direct Seeding (Pinaghandaan)</t>
        </is>
      </c>
      <c r="AB562" s="12" t="inlineStr">
        <is>
          <t>Conventional Tillage: 2 plowings + 2 harrowings; soil workable when moist</t>
        </is>
      </c>
      <c r="AC562" s="12" t="inlineStr">
        <is>
          <t>Intermittent irrigation (Alternate Wetting and Drying — AWD); moderate retention</t>
        </is>
      </c>
    </row>
    <row r="563" ht="21.75" customHeight="1" s="101">
      <c r="A563" s="13" t="inlineStr">
        <is>
          <t>Palay</t>
        </is>
      </c>
      <c r="B563" s="13" t="inlineStr">
        <is>
          <t>San Pablo</t>
        </is>
      </c>
      <c r="C563" s="13" t="inlineStr">
        <is>
          <t>January</t>
        </is>
      </c>
      <c r="D563" s="13" t="inlineStr">
        <is>
          <t>2021</t>
        </is>
      </c>
      <c r="E563" s="13" t="inlineStr">
        <is>
          <t>DS 2021</t>
        </is>
      </c>
      <c r="F563" s="13" t="inlineStr">
        <is>
          <t>Planting</t>
        </is>
      </c>
      <c r="G563" s="7" t="n">
        <v>3.08</v>
      </c>
      <c r="H563" s="8" t="n">
        <v>23.98</v>
      </c>
      <c r="I563" s="8" t="n">
        <v>16.07</v>
      </c>
      <c r="J563" s="8" t="n">
        <v>30.79</v>
      </c>
      <c r="K563" s="8" t="n">
        <v>82.79000000000001</v>
      </c>
      <c r="L563" s="8" t="n">
        <v>98.45</v>
      </c>
      <c r="M563" s="8" t="n">
        <v>15.82</v>
      </c>
      <c r="N563" s="13" t="inlineStr">
        <is>
          <t>Type I – Tropical Monsoon (PAGASA)</t>
        </is>
      </c>
      <c r="O563" s="13" t="inlineStr">
        <is>
          <t>Dry (Cool)</t>
        </is>
      </c>
      <c r="P563" s="13" t="inlineStr">
        <is>
          <t>Sandy Loam</t>
        </is>
      </c>
      <c r="Q563" s="13" t="inlineStr">
        <is>
          <t>Flat / Lowland</t>
        </is>
      </c>
      <c r="R563" s="14" t="n">
        <v>30</v>
      </c>
      <c r="S563" s="13" t="inlineStr">
        <is>
          <t>San Pablo Creek</t>
        </is>
      </c>
      <c r="T563" s="15" t="n">
        <v>215.04</v>
      </c>
      <c r="U563" s="15" t="n">
        <v>0.1</v>
      </c>
      <c r="V563" s="15" t="n">
        <v>37.8</v>
      </c>
      <c r="W563" s="15" t="n">
        <v>0.1</v>
      </c>
      <c r="X563" s="15" t="n"/>
      <c r="Y563" s="15" t="n"/>
      <c r="Z563" s="16" t="n"/>
      <c r="AA563" s="17" t="inlineStr">
        <is>
          <t>Transplanting (Pindot) or Direct Seeding (Pinaghandaan)</t>
        </is>
      </c>
      <c r="AB563" s="17" t="inlineStr">
        <is>
          <t>Conventional Tillage: 2 plowings + 2 harrowings; soil workable when moist</t>
        </is>
      </c>
      <c r="AC563" s="17" t="inlineStr">
        <is>
          <t>Intermittent irrigation (Alternate Wetting and Drying — AWD); moderate retention</t>
        </is>
      </c>
    </row>
    <row r="564" ht="21.75" customHeight="1" s="101">
      <c r="A564" s="6" t="inlineStr">
        <is>
          <t>Palay</t>
        </is>
      </c>
      <c r="B564" s="6" t="inlineStr">
        <is>
          <t>Balangobong</t>
        </is>
      </c>
      <c r="C564" s="6" t="inlineStr">
        <is>
          <t>January</t>
        </is>
      </c>
      <c r="D564" s="6" t="inlineStr">
        <is>
          <t>2021</t>
        </is>
      </c>
      <c r="E564" s="6" t="inlineStr">
        <is>
          <t>DS 2021</t>
        </is>
      </c>
      <c r="F564" s="6" t="inlineStr">
        <is>
          <t>Planting</t>
        </is>
      </c>
      <c r="G564" s="7" t="n">
        <v>3.08</v>
      </c>
      <c r="H564" s="8" t="n">
        <v>23.98</v>
      </c>
      <c r="I564" s="8" t="n">
        <v>16.07</v>
      </c>
      <c r="J564" s="8" t="n">
        <v>30.79</v>
      </c>
      <c r="K564" s="8" t="n">
        <v>82.79000000000001</v>
      </c>
      <c r="L564" s="8" t="n">
        <v>98.45</v>
      </c>
      <c r="M564" s="8" t="n">
        <v>15.82</v>
      </c>
      <c r="N564" s="6" t="inlineStr">
        <is>
          <t>Type I – Tropical Monsoon (PAGASA)</t>
        </is>
      </c>
      <c r="O564" s="6" t="inlineStr">
        <is>
          <t>Dry (Cool)</t>
        </is>
      </c>
      <c r="P564" s="6" t="inlineStr">
        <is>
          <t>Silty Clay Loam</t>
        </is>
      </c>
      <c r="Q564" s="6" t="inlineStr">
        <is>
          <t>Flat / Lowland</t>
        </is>
      </c>
      <c r="R564" s="9" t="n">
        <v>30</v>
      </c>
      <c r="S564" s="6" t="inlineStr">
        <is>
          <t>—</t>
        </is>
      </c>
      <c r="T564" s="10" t="n">
        <v>281.4</v>
      </c>
      <c r="U564" s="10" t="n">
        <v>1.6</v>
      </c>
      <c r="V564" s="10" t="n">
        <v>26.4</v>
      </c>
      <c r="W564" s="10" t="n">
        <v>1.6</v>
      </c>
      <c r="X564" s="10" t="n"/>
      <c r="Y564" s="10" t="n"/>
      <c r="Z564" s="11" t="n"/>
      <c r="AA564" s="12" t="inlineStr">
        <is>
          <t>Transplanting (Pindot) — optimal for clay-loam paddy fields</t>
        </is>
      </c>
      <c r="AB564" s="12" t="inlineStr">
        <is>
          <t>Wet Tillage (Puddling): 2 plowings + thorough harrowing under flooded condition</t>
        </is>
      </c>
      <c r="AC564" s="12" t="inlineStr">
        <is>
          <t>Continuous flooding 2–5 cm depth during vegetative stage; drain 2 weeks before harvest</t>
        </is>
      </c>
    </row>
    <row r="565" ht="21.75" customHeight="1" s="101">
      <c r="A565" s="13" t="inlineStr">
        <is>
          <t>Palay</t>
        </is>
      </c>
      <c r="B565" s="13" t="inlineStr">
        <is>
          <t>San Felipe Central</t>
        </is>
      </c>
      <c r="C565" s="13" t="inlineStr">
        <is>
          <t>January</t>
        </is>
      </c>
      <c r="D565" s="13" t="inlineStr">
        <is>
          <t>2021</t>
        </is>
      </c>
      <c r="E565" s="13" t="inlineStr">
        <is>
          <t>DS 2021</t>
        </is>
      </c>
      <c r="F565" s="13" t="inlineStr">
        <is>
          <t>Planting</t>
        </is>
      </c>
      <c r="G565" s="7" t="n">
        <v>3.08</v>
      </c>
      <c r="H565" s="8" t="n">
        <v>23.98</v>
      </c>
      <c r="I565" s="8" t="n">
        <v>16.07</v>
      </c>
      <c r="J565" s="8" t="n">
        <v>30.79</v>
      </c>
      <c r="K565" s="8" t="n">
        <v>82.79000000000001</v>
      </c>
      <c r="L565" s="8" t="n">
        <v>98.45</v>
      </c>
      <c r="M565" s="8" t="n">
        <v>15.82</v>
      </c>
      <c r="N565" s="13" t="inlineStr">
        <is>
          <t>Type I – Tropical Monsoon (PAGASA)</t>
        </is>
      </c>
      <c r="O565" s="13" t="inlineStr">
        <is>
          <t>Dry (Cool)</t>
        </is>
      </c>
      <c r="P565" s="13" t="inlineStr">
        <is>
          <t>Sandy Loam</t>
        </is>
      </c>
      <c r="Q565" s="13" t="inlineStr">
        <is>
          <t>Flat / Lowland</t>
        </is>
      </c>
      <c r="R565" s="14" t="n">
        <v>30</v>
      </c>
      <c r="S565" s="13" t="inlineStr">
        <is>
          <t>—</t>
        </is>
      </c>
      <c r="T565" s="15" t="n">
        <v>452.76</v>
      </c>
      <c r="U565" s="15" t="n">
        <v>4.15</v>
      </c>
      <c r="V565" s="15" t="n">
        <v>32.1</v>
      </c>
      <c r="W565" s="15" t="n">
        <v>4.15</v>
      </c>
      <c r="X565" s="15" t="n"/>
      <c r="Y565" s="15" t="n"/>
      <c r="Z565" s="16" t="n"/>
      <c r="AA565" s="17" t="inlineStr">
        <is>
          <t>Transplanting (Pindot) or Direct Seeding (Pinaghandaan)</t>
        </is>
      </c>
      <c r="AB565" s="17" t="inlineStr">
        <is>
          <t>Conventional Tillage: 2 plowings + 2 harrowings; soil workable when moist</t>
        </is>
      </c>
      <c r="AC565" s="17" t="inlineStr">
        <is>
          <t>Intermittent irrigation (Alternate Wetting and Drying — AWD); moderate retention</t>
        </is>
      </c>
    </row>
    <row r="566" ht="21.75" customHeight="1" s="101">
      <c r="A566" s="6" t="inlineStr">
        <is>
          <t>Palay</t>
        </is>
      </c>
      <c r="B566" s="6" t="inlineStr">
        <is>
          <t>San Felipe Sur</t>
        </is>
      </c>
      <c r="C566" s="6" t="inlineStr">
        <is>
          <t>January</t>
        </is>
      </c>
      <c r="D566" s="6" t="inlineStr">
        <is>
          <t>2021</t>
        </is>
      </c>
      <c r="E566" s="6" t="inlineStr">
        <is>
          <t>DS 2021</t>
        </is>
      </c>
      <c r="F566" s="6" t="inlineStr">
        <is>
          <t>Planting</t>
        </is>
      </c>
      <c r="G566" s="7" t="n">
        <v>3.08</v>
      </c>
      <c r="H566" s="8" t="n">
        <v>23.98</v>
      </c>
      <c r="I566" s="8" t="n">
        <v>16.07</v>
      </c>
      <c r="J566" s="8" t="n">
        <v>30.79</v>
      </c>
      <c r="K566" s="8" t="n">
        <v>82.79000000000001</v>
      </c>
      <c r="L566" s="8" t="n">
        <v>98.45</v>
      </c>
      <c r="M566" s="8" t="n">
        <v>15.82</v>
      </c>
      <c r="N566" s="6" t="inlineStr">
        <is>
          <t>Type I – Tropical Monsoon (PAGASA)</t>
        </is>
      </c>
      <c r="O566" s="6" t="inlineStr">
        <is>
          <t>Dry (Cool)</t>
        </is>
      </c>
      <c r="P566" s="6" t="inlineStr">
        <is>
          <t>Sandy Loam</t>
        </is>
      </c>
      <c r="Q566" s="6" t="inlineStr">
        <is>
          <t>Flat / Lowland</t>
        </is>
      </c>
      <c r="R566" s="9" t="n">
        <v>30</v>
      </c>
      <c r="S566" s="6" t="inlineStr">
        <is>
          <t>Tagamusing River</t>
        </is>
      </c>
      <c r="T566" s="10" t="n">
        <v>504</v>
      </c>
      <c r="U566" s="10" t="n">
        <v>3.2</v>
      </c>
      <c r="V566" s="10" t="n">
        <v>32.1</v>
      </c>
      <c r="W566" s="10" t="n">
        <v>3.2</v>
      </c>
      <c r="X566" s="10" t="n"/>
      <c r="Y566" s="10" t="n"/>
      <c r="Z566" s="11" t="n"/>
      <c r="AA566" s="12" t="inlineStr">
        <is>
          <t>Transplanting (Pindot) or Direct Seeding (Pinaghandaan)</t>
        </is>
      </c>
      <c r="AB566" s="12" t="inlineStr">
        <is>
          <t>Conventional Tillage: 2 plowings + 2 harrowings; soil workable when moist</t>
        </is>
      </c>
      <c r="AC566" s="12" t="inlineStr">
        <is>
          <t>Intermittent irrigation (Alternate Wetting and Drying — AWD); moderate retention</t>
        </is>
      </c>
    </row>
    <row r="567" ht="21.75" customHeight="1" s="101">
      <c r="A567" s="13" t="inlineStr">
        <is>
          <t>Palay</t>
        </is>
      </c>
      <c r="B567" s="13" t="inlineStr">
        <is>
          <t>Pasileng Sur</t>
        </is>
      </c>
      <c r="C567" s="13" t="inlineStr">
        <is>
          <t>January</t>
        </is>
      </c>
      <c r="D567" s="13" t="inlineStr">
        <is>
          <t>2021</t>
        </is>
      </c>
      <c r="E567" s="13" t="inlineStr">
        <is>
          <t>DS 2021</t>
        </is>
      </c>
      <c r="F567" s="13" t="inlineStr">
        <is>
          <t>Planting</t>
        </is>
      </c>
      <c r="G567" s="7" t="n">
        <v>3.08</v>
      </c>
      <c r="H567" s="8" t="n">
        <v>23.98</v>
      </c>
      <c r="I567" s="8" t="n">
        <v>16.07</v>
      </c>
      <c r="J567" s="8" t="n">
        <v>30.79</v>
      </c>
      <c r="K567" s="8" t="n">
        <v>82.79000000000001</v>
      </c>
      <c r="L567" s="8" t="n">
        <v>98.45</v>
      </c>
      <c r="M567" s="8" t="n">
        <v>15.82</v>
      </c>
      <c r="N567" s="13" t="inlineStr">
        <is>
          <t>Type I – Tropical Monsoon (PAGASA)</t>
        </is>
      </c>
      <c r="O567" s="13" t="inlineStr">
        <is>
          <t>Dry (Cool)</t>
        </is>
      </c>
      <c r="P567" s="13" t="inlineStr">
        <is>
          <t>Sandy Loam</t>
        </is>
      </c>
      <c r="Q567" s="13" t="inlineStr">
        <is>
          <t>Flat / Lowland</t>
        </is>
      </c>
      <c r="R567" s="14" t="n">
        <v>30</v>
      </c>
      <c r="S567" s="13" t="inlineStr">
        <is>
          <t>Tagamusing River</t>
        </is>
      </c>
      <c r="T567" s="15" t="n">
        <v>414.96</v>
      </c>
      <c r="U567" s="15" t="n">
        <v>1.2</v>
      </c>
      <c r="V567" s="15" t="n">
        <v>26.4</v>
      </c>
      <c r="W567" s="15" t="n">
        <v>1.2</v>
      </c>
      <c r="X567" s="15" t="n"/>
      <c r="Y567" s="15" t="n"/>
      <c r="Z567" s="16" t="n"/>
      <c r="AA567" s="17" t="inlineStr">
        <is>
          <t>Transplanting (Pindot) or Direct Seeding (Pinaghandaan)</t>
        </is>
      </c>
      <c r="AB567" s="17" t="inlineStr">
        <is>
          <t>Conventional Tillage: 2 plowings + 2 harrowings; soil workable when moist</t>
        </is>
      </c>
      <c r="AC567" s="17" t="inlineStr">
        <is>
          <t>Intermittent irrigation (Alternate Wetting and Drying — AWD); moderate retention</t>
        </is>
      </c>
    </row>
    <row r="568" ht="21.75" customHeight="1" s="101">
      <c r="A568" s="6" t="inlineStr">
        <is>
          <t>Palay</t>
        </is>
      </c>
      <c r="B568" s="6" t="inlineStr">
        <is>
          <t>Bugayong</t>
        </is>
      </c>
      <c r="C568" s="6" t="inlineStr">
        <is>
          <t>January</t>
        </is>
      </c>
      <c r="D568" s="6" t="inlineStr">
        <is>
          <t>2021</t>
        </is>
      </c>
      <c r="E568" s="6" t="inlineStr">
        <is>
          <t>DS 2021</t>
        </is>
      </c>
      <c r="F568" s="6" t="inlineStr">
        <is>
          <t>Planting</t>
        </is>
      </c>
      <c r="G568" s="7" t="n">
        <v>3.08</v>
      </c>
      <c r="H568" s="8" t="n">
        <v>23.98</v>
      </c>
      <c r="I568" s="8" t="n">
        <v>16.07</v>
      </c>
      <c r="J568" s="8" t="n">
        <v>30.79</v>
      </c>
      <c r="K568" s="8" t="n">
        <v>82.79000000000001</v>
      </c>
      <c r="L568" s="8" t="n">
        <v>98.45</v>
      </c>
      <c r="M568" s="8" t="n">
        <v>15.82</v>
      </c>
      <c r="N568" s="6" t="inlineStr">
        <is>
          <t>Type I – Tropical Monsoon (PAGASA)</t>
        </is>
      </c>
      <c r="O568" s="6" t="inlineStr">
        <is>
          <t>Dry (Cool)</t>
        </is>
      </c>
      <c r="P568" s="6" t="inlineStr">
        <is>
          <t>Sandy Loam / Silty Clay Loam</t>
        </is>
      </c>
      <c r="Q568" s="6" t="inlineStr">
        <is>
          <t>Flat / Lowland</t>
        </is>
      </c>
      <c r="R568" s="9" t="n">
        <v>30</v>
      </c>
      <c r="S568" s="6" t="inlineStr">
        <is>
          <t>Aloragat River</t>
        </is>
      </c>
      <c r="T568" s="10" t="n">
        <v>346.08</v>
      </c>
      <c r="U568" s="10" t="n">
        <v>1</v>
      </c>
      <c r="V568" s="10" t="n">
        <v>37.8</v>
      </c>
      <c r="W568" s="10" t="n">
        <v>1</v>
      </c>
      <c r="X568" s="10" t="n"/>
      <c r="Y568" s="10" t="n"/>
      <c r="Z568" s="11" t="n"/>
      <c r="AA568" s="12" t="inlineStr">
        <is>
          <t>Transplanting (Pindot) — recommended; Direct Seeding possible in dry season</t>
        </is>
      </c>
      <c r="AB568" s="12" t="inlineStr">
        <is>
          <t>Conventional Tillage: 2 plowings + harrowing; puddle thoroughly for transplanting</t>
        </is>
      </c>
      <c r="AC568" s="12" t="inlineStr">
        <is>
          <t>Intermittent to continuous flooding; manage according to drainage section present</t>
        </is>
      </c>
    </row>
    <row r="569" ht="21.75" customHeight="1" s="101">
      <c r="A569" s="13" t="inlineStr">
        <is>
          <t>Palay</t>
        </is>
      </c>
      <c r="B569" s="13" t="inlineStr">
        <is>
          <t>Santiago</t>
        </is>
      </c>
      <c r="C569" s="13" t="inlineStr">
        <is>
          <t>January</t>
        </is>
      </c>
      <c r="D569" s="13" t="inlineStr">
        <is>
          <t>2021</t>
        </is>
      </c>
      <c r="E569" s="13" t="inlineStr">
        <is>
          <t>DS 2021</t>
        </is>
      </c>
      <c r="F569" s="13" t="inlineStr">
        <is>
          <t>Planting</t>
        </is>
      </c>
      <c r="G569" s="7" t="n">
        <v>3.08</v>
      </c>
      <c r="H569" s="8" t="n">
        <v>23.98</v>
      </c>
      <c r="I569" s="8" t="n">
        <v>16.07</v>
      </c>
      <c r="J569" s="8" t="n">
        <v>30.79</v>
      </c>
      <c r="K569" s="8" t="n">
        <v>82.79000000000001</v>
      </c>
      <c r="L569" s="8" t="n">
        <v>98.45</v>
      </c>
      <c r="M569" s="8" t="n">
        <v>15.82</v>
      </c>
      <c r="N569" s="13" t="inlineStr">
        <is>
          <t>Type I – Tropical Monsoon (PAGASA)</t>
        </is>
      </c>
      <c r="O569" s="13" t="inlineStr">
        <is>
          <t>Dry (Cool)</t>
        </is>
      </c>
      <c r="P569" s="13" t="inlineStr">
        <is>
          <t>Silty Clay Loam</t>
        </is>
      </c>
      <c r="Q569" s="13" t="inlineStr">
        <is>
          <t>Flat / Lowland</t>
        </is>
      </c>
      <c r="R569" s="14" t="n">
        <v>30</v>
      </c>
      <c r="S569" s="13" t="inlineStr">
        <is>
          <t>—</t>
        </is>
      </c>
      <c r="T569" s="15" t="n">
        <v>283.08</v>
      </c>
      <c r="U569" s="15" t="n">
        <v>1.5</v>
      </c>
      <c r="V569" s="15" t="n">
        <v>94.92</v>
      </c>
      <c r="W569" s="15" t="n">
        <v>1.5</v>
      </c>
      <c r="X569" s="15" t="n"/>
      <c r="Y569" s="15" t="n"/>
      <c r="Z569" s="16" t="n"/>
      <c r="AA569" s="17" t="inlineStr">
        <is>
          <t>Transplanting (Pindot) — optimal for clay-loam paddy fields</t>
        </is>
      </c>
      <c r="AB569" s="17" t="inlineStr">
        <is>
          <t>Wet Tillage (Puddling): 2 plowings + thorough harrowing under flooded condition</t>
        </is>
      </c>
      <c r="AC569" s="17" t="inlineStr">
        <is>
          <t>Continuous flooding 2–5 cm depth during vegetative stage; drain 2 weeks before harvest</t>
        </is>
      </c>
    </row>
    <row r="570" ht="21.75" customHeight="1" s="101">
      <c r="A570" s="6" t="inlineStr">
        <is>
          <t>Palay</t>
        </is>
      </c>
      <c r="B570" s="6" t="inlineStr">
        <is>
          <t>Pasileng Norte</t>
        </is>
      </c>
      <c r="C570" s="6" t="inlineStr">
        <is>
          <t>May</t>
        </is>
      </c>
      <c r="D570" s="6" t="inlineStr">
        <is>
          <t>2021</t>
        </is>
      </c>
      <c r="E570" s="6" t="inlineStr">
        <is>
          <t>DS 2021</t>
        </is>
      </c>
      <c r="F570" s="6" t="inlineStr">
        <is>
          <t>Harvest</t>
        </is>
      </c>
      <c r="G570" s="7" t="n">
        <v>9.140000000000001</v>
      </c>
      <c r="H570" s="8" t="n">
        <v>27.33</v>
      </c>
      <c r="I570" s="8" t="n">
        <v>22.66</v>
      </c>
      <c r="J570" s="8" t="n">
        <v>35.01</v>
      </c>
      <c r="K570" s="8" t="n">
        <v>80.26000000000001</v>
      </c>
      <c r="L570" s="8" t="n">
        <v>98.27</v>
      </c>
      <c r="M570" s="8" t="n">
        <v>20.46</v>
      </c>
      <c r="N570" s="6" t="inlineStr">
        <is>
          <t>Type I – Tropical Monsoon (PAGASA)</t>
        </is>
      </c>
      <c r="O570" s="6" t="inlineStr">
        <is>
          <t>Wet</t>
        </is>
      </c>
      <c r="P570" s="6" t="inlineStr">
        <is>
          <t>Sandy Loam</t>
        </is>
      </c>
      <c r="Q570" s="6" t="inlineStr">
        <is>
          <t>Flat / Lowland</t>
        </is>
      </c>
      <c r="R570" s="9" t="n">
        <v>30</v>
      </c>
      <c r="S570" s="6" t="inlineStr">
        <is>
          <t>Tagamusing River</t>
        </is>
      </c>
      <c r="T570" s="10" t="n">
        <v>140.28</v>
      </c>
      <c r="U570" s="10" t="n"/>
      <c r="V570" s="10" t="n"/>
      <c r="W570" s="10" t="n"/>
      <c r="X570" s="10" t="n">
        <v>0.6</v>
      </c>
      <c r="Y570" s="10" t="n">
        <v>3.06</v>
      </c>
      <c r="Z570" s="11" t="n">
        <v>5.1</v>
      </c>
      <c r="AA570" s="12" t="inlineStr">
        <is>
          <t>Transplanting (Pindot) or Direct Seeding (Pinaghandaan)</t>
        </is>
      </c>
      <c r="AB570" s="12" t="inlineStr">
        <is>
          <t>Conventional Tillage: 2 plowings + 2 harrowings; soil workable when moist</t>
        </is>
      </c>
      <c r="AC570" s="12" t="inlineStr">
        <is>
          <t>Intermittent irrigation (Alternate Wetting and Drying — AWD); moderate retention</t>
        </is>
      </c>
    </row>
    <row r="571" ht="21.75" customHeight="1" s="101">
      <c r="A571" s="13" t="inlineStr">
        <is>
          <t>Palay</t>
        </is>
      </c>
      <c r="B571" s="13" t="inlineStr">
        <is>
          <t>Tabuyoc</t>
        </is>
      </c>
      <c r="C571" s="13" t="inlineStr">
        <is>
          <t>May</t>
        </is>
      </c>
      <c r="D571" s="13" t="inlineStr">
        <is>
          <t>2021</t>
        </is>
      </c>
      <c r="E571" s="13" t="inlineStr">
        <is>
          <t>DS 2021</t>
        </is>
      </c>
      <c r="F571" s="13" t="inlineStr">
        <is>
          <t>Harvest</t>
        </is>
      </c>
      <c r="G571" s="7" t="n">
        <v>9.140000000000001</v>
      </c>
      <c r="H571" s="8" t="n">
        <v>27.33</v>
      </c>
      <c r="I571" s="8" t="n">
        <v>22.66</v>
      </c>
      <c r="J571" s="8" t="n">
        <v>35.01</v>
      </c>
      <c r="K571" s="8" t="n">
        <v>80.26000000000001</v>
      </c>
      <c r="L571" s="8" t="n">
        <v>98.27</v>
      </c>
      <c r="M571" s="8" t="n">
        <v>20.46</v>
      </c>
      <c r="N571" s="13" t="inlineStr">
        <is>
          <t>Type I – Tropical Monsoon (PAGASA)</t>
        </is>
      </c>
      <c r="O571" s="13" t="inlineStr">
        <is>
          <t>Wet</t>
        </is>
      </c>
      <c r="P571" s="13" t="inlineStr">
        <is>
          <t>Silty Clay Loam</t>
        </is>
      </c>
      <c r="Q571" s="13" t="inlineStr">
        <is>
          <t>Flat / Lowland</t>
        </is>
      </c>
      <c r="R571" s="14" t="n">
        <v>30</v>
      </c>
      <c r="S571" s="13" t="inlineStr">
        <is>
          <t>—</t>
        </is>
      </c>
      <c r="T571" s="15" t="n">
        <v>277.2</v>
      </c>
      <c r="U571" s="15" t="n"/>
      <c r="V571" s="15" t="n"/>
      <c r="W571" s="15" t="n"/>
      <c r="X571" s="15" t="n">
        <v>0.8</v>
      </c>
      <c r="Y571" s="15" t="n">
        <v>3.66</v>
      </c>
      <c r="Z571" s="16" t="n">
        <v>4.58</v>
      </c>
      <c r="AA571" s="17" t="inlineStr">
        <is>
          <t>Transplanting (Pindot) — optimal for clay-loam paddy fields</t>
        </is>
      </c>
      <c r="AB571" s="17" t="inlineStr">
        <is>
          <t>Wet Tillage (Puddling): 2 plowings + thorough harrowing under flooded condition</t>
        </is>
      </c>
      <c r="AC571" s="17" t="inlineStr">
        <is>
          <t>Continuous flooding 2–5 cm depth during vegetative stage; drain 2 weeks before harvest</t>
        </is>
      </c>
    </row>
    <row r="572" ht="21.75" customHeight="1" s="101">
      <c r="A572" s="6" t="inlineStr">
        <is>
          <t>Palay</t>
        </is>
      </c>
      <c r="B572" s="6" t="inlineStr">
        <is>
          <t>Camanggaan</t>
        </is>
      </c>
      <c r="C572" s="6" t="inlineStr">
        <is>
          <t>May</t>
        </is>
      </c>
      <c r="D572" s="6" t="inlineStr">
        <is>
          <t>2021</t>
        </is>
      </c>
      <c r="E572" s="6" t="inlineStr">
        <is>
          <t>DS 2021</t>
        </is>
      </c>
      <c r="F572" s="6" t="inlineStr">
        <is>
          <t>Harvest</t>
        </is>
      </c>
      <c r="G572" s="7" t="n">
        <v>9.140000000000001</v>
      </c>
      <c r="H572" s="8" t="n">
        <v>27.33</v>
      </c>
      <c r="I572" s="8" t="n">
        <v>22.66</v>
      </c>
      <c r="J572" s="8" t="n">
        <v>35.01</v>
      </c>
      <c r="K572" s="8" t="n">
        <v>80.26000000000001</v>
      </c>
      <c r="L572" s="8" t="n">
        <v>98.27</v>
      </c>
      <c r="M572" s="8" t="n">
        <v>20.46</v>
      </c>
      <c r="N572" s="6" t="inlineStr">
        <is>
          <t>Type I – Tropical Monsoon (PAGASA)</t>
        </is>
      </c>
      <c r="O572" s="6" t="inlineStr">
        <is>
          <t>Wet</t>
        </is>
      </c>
      <c r="P572" s="6" t="inlineStr">
        <is>
          <t>Sandy Loam</t>
        </is>
      </c>
      <c r="Q572" s="6" t="inlineStr">
        <is>
          <t>Flat / Lowland</t>
        </is>
      </c>
      <c r="R572" s="9" t="n">
        <v>30</v>
      </c>
      <c r="S572" s="6" t="inlineStr">
        <is>
          <t>—</t>
        </is>
      </c>
      <c r="T572" s="10" t="n">
        <v>244.44</v>
      </c>
      <c r="U572" s="10" t="n"/>
      <c r="V572" s="10" t="n"/>
      <c r="W572" s="10" t="n"/>
      <c r="X572" s="10" t="n">
        <v>2.85</v>
      </c>
      <c r="Y572" s="10" t="n">
        <v>16.13</v>
      </c>
      <c r="Z572" s="11" t="n">
        <v>5.66</v>
      </c>
      <c r="AA572" s="12" t="inlineStr">
        <is>
          <t>Transplanting (Pindot) or Direct Seeding (Pinaghandaan)</t>
        </is>
      </c>
      <c r="AB572" s="12" t="inlineStr">
        <is>
          <t>Conventional Tillage: 2 plowings + 2 harrowings; soil workable when moist</t>
        </is>
      </c>
      <c r="AC572" s="12" t="inlineStr">
        <is>
          <t>Intermittent irrigation (Alternate Wetting and Drying — AWD); moderate retention</t>
        </is>
      </c>
    </row>
    <row r="573" ht="21.75" customHeight="1" s="101">
      <c r="A573" s="13" t="inlineStr">
        <is>
          <t>Palay</t>
        </is>
      </c>
      <c r="B573" s="13" t="inlineStr">
        <is>
          <t>Sta. Catalina</t>
        </is>
      </c>
      <c r="C573" s="13" t="inlineStr">
        <is>
          <t>May</t>
        </is>
      </c>
      <c r="D573" s="13" t="inlineStr">
        <is>
          <t>2021</t>
        </is>
      </c>
      <c r="E573" s="13" t="inlineStr">
        <is>
          <t>DS 2021</t>
        </is>
      </c>
      <c r="F573" s="13" t="inlineStr">
        <is>
          <t>Harvest</t>
        </is>
      </c>
      <c r="G573" s="7" t="n">
        <v>9.140000000000001</v>
      </c>
      <c r="H573" s="8" t="n">
        <v>27.33</v>
      </c>
      <c r="I573" s="8" t="n">
        <v>22.66</v>
      </c>
      <c r="J573" s="8" t="n">
        <v>35.01</v>
      </c>
      <c r="K573" s="8" t="n">
        <v>80.26000000000001</v>
      </c>
      <c r="L573" s="8" t="n">
        <v>98.27</v>
      </c>
      <c r="M573" s="8" t="n">
        <v>20.46</v>
      </c>
      <c r="N573" s="13" t="inlineStr">
        <is>
          <t>Type I – Tropical Monsoon (PAGASA)</t>
        </is>
      </c>
      <c r="O573" s="13" t="inlineStr">
        <is>
          <t>Wet</t>
        </is>
      </c>
      <c r="P573" s="13" t="inlineStr">
        <is>
          <t>Fine Sand / Sandy Loam</t>
        </is>
      </c>
      <c r="Q573" s="13" t="inlineStr">
        <is>
          <t>Moderately Sloping / Highland</t>
        </is>
      </c>
      <c r="R573" s="14" t="n">
        <v>90</v>
      </c>
      <c r="S573" s="13" t="inlineStr">
        <is>
          <t>—</t>
        </is>
      </c>
      <c r="T573" s="15" t="n">
        <v>709.8</v>
      </c>
      <c r="U573" s="15" t="n"/>
      <c r="V573" s="15" t="n"/>
      <c r="W573" s="15" t="n"/>
      <c r="X573" s="15" t="n">
        <v>1.3</v>
      </c>
      <c r="Y573" s="15" t="n">
        <v>6.4</v>
      </c>
      <c r="Z573" s="16" t="n">
        <v>4.92</v>
      </c>
      <c r="AA573" s="17" t="inlineStr">
        <is>
          <t>Transplanting (Pindot)</t>
        </is>
      </c>
      <c r="AB573" s="17" t="inlineStr">
        <is>
          <t>Minimum Tillage (avoid compaction; sandy structure fragile)</t>
        </is>
      </c>
      <c r="AC573" s="17" t="inlineStr">
        <is>
          <t>Continuous flooding or frequent irrigation; high percolation risk; terrace or bund-assisted water retention essential on slopes</t>
        </is>
      </c>
    </row>
    <row r="574" ht="21.75" customHeight="1" s="101">
      <c r="A574" s="6" t="inlineStr">
        <is>
          <t>Palay</t>
        </is>
      </c>
      <c r="B574" s="6" t="inlineStr">
        <is>
          <t>Sumabnit</t>
        </is>
      </c>
      <c r="C574" s="6" t="inlineStr">
        <is>
          <t>May</t>
        </is>
      </c>
      <c r="D574" s="6" t="inlineStr">
        <is>
          <t>2021</t>
        </is>
      </c>
      <c r="E574" s="6" t="inlineStr">
        <is>
          <t>DS 2021</t>
        </is>
      </c>
      <c r="F574" s="6" t="inlineStr">
        <is>
          <t>Harvest</t>
        </is>
      </c>
      <c r="G574" s="7" t="n">
        <v>9.140000000000001</v>
      </c>
      <c r="H574" s="8" t="n">
        <v>27.33</v>
      </c>
      <c r="I574" s="8" t="n">
        <v>22.66</v>
      </c>
      <c r="J574" s="8" t="n">
        <v>35.01</v>
      </c>
      <c r="K574" s="8" t="n">
        <v>80.26000000000001</v>
      </c>
      <c r="L574" s="8" t="n">
        <v>98.27</v>
      </c>
      <c r="M574" s="8" t="n">
        <v>20.46</v>
      </c>
      <c r="N574" s="6" t="inlineStr">
        <is>
          <t>Type I – Tropical Monsoon (PAGASA)</t>
        </is>
      </c>
      <c r="O574" s="6" t="inlineStr">
        <is>
          <t>Wet</t>
        </is>
      </c>
      <c r="P574" s="6" t="inlineStr">
        <is>
          <t>Silty Clay Loam / Fine Sandy Loam</t>
        </is>
      </c>
      <c r="Q574" s="6" t="inlineStr">
        <is>
          <t>Flat / Lowland</t>
        </is>
      </c>
      <c r="R574" s="9" t="n">
        <v>30</v>
      </c>
      <c r="S574" s="6" t="inlineStr">
        <is>
          <t>Tagamusing River</t>
        </is>
      </c>
      <c r="T574" s="10" t="n">
        <v>406.56</v>
      </c>
      <c r="U574" s="10" t="n"/>
      <c r="V574" s="10" t="n"/>
      <c r="W574" s="10" t="n"/>
      <c r="X574" s="10" t="n">
        <v>0.7</v>
      </c>
      <c r="Y574" s="10" t="n">
        <v>3.66</v>
      </c>
      <c r="Z574" s="11" t="n">
        <v>5.23</v>
      </c>
      <c r="AA574" s="12" t="inlineStr">
        <is>
          <t>Transplanting (Pindot)</t>
        </is>
      </c>
      <c r="AB574" s="12" t="inlineStr">
        <is>
          <t>Minimum Tillage (avoid compaction; sandy structure fragile)</t>
        </is>
      </c>
      <c r="AC574" s="12" t="inlineStr">
        <is>
          <t>Continuous flooding or frequent irrigation; high percolation risk</t>
        </is>
      </c>
    </row>
    <row r="575" ht="21.75" customHeight="1" s="101">
      <c r="A575" s="13" t="inlineStr">
        <is>
          <t>Palay</t>
        </is>
      </c>
      <c r="B575" s="13" t="inlineStr">
        <is>
          <t>Capas</t>
        </is>
      </c>
      <c r="C575" s="13" t="inlineStr">
        <is>
          <t>May</t>
        </is>
      </c>
      <c r="D575" s="13" t="inlineStr">
        <is>
          <t>2021</t>
        </is>
      </c>
      <c r="E575" s="13" t="inlineStr">
        <is>
          <t>DS 2021</t>
        </is>
      </c>
      <c r="F575" s="13" t="inlineStr">
        <is>
          <t>Harvest</t>
        </is>
      </c>
      <c r="G575" s="7" t="n">
        <v>9.140000000000001</v>
      </c>
      <c r="H575" s="8" t="n">
        <v>27.33</v>
      </c>
      <c r="I575" s="8" t="n">
        <v>22.66</v>
      </c>
      <c r="J575" s="8" t="n">
        <v>35.01</v>
      </c>
      <c r="K575" s="8" t="n">
        <v>80.26000000000001</v>
      </c>
      <c r="L575" s="8" t="n">
        <v>98.27</v>
      </c>
      <c r="M575" s="8" t="n">
        <v>20.46</v>
      </c>
      <c r="N575" s="13" t="inlineStr">
        <is>
          <t>Type I – Tropical Monsoon (PAGASA)</t>
        </is>
      </c>
      <c r="O575" s="13" t="inlineStr">
        <is>
          <t>Wet</t>
        </is>
      </c>
      <c r="P575" s="13" t="inlineStr">
        <is>
          <t>Sandy Loam</t>
        </is>
      </c>
      <c r="Q575" s="13" t="inlineStr">
        <is>
          <t>Flat / Lowland</t>
        </is>
      </c>
      <c r="R575" s="14" t="n">
        <v>30</v>
      </c>
      <c r="S575" s="13" t="inlineStr">
        <is>
          <t>—</t>
        </is>
      </c>
      <c r="T575" s="15" t="n">
        <v>377.16</v>
      </c>
      <c r="U575" s="15" t="n"/>
      <c r="V575" s="15" t="n"/>
      <c r="W575" s="15" t="n"/>
      <c r="X575" s="15" t="n">
        <v>3.8</v>
      </c>
      <c r="Y575" s="15" t="n">
        <v>19.77</v>
      </c>
      <c r="Z575" s="16" t="n">
        <v>5.2</v>
      </c>
      <c r="AA575" s="17" t="inlineStr">
        <is>
          <t>Transplanting (Pindot) or Direct Seeding (Pinaghandaan)</t>
        </is>
      </c>
      <c r="AB575" s="17" t="inlineStr">
        <is>
          <t>Conventional Tillage: 2 plowings + 2 harrowings; soil workable when moist</t>
        </is>
      </c>
      <c r="AC575" s="17" t="inlineStr">
        <is>
          <t>Intermittent irrigation (Alternate Wetting and Drying — AWD); moderate retention</t>
        </is>
      </c>
    </row>
    <row r="576" ht="21.75" customHeight="1" s="101">
      <c r="A576" s="6" t="inlineStr">
        <is>
          <t>Palay</t>
        </is>
      </c>
      <c r="B576" s="6" t="inlineStr">
        <is>
          <t>Mangkasuy</t>
        </is>
      </c>
      <c r="C576" s="6" t="inlineStr">
        <is>
          <t>May</t>
        </is>
      </c>
      <c r="D576" s="6" t="inlineStr">
        <is>
          <t>2021</t>
        </is>
      </c>
      <c r="E576" s="6" t="inlineStr">
        <is>
          <t>DS 2021</t>
        </is>
      </c>
      <c r="F576" s="6" t="inlineStr">
        <is>
          <t>Harvest</t>
        </is>
      </c>
      <c r="G576" s="7" t="n">
        <v>9.140000000000001</v>
      </c>
      <c r="H576" s="8" t="n">
        <v>27.33</v>
      </c>
      <c r="I576" s="8" t="n">
        <v>22.66</v>
      </c>
      <c r="J576" s="8" t="n">
        <v>35.01</v>
      </c>
      <c r="K576" s="8" t="n">
        <v>80.26000000000001</v>
      </c>
      <c r="L576" s="8" t="n">
        <v>98.27</v>
      </c>
      <c r="M576" s="8" t="n">
        <v>20.46</v>
      </c>
      <c r="N576" s="6" t="inlineStr">
        <is>
          <t>Type I – Tropical Monsoon (PAGASA)</t>
        </is>
      </c>
      <c r="O576" s="6" t="inlineStr">
        <is>
          <t>Wet</t>
        </is>
      </c>
      <c r="P576" s="6" t="inlineStr">
        <is>
          <t>Sandy Loam</t>
        </is>
      </c>
      <c r="Q576" s="6" t="inlineStr">
        <is>
          <t>Flat / Lowland</t>
        </is>
      </c>
      <c r="R576" s="9" t="n">
        <v>30</v>
      </c>
      <c r="S576" s="6" t="inlineStr">
        <is>
          <t>Tagamusing River</t>
        </is>
      </c>
      <c r="T576" s="10" t="n">
        <v>802.2</v>
      </c>
      <c r="U576" s="10" t="n"/>
      <c r="V576" s="10" t="n"/>
      <c r="W576" s="10" t="n"/>
      <c r="X576" s="10" t="n">
        <v>2.95</v>
      </c>
      <c r="Y576" s="10" t="n">
        <v>19.38</v>
      </c>
      <c r="Z576" s="11" t="n">
        <v>6.57</v>
      </c>
      <c r="AA576" s="12" t="inlineStr">
        <is>
          <t>Transplanting (Pindot) or Direct Seeding (Pinaghandaan)</t>
        </is>
      </c>
      <c r="AB576" s="12" t="inlineStr">
        <is>
          <t>Conventional Tillage: 2 plowings + 2 harrowings; soil workable when moist</t>
        </is>
      </c>
      <c r="AC576" s="12" t="inlineStr">
        <is>
          <t>Intermittent irrigation (Alternate Wetting and Drying — AWD); moderate retention</t>
        </is>
      </c>
    </row>
    <row r="577" ht="21.75" customHeight="1" s="101">
      <c r="A577" s="13" t="inlineStr">
        <is>
          <t>Palay</t>
        </is>
      </c>
      <c r="B577" s="13" t="inlineStr">
        <is>
          <t>San Pablo</t>
        </is>
      </c>
      <c r="C577" s="13" t="inlineStr">
        <is>
          <t>May</t>
        </is>
      </c>
      <c r="D577" s="13" t="inlineStr">
        <is>
          <t>2021</t>
        </is>
      </c>
      <c r="E577" s="13" t="inlineStr">
        <is>
          <t>DS 2021</t>
        </is>
      </c>
      <c r="F577" s="13" t="inlineStr">
        <is>
          <t>Harvest</t>
        </is>
      </c>
      <c r="G577" s="7" t="n">
        <v>9.140000000000001</v>
      </c>
      <c r="H577" s="8" t="n">
        <v>27.33</v>
      </c>
      <c r="I577" s="8" t="n">
        <v>22.66</v>
      </c>
      <c r="J577" s="8" t="n">
        <v>35.01</v>
      </c>
      <c r="K577" s="8" t="n">
        <v>80.26000000000001</v>
      </c>
      <c r="L577" s="8" t="n">
        <v>98.27</v>
      </c>
      <c r="M577" s="8" t="n">
        <v>20.46</v>
      </c>
      <c r="N577" s="13" t="inlineStr">
        <is>
          <t>Type I – Tropical Monsoon (PAGASA)</t>
        </is>
      </c>
      <c r="O577" s="13" t="inlineStr">
        <is>
          <t>Wet</t>
        </is>
      </c>
      <c r="P577" s="13" t="inlineStr">
        <is>
          <t>Sandy Loam</t>
        </is>
      </c>
      <c r="Q577" s="13" t="inlineStr">
        <is>
          <t>Flat / Lowland</t>
        </is>
      </c>
      <c r="R577" s="14" t="n">
        <v>30</v>
      </c>
      <c r="S577" s="13" t="inlineStr">
        <is>
          <t>San Pablo Creek</t>
        </is>
      </c>
      <c r="T577" s="15" t="n">
        <v>215.04</v>
      </c>
      <c r="U577" s="15" t="n"/>
      <c r="V577" s="15" t="n"/>
      <c r="W577" s="15" t="n"/>
      <c r="X577" s="15" t="n">
        <v>0.1</v>
      </c>
      <c r="Y577" s="15" t="n">
        <v>0.47</v>
      </c>
      <c r="Z577" s="16" t="n">
        <v>4.7</v>
      </c>
      <c r="AA577" s="17" t="inlineStr">
        <is>
          <t>Transplanting (Pindot) or Direct Seeding (Pinaghandaan)</t>
        </is>
      </c>
      <c r="AB577" s="17" t="inlineStr">
        <is>
          <t>Conventional Tillage: 2 plowings + 2 harrowings; soil workable when moist</t>
        </is>
      </c>
      <c r="AC577" s="17" t="inlineStr">
        <is>
          <t>Intermittent irrigation (Alternate Wetting and Drying — AWD); moderate retention</t>
        </is>
      </c>
    </row>
    <row r="578" ht="21.75" customHeight="1" s="101">
      <c r="A578" s="6" t="inlineStr">
        <is>
          <t>Palay</t>
        </is>
      </c>
      <c r="B578" s="6" t="inlineStr">
        <is>
          <t>Balangobong</t>
        </is>
      </c>
      <c r="C578" s="6" t="inlineStr">
        <is>
          <t>May</t>
        </is>
      </c>
      <c r="D578" s="6" t="inlineStr">
        <is>
          <t>2021</t>
        </is>
      </c>
      <c r="E578" s="6" t="inlineStr">
        <is>
          <t>DS 2021</t>
        </is>
      </c>
      <c r="F578" s="6" t="inlineStr">
        <is>
          <t>Harvest</t>
        </is>
      </c>
      <c r="G578" s="7" t="n">
        <v>9.140000000000001</v>
      </c>
      <c r="H578" s="8" t="n">
        <v>27.33</v>
      </c>
      <c r="I578" s="8" t="n">
        <v>22.66</v>
      </c>
      <c r="J578" s="8" t="n">
        <v>35.01</v>
      </c>
      <c r="K578" s="8" t="n">
        <v>80.26000000000001</v>
      </c>
      <c r="L578" s="8" t="n">
        <v>98.27</v>
      </c>
      <c r="M578" s="8" t="n">
        <v>20.46</v>
      </c>
      <c r="N578" s="6" t="inlineStr">
        <is>
          <t>Type I – Tropical Monsoon (PAGASA)</t>
        </is>
      </c>
      <c r="O578" s="6" t="inlineStr">
        <is>
          <t>Wet</t>
        </is>
      </c>
      <c r="P578" s="6" t="inlineStr">
        <is>
          <t>Silty Clay Loam</t>
        </is>
      </c>
      <c r="Q578" s="6" t="inlineStr">
        <is>
          <t>Flat / Lowland</t>
        </is>
      </c>
      <c r="R578" s="9" t="n">
        <v>30</v>
      </c>
      <c r="S578" s="6" t="inlineStr">
        <is>
          <t>—</t>
        </is>
      </c>
      <c r="T578" s="10" t="n">
        <v>281.4</v>
      </c>
      <c r="U578" s="10" t="n"/>
      <c r="V578" s="10" t="n"/>
      <c r="W578" s="10" t="n"/>
      <c r="X578" s="10" t="n">
        <v>1.6</v>
      </c>
      <c r="Y578" s="10" t="n">
        <v>8.24</v>
      </c>
      <c r="Z578" s="11" t="n">
        <v>5.15</v>
      </c>
      <c r="AA578" s="12" t="inlineStr">
        <is>
          <t>Transplanting (Pindot) — optimal for clay-loam paddy fields</t>
        </is>
      </c>
      <c r="AB578" s="12" t="inlineStr">
        <is>
          <t>Wet Tillage (Puddling): 2 plowings + thorough harrowing under flooded condition</t>
        </is>
      </c>
      <c r="AC578" s="12" t="inlineStr">
        <is>
          <t>Continuous flooding 2–5 cm depth during vegetative stage; drain 2 weeks before harvest</t>
        </is>
      </c>
    </row>
    <row r="579" ht="21.75" customHeight="1" s="101">
      <c r="A579" s="13" t="inlineStr">
        <is>
          <t>Palay</t>
        </is>
      </c>
      <c r="B579" s="13" t="inlineStr">
        <is>
          <t>San Felipe Central</t>
        </is>
      </c>
      <c r="C579" s="13" t="inlineStr">
        <is>
          <t>May</t>
        </is>
      </c>
      <c r="D579" s="13" t="inlineStr">
        <is>
          <t>2021</t>
        </is>
      </c>
      <c r="E579" s="13" t="inlineStr">
        <is>
          <t>DS 2021</t>
        </is>
      </c>
      <c r="F579" s="13" t="inlineStr">
        <is>
          <t>Harvest</t>
        </is>
      </c>
      <c r="G579" s="7" t="n">
        <v>9.140000000000001</v>
      </c>
      <c r="H579" s="8" t="n">
        <v>27.33</v>
      </c>
      <c r="I579" s="8" t="n">
        <v>22.66</v>
      </c>
      <c r="J579" s="8" t="n">
        <v>35.01</v>
      </c>
      <c r="K579" s="8" t="n">
        <v>80.26000000000001</v>
      </c>
      <c r="L579" s="8" t="n">
        <v>98.27</v>
      </c>
      <c r="M579" s="8" t="n">
        <v>20.46</v>
      </c>
      <c r="N579" s="13" t="inlineStr">
        <is>
          <t>Type I – Tropical Monsoon (PAGASA)</t>
        </is>
      </c>
      <c r="O579" s="13" t="inlineStr">
        <is>
          <t>Wet</t>
        </is>
      </c>
      <c r="P579" s="13" t="inlineStr">
        <is>
          <t>Sandy Loam</t>
        </is>
      </c>
      <c r="Q579" s="13" t="inlineStr">
        <is>
          <t>Flat / Lowland</t>
        </is>
      </c>
      <c r="R579" s="14" t="n">
        <v>30</v>
      </c>
      <c r="S579" s="13" t="inlineStr">
        <is>
          <t>—</t>
        </is>
      </c>
      <c r="T579" s="15" t="n">
        <v>452.76</v>
      </c>
      <c r="U579" s="15" t="n"/>
      <c r="V579" s="15" t="n"/>
      <c r="W579" s="15" t="n"/>
      <c r="X579" s="15" t="n">
        <v>4.15</v>
      </c>
      <c r="Y579" s="15" t="n">
        <v>23.86</v>
      </c>
      <c r="Z579" s="16" t="n">
        <v>5.75</v>
      </c>
      <c r="AA579" s="17" t="inlineStr">
        <is>
          <t>Transplanting (Pindot) or Direct Seeding (Pinaghandaan)</t>
        </is>
      </c>
      <c r="AB579" s="17" t="inlineStr">
        <is>
          <t>Conventional Tillage: 2 plowings + 2 harrowings; soil workable when moist</t>
        </is>
      </c>
      <c r="AC579" s="17" t="inlineStr">
        <is>
          <t>Intermittent irrigation (Alternate Wetting and Drying — AWD); moderate retention</t>
        </is>
      </c>
    </row>
    <row r="580" ht="21.75" customHeight="1" s="101">
      <c r="A580" s="6" t="inlineStr">
        <is>
          <t>Palay</t>
        </is>
      </c>
      <c r="B580" s="6" t="inlineStr">
        <is>
          <t>San Felipe Sur</t>
        </is>
      </c>
      <c r="C580" s="6" t="inlineStr">
        <is>
          <t>May</t>
        </is>
      </c>
      <c r="D580" s="6" t="inlineStr">
        <is>
          <t>2021</t>
        </is>
      </c>
      <c r="E580" s="6" t="inlineStr">
        <is>
          <t>DS 2021</t>
        </is>
      </c>
      <c r="F580" s="6" t="inlineStr">
        <is>
          <t>Harvest</t>
        </is>
      </c>
      <c r="G580" s="7" t="n">
        <v>9.140000000000001</v>
      </c>
      <c r="H580" s="8" t="n">
        <v>27.33</v>
      </c>
      <c r="I580" s="8" t="n">
        <v>22.66</v>
      </c>
      <c r="J580" s="8" t="n">
        <v>35.01</v>
      </c>
      <c r="K580" s="8" t="n">
        <v>80.26000000000001</v>
      </c>
      <c r="L580" s="8" t="n">
        <v>98.27</v>
      </c>
      <c r="M580" s="8" t="n">
        <v>20.46</v>
      </c>
      <c r="N580" s="6" t="inlineStr">
        <is>
          <t>Type I – Tropical Monsoon (PAGASA)</t>
        </is>
      </c>
      <c r="O580" s="6" t="inlineStr">
        <is>
          <t>Wet</t>
        </is>
      </c>
      <c r="P580" s="6" t="inlineStr">
        <is>
          <t>Sandy Loam</t>
        </is>
      </c>
      <c r="Q580" s="6" t="inlineStr">
        <is>
          <t>Flat / Lowland</t>
        </is>
      </c>
      <c r="R580" s="9" t="n">
        <v>30</v>
      </c>
      <c r="S580" s="6" t="inlineStr">
        <is>
          <t>Tagamusing River</t>
        </is>
      </c>
      <c r="T580" s="10" t="n">
        <v>504</v>
      </c>
      <c r="U580" s="10" t="n"/>
      <c r="V580" s="10" t="n"/>
      <c r="W580" s="10" t="n"/>
      <c r="X580" s="10" t="n">
        <v>3.2</v>
      </c>
      <c r="Y580" s="10" t="n">
        <v>17.31</v>
      </c>
      <c r="Z580" s="11" t="n">
        <v>5.41</v>
      </c>
      <c r="AA580" s="12" t="inlineStr">
        <is>
          <t>Transplanting (Pindot) or Direct Seeding (Pinaghandaan)</t>
        </is>
      </c>
      <c r="AB580" s="12" t="inlineStr">
        <is>
          <t>Conventional Tillage: 2 plowings + 2 harrowings; soil workable when moist</t>
        </is>
      </c>
      <c r="AC580" s="12" t="inlineStr">
        <is>
          <t>Intermittent irrigation (Alternate Wetting and Drying — AWD); moderate retention</t>
        </is>
      </c>
    </row>
    <row r="581" ht="21.75" customHeight="1" s="101">
      <c r="A581" s="13" t="inlineStr">
        <is>
          <t>Palay</t>
        </is>
      </c>
      <c r="B581" s="13" t="inlineStr">
        <is>
          <t>Pasileng Sur</t>
        </is>
      </c>
      <c r="C581" s="13" t="inlineStr">
        <is>
          <t>May</t>
        </is>
      </c>
      <c r="D581" s="13" t="inlineStr">
        <is>
          <t>2021</t>
        </is>
      </c>
      <c r="E581" s="13" t="inlineStr">
        <is>
          <t>DS 2021</t>
        </is>
      </c>
      <c r="F581" s="13" t="inlineStr">
        <is>
          <t>Harvest</t>
        </is>
      </c>
      <c r="G581" s="7" t="n">
        <v>9.140000000000001</v>
      </c>
      <c r="H581" s="8" t="n">
        <v>27.33</v>
      </c>
      <c r="I581" s="8" t="n">
        <v>22.66</v>
      </c>
      <c r="J581" s="8" t="n">
        <v>35.01</v>
      </c>
      <c r="K581" s="8" t="n">
        <v>80.26000000000001</v>
      </c>
      <c r="L581" s="8" t="n">
        <v>98.27</v>
      </c>
      <c r="M581" s="8" t="n">
        <v>20.46</v>
      </c>
      <c r="N581" s="13" t="inlineStr">
        <is>
          <t>Type I – Tropical Monsoon (PAGASA)</t>
        </is>
      </c>
      <c r="O581" s="13" t="inlineStr">
        <is>
          <t>Wet</t>
        </is>
      </c>
      <c r="P581" s="13" t="inlineStr">
        <is>
          <t>Sandy Loam</t>
        </is>
      </c>
      <c r="Q581" s="13" t="inlineStr">
        <is>
          <t>Flat / Lowland</t>
        </is>
      </c>
      <c r="R581" s="14" t="n">
        <v>30</v>
      </c>
      <c r="S581" s="13" t="inlineStr">
        <is>
          <t>Tagamusing River</t>
        </is>
      </c>
      <c r="T581" s="15" t="n">
        <v>414.96</v>
      </c>
      <c r="U581" s="15" t="n"/>
      <c r="V581" s="15" t="n"/>
      <c r="W581" s="15" t="n"/>
      <c r="X581" s="15" t="n">
        <v>1.2</v>
      </c>
      <c r="Y581" s="15" t="n">
        <v>5.84</v>
      </c>
      <c r="Z581" s="16" t="n">
        <v>4.87</v>
      </c>
      <c r="AA581" s="17" t="inlineStr">
        <is>
          <t>Transplanting (Pindot) or Direct Seeding (Pinaghandaan)</t>
        </is>
      </c>
      <c r="AB581" s="17" t="inlineStr">
        <is>
          <t>Conventional Tillage: 2 plowings + 2 harrowings; soil workable when moist</t>
        </is>
      </c>
      <c r="AC581" s="17" t="inlineStr">
        <is>
          <t>Intermittent irrigation (Alternate Wetting and Drying — AWD); moderate retention</t>
        </is>
      </c>
    </row>
    <row r="582" ht="21.75" customHeight="1" s="101">
      <c r="A582" s="6" t="inlineStr">
        <is>
          <t>Palay</t>
        </is>
      </c>
      <c r="B582" s="6" t="inlineStr">
        <is>
          <t>Bugayong</t>
        </is>
      </c>
      <c r="C582" s="6" t="inlineStr">
        <is>
          <t>May</t>
        </is>
      </c>
      <c r="D582" s="6" t="inlineStr">
        <is>
          <t>2021</t>
        </is>
      </c>
      <c r="E582" s="6" t="inlineStr">
        <is>
          <t>DS 2021</t>
        </is>
      </c>
      <c r="F582" s="6" t="inlineStr">
        <is>
          <t>Harvest</t>
        </is>
      </c>
      <c r="G582" s="7" t="n">
        <v>9.140000000000001</v>
      </c>
      <c r="H582" s="8" t="n">
        <v>27.33</v>
      </c>
      <c r="I582" s="8" t="n">
        <v>22.66</v>
      </c>
      <c r="J582" s="8" t="n">
        <v>35.01</v>
      </c>
      <c r="K582" s="8" t="n">
        <v>80.26000000000001</v>
      </c>
      <c r="L582" s="8" t="n">
        <v>98.27</v>
      </c>
      <c r="M582" s="8" t="n">
        <v>20.46</v>
      </c>
      <c r="N582" s="6" t="inlineStr">
        <is>
          <t>Type I – Tropical Monsoon (PAGASA)</t>
        </is>
      </c>
      <c r="O582" s="6" t="inlineStr">
        <is>
          <t>Wet</t>
        </is>
      </c>
      <c r="P582" s="6" t="inlineStr">
        <is>
          <t>Sandy Loam / Silty Clay Loam</t>
        </is>
      </c>
      <c r="Q582" s="6" t="inlineStr">
        <is>
          <t>Flat / Lowland</t>
        </is>
      </c>
      <c r="R582" s="9" t="n">
        <v>30</v>
      </c>
      <c r="S582" s="6" t="inlineStr">
        <is>
          <t>Aloragat River</t>
        </is>
      </c>
      <c r="T582" s="10" t="n">
        <v>346.08</v>
      </c>
      <c r="U582" s="10" t="n"/>
      <c r="V582" s="10" t="n"/>
      <c r="W582" s="10" t="n"/>
      <c r="X582" s="10" t="n">
        <v>1</v>
      </c>
      <c r="Y582" s="10" t="n">
        <v>4.5</v>
      </c>
      <c r="Z582" s="11" t="n">
        <v>4.5</v>
      </c>
      <c r="AA582" s="12" t="inlineStr">
        <is>
          <t>Transplanting (Pindot) — recommended; Direct Seeding possible in dry season</t>
        </is>
      </c>
      <c r="AB582" s="12" t="inlineStr">
        <is>
          <t>Conventional Tillage: 2 plowings + harrowing; puddle thoroughly for transplanting</t>
        </is>
      </c>
      <c r="AC582" s="12" t="inlineStr">
        <is>
          <t>Intermittent to continuous flooding; manage according to drainage section present</t>
        </is>
      </c>
    </row>
    <row r="583" ht="21.75" customHeight="1" s="101">
      <c r="A583" s="13" t="inlineStr">
        <is>
          <t>Palay</t>
        </is>
      </c>
      <c r="B583" s="13" t="inlineStr">
        <is>
          <t>Santiago</t>
        </is>
      </c>
      <c r="C583" s="13" t="inlineStr">
        <is>
          <t>May</t>
        </is>
      </c>
      <c r="D583" s="13" t="inlineStr">
        <is>
          <t>2021</t>
        </is>
      </c>
      <c r="E583" s="13" t="inlineStr">
        <is>
          <t>DS 2021</t>
        </is>
      </c>
      <c r="F583" s="13" t="inlineStr">
        <is>
          <t>Harvest</t>
        </is>
      </c>
      <c r="G583" s="7" t="n">
        <v>9.140000000000001</v>
      </c>
      <c r="H583" s="8" t="n">
        <v>27.33</v>
      </c>
      <c r="I583" s="8" t="n">
        <v>22.66</v>
      </c>
      <c r="J583" s="8" t="n">
        <v>35.01</v>
      </c>
      <c r="K583" s="8" t="n">
        <v>80.26000000000001</v>
      </c>
      <c r="L583" s="8" t="n">
        <v>98.27</v>
      </c>
      <c r="M583" s="8" t="n">
        <v>20.46</v>
      </c>
      <c r="N583" s="13" t="inlineStr">
        <is>
          <t>Type I – Tropical Monsoon (PAGASA)</t>
        </is>
      </c>
      <c r="O583" s="13" t="inlineStr">
        <is>
          <t>Wet</t>
        </is>
      </c>
      <c r="P583" s="13" t="inlineStr">
        <is>
          <t>Silty Clay Loam</t>
        </is>
      </c>
      <c r="Q583" s="13" t="inlineStr">
        <is>
          <t>Flat / Lowland</t>
        </is>
      </c>
      <c r="R583" s="14" t="n">
        <v>30</v>
      </c>
      <c r="S583" s="13" t="inlineStr">
        <is>
          <t>—</t>
        </is>
      </c>
      <c r="T583" s="15" t="n">
        <v>283.08</v>
      </c>
      <c r="U583" s="15" t="n"/>
      <c r="V583" s="15" t="n"/>
      <c r="W583" s="15" t="n"/>
      <c r="X583" s="15" t="n">
        <v>1.5</v>
      </c>
      <c r="Y583" s="15" t="n">
        <v>5.97</v>
      </c>
      <c r="Z583" s="16" t="n">
        <v>3.98</v>
      </c>
      <c r="AA583" s="17" t="inlineStr">
        <is>
          <t>Transplanting (Pindot) — optimal for clay-loam paddy fields</t>
        </is>
      </c>
      <c r="AB583" s="17" t="inlineStr">
        <is>
          <t>Wet Tillage (Puddling): 2 plowings + thorough harrowing under flooded condition</t>
        </is>
      </c>
      <c r="AC583" s="17" t="inlineStr">
        <is>
          <t>Continuous flooding 2–5 cm depth during vegetative stage; drain 2 weeks before harvest</t>
        </is>
      </c>
    </row>
    <row r="584" ht="21.75" customHeight="1" s="101">
      <c r="A584" s="6" t="inlineStr">
        <is>
          <t>Palay</t>
        </is>
      </c>
      <c r="B584" s="6" t="inlineStr">
        <is>
          <t>Pasileng Norte</t>
        </is>
      </c>
      <c r="C584" s="6" t="inlineStr">
        <is>
          <t>June</t>
        </is>
      </c>
      <c r="D584" s="6" t="inlineStr">
        <is>
          <t>2021</t>
        </is>
      </c>
      <c r="E584" s="6" t="inlineStr">
        <is>
          <t>WS 2021</t>
        </is>
      </c>
      <c r="F584" s="6" t="inlineStr">
        <is>
          <t>Planting</t>
        </is>
      </c>
      <c r="G584" s="7" t="n">
        <v>8.06</v>
      </c>
      <c r="H584" s="8" t="n">
        <v>27.03</v>
      </c>
      <c r="I584" s="8" t="n">
        <v>23.72</v>
      </c>
      <c r="J584" s="8" t="n">
        <v>34.26</v>
      </c>
      <c r="K584" s="8" t="n">
        <v>82.83</v>
      </c>
      <c r="L584" s="8" t="n">
        <v>98.25</v>
      </c>
      <c r="M584" s="8" t="n">
        <v>20.27</v>
      </c>
      <c r="N584" s="6" t="inlineStr">
        <is>
          <t>Type I – Tropical Monsoon (PAGASA)</t>
        </is>
      </c>
      <c r="O584" s="6" t="inlineStr">
        <is>
          <t>Wet</t>
        </is>
      </c>
      <c r="P584" s="6" t="inlineStr">
        <is>
          <t>Sandy Loam</t>
        </is>
      </c>
      <c r="Q584" s="6" t="inlineStr">
        <is>
          <t>Flat / Lowland</t>
        </is>
      </c>
      <c r="R584" s="9" t="n">
        <v>30</v>
      </c>
      <c r="S584" s="6" t="inlineStr">
        <is>
          <t>Tagamusing River</t>
        </is>
      </c>
      <c r="T584" s="10" t="n">
        <v>140.28</v>
      </c>
      <c r="U584" s="10" t="n">
        <v>78.34999999999999</v>
      </c>
      <c r="V584" s="10" t="n">
        <v>2.65</v>
      </c>
      <c r="W584" s="10" t="n">
        <v>81</v>
      </c>
      <c r="X584" s="10" t="n"/>
      <c r="Y584" s="10" t="n"/>
      <c r="Z584" s="11" t="n"/>
      <c r="AA584" s="12" t="inlineStr">
        <is>
          <t>Transplanting (Pindot) or Direct Seeding (Pinaghandaan)</t>
        </is>
      </c>
      <c r="AB584" s="12" t="inlineStr">
        <is>
          <t>Conventional Tillage: 2 plowings + 2 harrowings; soil workable when moist</t>
        </is>
      </c>
      <c r="AC584" s="12" t="inlineStr">
        <is>
          <t>Intermittent irrigation (Alternate Wetting and Drying — AWD); moderate retention</t>
        </is>
      </c>
    </row>
    <row r="585" ht="21.75" customHeight="1" s="101">
      <c r="A585" s="13" t="inlineStr">
        <is>
          <t>Palay</t>
        </is>
      </c>
      <c r="B585" s="13" t="inlineStr">
        <is>
          <t>Tabuyoc</t>
        </is>
      </c>
      <c r="C585" s="13" t="inlineStr">
        <is>
          <t>June</t>
        </is>
      </c>
      <c r="D585" s="13" t="inlineStr">
        <is>
          <t>2021</t>
        </is>
      </c>
      <c r="E585" s="13" t="inlineStr">
        <is>
          <t>WS 2021</t>
        </is>
      </c>
      <c r="F585" s="13" t="inlineStr">
        <is>
          <t>Planting</t>
        </is>
      </c>
      <c r="G585" s="7" t="n">
        <v>8.06</v>
      </c>
      <c r="H585" s="8" t="n">
        <v>27.03</v>
      </c>
      <c r="I585" s="8" t="n">
        <v>23.72</v>
      </c>
      <c r="J585" s="8" t="n">
        <v>34.26</v>
      </c>
      <c r="K585" s="8" t="n">
        <v>82.83</v>
      </c>
      <c r="L585" s="8" t="n">
        <v>98.25</v>
      </c>
      <c r="M585" s="8" t="n">
        <v>20.27</v>
      </c>
      <c r="N585" s="13" t="inlineStr">
        <is>
          <t>Type I – Tropical Monsoon (PAGASA)</t>
        </is>
      </c>
      <c r="O585" s="13" t="inlineStr">
        <is>
          <t>Wet</t>
        </is>
      </c>
      <c r="P585" s="13" t="inlineStr">
        <is>
          <t>Silty Clay Loam</t>
        </is>
      </c>
      <c r="Q585" s="13" t="inlineStr">
        <is>
          <t>Flat / Lowland</t>
        </is>
      </c>
      <c r="R585" s="14" t="n">
        <v>30</v>
      </c>
      <c r="S585" s="13" t="inlineStr">
        <is>
          <t>—</t>
        </is>
      </c>
      <c r="T585" s="15" t="n">
        <v>277.2</v>
      </c>
      <c r="U585" s="15" t="n">
        <v>134</v>
      </c>
      <c r="V585" s="15" t="n">
        <v>5</v>
      </c>
      <c r="W585" s="15" t="n">
        <v>139</v>
      </c>
      <c r="X585" s="15" t="n"/>
      <c r="Y585" s="15" t="n"/>
      <c r="Z585" s="16" t="n"/>
      <c r="AA585" s="17" t="inlineStr">
        <is>
          <t>Transplanting (Pindot) — optimal for clay-loam paddy fields</t>
        </is>
      </c>
      <c r="AB585" s="17" t="inlineStr">
        <is>
          <t>Wet Tillage (Puddling): 2 plowings + thorough harrowing under flooded condition</t>
        </is>
      </c>
      <c r="AC585" s="17" t="inlineStr">
        <is>
          <t>Continuous flooding 2–5 cm depth during vegetative stage; drain 2 weeks before harvest</t>
        </is>
      </c>
    </row>
    <row r="586" ht="21.75" customHeight="1" s="101">
      <c r="A586" s="6" t="inlineStr">
        <is>
          <t>Palay</t>
        </is>
      </c>
      <c r="B586" s="6" t="inlineStr">
        <is>
          <t>Bued</t>
        </is>
      </c>
      <c r="C586" s="6" t="inlineStr">
        <is>
          <t>June</t>
        </is>
      </c>
      <c r="D586" s="6" t="inlineStr">
        <is>
          <t>2021</t>
        </is>
      </c>
      <c r="E586" s="6" t="inlineStr">
        <is>
          <t>WS 2021</t>
        </is>
      </c>
      <c r="F586" s="6" t="inlineStr">
        <is>
          <t>Planting</t>
        </is>
      </c>
      <c r="G586" s="7" t="n">
        <v>8.06</v>
      </c>
      <c r="H586" s="8" t="n">
        <v>27.03</v>
      </c>
      <c r="I586" s="8" t="n">
        <v>23.72</v>
      </c>
      <c r="J586" s="8" t="n">
        <v>34.26</v>
      </c>
      <c r="K586" s="8" t="n">
        <v>82.83</v>
      </c>
      <c r="L586" s="8" t="n">
        <v>98.25</v>
      </c>
      <c r="M586" s="8" t="n">
        <v>20.27</v>
      </c>
      <c r="N586" s="6" t="inlineStr">
        <is>
          <t>Type I – Tropical Monsoon (PAGASA)</t>
        </is>
      </c>
      <c r="O586" s="6" t="inlineStr">
        <is>
          <t>Wet</t>
        </is>
      </c>
      <c r="P586" s="6" t="inlineStr">
        <is>
          <t>Silty Clay Loam</t>
        </is>
      </c>
      <c r="Q586" s="6" t="inlineStr">
        <is>
          <t>Flat / Lowland</t>
        </is>
      </c>
      <c r="R586" s="9" t="n">
        <v>30</v>
      </c>
      <c r="S586" s="6" t="inlineStr">
        <is>
          <t>Tagamusing River</t>
        </is>
      </c>
      <c r="T586" s="10" t="n">
        <v>210.84</v>
      </c>
      <c r="U586" s="10" t="n">
        <v>56.5</v>
      </c>
      <c r="V586" s="10" t="n">
        <v>37.5</v>
      </c>
      <c r="W586" s="10" t="n">
        <v>94</v>
      </c>
      <c r="X586" s="10" t="n"/>
      <c r="Y586" s="10" t="n"/>
      <c r="Z586" s="11" t="n"/>
      <c r="AA586" s="12" t="inlineStr">
        <is>
          <t>Transplanting (Pindot) — optimal for clay-loam paddy fields</t>
        </is>
      </c>
      <c r="AB586" s="12" t="inlineStr">
        <is>
          <t>Wet Tillage (Puddling): 2 plowings + thorough harrowing under flooded condition</t>
        </is>
      </c>
      <c r="AC586" s="12" t="inlineStr">
        <is>
          <t>Continuous flooding 2–5 cm depth during vegetative stage; drain 2 weeks before harvest</t>
        </is>
      </c>
    </row>
    <row r="587" ht="21.75" customHeight="1" s="101">
      <c r="A587" s="13" t="inlineStr">
        <is>
          <t>Palay</t>
        </is>
      </c>
      <c r="B587" s="13" t="inlineStr">
        <is>
          <t>Dumayat</t>
        </is>
      </c>
      <c r="C587" s="13" t="inlineStr">
        <is>
          <t>June</t>
        </is>
      </c>
      <c r="D587" s="13" t="inlineStr">
        <is>
          <t>2021</t>
        </is>
      </c>
      <c r="E587" s="13" t="inlineStr">
        <is>
          <t>WS 2021</t>
        </is>
      </c>
      <c r="F587" s="13" t="inlineStr">
        <is>
          <t>Planting</t>
        </is>
      </c>
      <c r="G587" s="7" t="n">
        <v>8.06</v>
      </c>
      <c r="H587" s="8" t="n">
        <v>27.03</v>
      </c>
      <c r="I587" s="8" t="n">
        <v>23.72</v>
      </c>
      <c r="J587" s="8" t="n">
        <v>34.26</v>
      </c>
      <c r="K587" s="8" t="n">
        <v>82.83</v>
      </c>
      <c r="L587" s="8" t="n">
        <v>98.25</v>
      </c>
      <c r="M587" s="8" t="n">
        <v>20.27</v>
      </c>
      <c r="N587" s="13" t="inlineStr">
        <is>
          <t>Type I – Tropical Monsoon (PAGASA)</t>
        </is>
      </c>
      <c r="O587" s="13" t="inlineStr">
        <is>
          <t>Wet</t>
        </is>
      </c>
      <c r="P587" s="13" t="inlineStr">
        <is>
          <t>Silty Clay Loam</t>
        </is>
      </c>
      <c r="Q587" s="13" t="inlineStr">
        <is>
          <t>Flat / Lowland</t>
        </is>
      </c>
      <c r="R587" s="14" t="n">
        <v>30</v>
      </c>
      <c r="S587" s="13" t="inlineStr">
        <is>
          <t>—</t>
        </is>
      </c>
      <c r="T587" s="15" t="n">
        <v>266.28</v>
      </c>
      <c r="U587" s="15" t="n">
        <v>56</v>
      </c>
      <c r="V587" s="15" t="n">
        <v>30</v>
      </c>
      <c r="W587" s="15" t="n">
        <v>86</v>
      </c>
      <c r="X587" s="15" t="n"/>
      <c r="Y587" s="15" t="n"/>
      <c r="Z587" s="16" t="n"/>
      <c r="AA587" s="17" t="inlineStr">
        <is>
          <t>Transplanting (Pindot) — optimal for clay-loam paddy fields</t>
        </is>
      </c>
      <c r="AB587" s="17" t="inlineStr">
        <is>
          <t>Wet Tillage (Puddling): 2 plowings + thorough harrowing under flooded condition</t>
        </is>
      </c>
      <c r="AC587" s="17" t="inlineStr">
        <is>
          <t>Continuous flooding 2–5 cm depth during vegetative stage; drain 2 weeks before harvest</t>
        </is>
      </c>
    </row>
    <row r="588" ht="21.75" customHeight="1" s="101">
      <c r="A588" s="6" t="inlineStr">
        <is>
          <t>Palay</t>
        </is>
      </c>
      <c r="B588" s="6" t="inlineStr">
        <is>
          <t>Camanggaan</t>
        </is>
      </c>
      <c r="C588" s="6" t="inlineStr">
        <is>
          <t>June</t>
        </is>
      </c>
      <c r="D588" s="6" t="inlineStr">
        <is>
          <t>2021</t>
        </is>
      </c>
      <c r="E588" s="6" t="inlineStr">
        <is>
          <t>WS 2021</t>
        </is>
      </c>
      <c r="F588" s="6" t="inlineStr">
        <is>
          <t>Planting</t>
        </is>
      </c>
      <c r="G588" s="7" t="n">
        <v>8.06</v>
      </c>
      <c r="H588" s="8" t="n">
        <v>27.03</v>
      </c>
      <c r="I588" s="8" t="n">
        <v>23.72</v>
      </c>
      <c r="J588" s="8" t="n">
        <v>34.26</v>
      </c>
      <c r="K588" s="8" t="n">
        <v>82.83</v>
      </c>
      <c r="L588" s="8" t="n">
        <v>98.25</v>
      </c>
      <c r="M588" s="8" t="n">
        <v>20.27</v>
      </c>
      <c r="N588" s="6" t="inlineStr">
        <is>
          <t>Type I – Tropical Monsoon (PAGASA)</t>
        </is>
      </c>
      <c r="O588" s="6" t="inlineStr">
        <is>
          <t>Wet</t>
        </is>
      </c>
      <c r="P588" s="6" t="inlineStr">
        <is>
          <t>Sandy Loam</t>
        </is>
      </c>
      <c r="Q588" s="6" t="inlineStr">
        <is>
          <t>Flat / Lowland</t>
        </is>
      </c>
      <c r="R588" s="9" t="n">
        <v>30</v>
      </c>
      <c r="S588" s="6" t="inlineStr">
        <is>
          <t>—</t>
        </is>
      </c>
      <c r="T588" s="10" t="n">
        <v>244.44</v>
      </c>
      <c r="U588" s="10" t="n">
        <v>19</v>
      </c>
      <c r="V588" s="10" t="n">
        <v>68</v>
      </c>
      <c r="W588" s="10" t="n">
        <v>87</v>
      </c>
      <c r="X588" s="10" t="n"/>
      <c r="Y588" s="10" t="n"/>
      <c r="Z588" s="11" t="n"/>
      <c r="AA588" s="12" t="inlineStr">
        <is>
          <t>Transplanting (Pindot) or Direct Seeding (Pinaghandaan)</t>
        </is>
      </c>
      <c r="AB588" s="12" t="inlineStr">
        <is>
          <t>Conventional Tillage: 2 plowings + 2 harrowings; soil workable when moist</t>
        </is>
      </c>
      <c r="AC588" s="12" t="inlineStr">
        <is>
          <t>Intermittent irrigation (Alternate Wetting and Drying — AWD); moderate retention</t>
        </is>
      </c>
    </row>
    <row r="589" ht="21.75" customHeight="1" s="101">
      <c r="A589" s="13" t="inlineStr">
        <is>
          <t>Palay</t>
        </is>
      </c>
      <c r="B589" s="13" t="inlineStr">
        <is>
          <t>Vacante</t>
        </is>
      </c>
      <c r="C589" s="13" t="inlineStr">
        <is>
          <t>June</t>
        </is>
      </c>
      <c r="D589" s="13" t="inlineStr">
        <is>
          <t>2021</t>
        </is>
      </c>
      <c r="E589" s="13" t="inlineStr">
        <is>
          <t>WS 2021</t>
        </is>
      </c>
      <c r="F589" s="13" t="inlineStr">
        <is>
          <t>Planting</t>
        </is>
      </c>
      <c r="G589" s="7" t="n">
        <v>8.06</v>
      </c>
      <c r="H589" s="8" t="n">
        <v>27.03</v>
      </c>
      <c r="I589" s="8" t="n">
        <v>23.72</v>
      </c>
      <c r="J589" s="8" t="n">
        <v>34.26</v>
      </c>
      <c r="K589" s="8" t="n">
        <v>82.83</v>
      </c>
      <c r="L589" s="8" t="n">
        <v>98.25</v>
      </c>
      <c r="M589" s="8" t="n">
        <v>20.27</v>
      </c>
      <c r="N589" s="13" t="inlineStr">
        <is>
          <t>Type I – Tropical Monsoon (PAGASA)</t>
        </is>
      </c>
      <c r="O589" s="13" t="inlineStr">
        <is>
          <t>Wet</t>
        </is>
      </c>
      <c r="P589" s="13" t="inlineStr">
        <is>
          <t>Silty Clay Loam</t>
        </is>
      </c>
      <c r="Q589" s="13" t="inlineStr">
        <is>
          <t>Flat / Lowland</t>
        </is>
      </c>
      <c r="R589" s="14" t="n">
        <v>30</v>
      </c>
      <c r="S589" s="13" t="inlineStr">
        <is>
          <t>Aloragat River</t>
        </is>
      </c>
      <c r="T589" s="15" t="n">
        <v>484.68</v>
      </c>
      <c r="U589" s="15" t="n">
        <v>28</v>
      </c>
      <c r="V589" s="15" t="n">
        <v>81</v>
      </c>
      <c r="W589" s="15" t="n">
        <v>109</v>
      </c>
      <c r="X589" s="15" t="n"/>
      <c r="Y589" s="15" t="n"/>
      <c r="Z589" s="16" t="n"/>
      <c r="AA589" s="17" t="inlineStr">
        <is>
          <t>Transplanting (Pindot) — optimal for clay-loam paddy fields</t>
        </is>
      </c>
      <c r="AB589" s="17" t="inlineStr">
        <is>
          <t>Wet Tillage (Puddling): 2 plowings + thorough harrowing under flooded condition</t>
        </is>
      </c>
      <c r="AC589" s="17" t="inlineStr">
        <is>
          <t>Continuous flooding 2–5 cm depth during vegetative stage; drain 2 weeks before harvest</t>
        </is>
      </c>
    </row>
    <row r="590" ht="21.75" customHeight="1" s="101">
      <c r="A590" s="6" t="inlineStr">
        <is>
          <t>Palay</t>
        </is>
      </c>
      <c r="B590" s="6" t="inlineStr">
        <is>
          <t>Sta. Catalina</t>
        </is>
      </c>
      <c r="C590" s="6" t="inlineStr">
        <is>
          <t>June</t>
        </is>
      </c>
      <c r="D590" s="6" t="inlineStr">
        <is>
          <t>2021</t>
        </is>
      </c>
      <c r="E590" s="6" t="inlineStr">
        <is>
          <t>WS 2021</t>
        </is>
      </c>
      <c r="F590" s="6" t="inlineStr">
        <is>
          <t>Planting</t>
        </is>
      </c>
      <c r="G590" s="7" t="n">
        <v>8.06</v>
      </c>
      <c r="H590" s="8" t="n">
        <v>27.03</v>
      </c>
      <c r="I590" s="8" t="n">
        <v>23.72</v>
      </c>
      <c r="J590" s="8" t="n">
        <v>34.26</v>
      </c>
      <c r="K590" s="8" t="n">
        <v>82.83</v>
      </c>
      <c r="L590" s="8" t="n">
        <v>98.25</v>
      </c>
      <c r="M590" s="8" t="n">
        <v>20.27</v>
      </c>
      <c r="N590" s="6" t="inlineStr">
        <is>
          <t>Type I – Tropical Monsoon (PAGASA)</t>
        </is>
      </c>
      <c r="O590" s="6" t="inlineStr">
        <is>
          <t>Wet</t>
        </is>
      </c>
      <c r="P590" s="6" t="inlineStr">
        <is>
          <t>Fine Sand / Sandy Loam</t>
        </is>
      </c>
      <c r="Q590" s="6" t="inlineStr">
        <is>
          <t>Moderately Sloping / Highland</t>
        </is>
      </c>
      <c r="R590" s="9" t="n">
        <v>90</v>
      </c>
      <c r="S590" s="6" t="inlineStr">
        <is>
          <t>—</t>
        </is>
      </c>
      <c r="T590" s="10" t="n">
        <v>709.8</v>
      </c>
      <c r="U590" s="10" t="n">
        <v>49</v>
      </c>
      <c r="V590" s="10" t="n">
        <v>180</v>
      </c>
      <c r="W590" s="10" t="n">
        <v>229</v>
      </c>
      <c r="X590" s="10" t="n"/>
      <c r="Y590" s="10" t="n"/>
      <c r="Z590" s="11" t="n"/>
      <c r="AA590" s="12" t="inlineStr">
        <is>
          <t>Transplanting (Pindot)</t>
        </is>
      </c>
      <c r="AB590" s="12" t="inlineStr">
        <is>
          <t>Minimum Tillage (avoid compaction; sandy structure fragile)</t>
        </is>
      </c>
      <c r="AC590" s="12" t="inlineStr">
        <is>
          <t>Continuous flooding or frequent irrigation; high percolation risk; terrace or bund-assisted water retention essential on slopes</t>
        </is>
      </c>
    </row>
    <row r="591" ht="21.75" customHeight="1" s="101">
      <c r="A591" s="13" t="inlineStr">
        <is>
          <t>Palay</t>
        </is>
      </c>
      <c r="B591" s="13" t="inlineStr">
        <is>
          <t>Moreno</t>
        </is>
      </c>
      <c r="C591" s="13" t="inlineStr">
        <is>
          <t>June</t>
        </is>
      </c>
      <c r="D591" s="13" t="inlineStr">
        <is>
          <t>2021</t>
        </is>
      </c>
      <c r="E591" s="13" t="inlineStr">
        <is>
          <t>WS 2021</t>
        </is>
      </c>
      <c r="F591" s="13" t="inlineStr">
        <is>
          <t>Planting</t>
        </is>
      </c>
      <c r="G591" s="7" t="n">
        <v>8.06</v>
      </c>
      <c r="H591" s="8" t="n">
        <v>27.03</v>
      </c>
      <c r="I591" s="8" t="n">
        <v>23.72</v>
      </c>
      <c r="J591" s="8" t="n">
        <v>34.26</v>
      </c>
      <c r="K591" s="8" t="n">
        <v>82.83</v>
      </c>
      <c r="L591" s="8" t="n">
        <v>98.25</v>
      </c>
      <c r="M591" s="8" t="n">
        <v>20.27</v>
      </c>
      <c r="N591" s="13" t="inlineStr">
        <is>
          <t>Type I – Tropical Monsoon (PAGASA)</t>
        </is>
      </c>
      <c r="O591" s="13" t="inlineStr">
        <is>
          <t>Wet</t>
        </is>
      </c>
      <c r="P591" s="13" t="inlineStr">
        <is>
          <t>Sandy Loam</t>
        </is>
      </c>
      <c r="Q591" s="13" t="inlineStr">
        <is>
          <t>Moderately Sloping / Highland</t>
        </is>
      </c>
      <c r="R591" s="14" t="n">
        <v>90</v>
      </c>
      <c r="S591" s="13" t="inlineStr">
        <is>
          <t>Alibeng River</t>
        </is>
      </c>
      <c r="T591" s="15" t="n">
        <v>641.76</v>
      </c>
      <c r="U591" s="15" t="n">
        <v>47.4</v>
      </c>
      <c r="V591" s="15" t="n">
        <v>116.6</v>
      </c>
      <c r="W591" s="15" t="n">
        <v>164</v>
      </c>
      <c r="X591" s="15" t="n"/>
      <c r="Y591" s="15" t="n"/>
      <c r="Z591" s="16" t="n"/>
      <c r="AA591" s="17" t="inlineStr">
        <is>
          <t>Transplanting (Pindot) or Direct Seeding (Pinaghandaan)</t>
        </is>
      </c>
      <c r="AB591" s="17" t="inlineStr">
        <is>
          <t>Conventional Tillage: 2 plowings + 2 harrowings; soil workable when moist</t>
        </is>
      </c>
      <c r="AC591" s="17" t="inlineStr">
        <is>
          <t>Intermittent irrigation (Alternate Wetting and Drying — AWD); moderate retention; terrace or bund-assisted water retention essential on slopes</t>
        </is>
      </c>
    </row>
    <row r="592" ht="21.75" customHeight="1" s="101">
      <c r="A592" s="6" t="inlineStr">
        <is>
          <t>Palay</t>
        </is>
      </c>
      <c r="B592" s="6" t="inlineStr">
        <is>
          <t>Cili</t>
        </is>
      </c>
      <c r="C592" s="6" t="inlineStr">
        <is>
          <t>June</t>
        </is>
      </c>
      <c r="D592" s="6" t="inlineStr">
        <is>
          <t>2021</t>
        </is>
      </c>
      <c r="E592" s="6" t="inlineStr">
        <is>
          <t>WS 2021</t>
        </is>
      </c>
      <c r="F592" s="6" t="inlineStr">
        <is>
          <t>Planting</t>
        </is>
      </c>
      <c r="G592" s="7" t="n">
        <v>8.06</v>
      </c>
      <c r="H592" s="8" t="n">
        <v>27.03</v>
      </c>
      <c r="I592" s="8" t="n">
        <v>23.72</v>
      </c>
      <c r="J592" s="8" t="n">
        <v>34.26</v>
      </c>
      <c r="K592" s="8" t="n">
        <v>82.83</v>
      </c>
      <c r="L592" s="8" t="n">
        <v>98.25</v>
      </c>
      <c r="M592" s="8" t="n">
        <v>20.27</v>
      </c>
      <c r="N592" s="6" t="inlineStr">
        <is>
          <t>Type I – Tropical Monsoon (PAGASA)</t>
        </is>
      </c>
      <c r="O592" s="6" t="inlineStr">
        <is>
          <t>Wet</t>
        </is>
      </c>
      <c r="P592" s="6" t="inlineStr">
        <is>
          <t>Silty Clay Loam</t>
        </is>
      </c>
      <c r="Q592" s="6" t="inlineStr">
        <is>
          <t>Flat / Lowland</t>
        </is>
      </c>
      <c r="R592" s="9" t="n">
        <v>30</v>
      </c>
      <c r="S592" s="6" t="inlineStr">
        <is>
          <t>Alibeng River</t>
        </is>
      </c>
      <c r="T592" s="10" t="n">
        <v>264.6</v>
      </c>
      <c r="U592" s="10" t="n">
        <v>40</v>
      </c>
      <c r="V592" s="10" t="n">
        <v>128</v>
      </c>
      <c r="W592" s="10" t="n">
        <v>168</v>
      </c>
      <c r="X592" s="10" t="n"/>
      <c r="Y592" s="10" t="n"/>
      <c r="Z592" s="11" t="n"/>
      <c r="AA592" s="12" t="inlineStr">
        <is>
          <t>Transplanting (Pindot) — optimal for clay-loam paddy fields</t>
        </is>
      </c>
      <c r="AB592" s="12" t="inlineStr">
        <is>
          <t>Wet Tillage (Puddling): 2 plowings + thorough harrowing under flooded condition</t>
        </is>
      </c>
      <c r="AC592" s="12" t="inlineStr">
        <is>
          <t>Continuous flooding 2–5 cm depth during vegetative stage; drain 2 weeks before harvest</t>
        </is>
      </c>
    </row>
    <row r="593" ht="21.75" customHeight="1" s="101">
      <c r="A593" s="13" t="inlineStr">
        <is>
          <t>Palay</t>
        </is>
      </c>
      <c r="B593" s="13" t="inlineStr">
        <is>
          <t>Linmansangan</t>
        </is>
      </c>
      <c r="C593" s="13" t="inlineStr">
        <is>
          <t>June</t>
        </is>
      </c>
      <c r="D593" s="13" t="inlineStr">
        <is>
          <t>2021</t>
        </is>
      </c>
      <c r="E593" s="13" t="inlineStr">
        <is>
          <t>WS 2021</t>
        </is>
      </c>
      <c r="F593" s="13" t="inlineStr">
        <is>
          <t>Planting</t>
        </is>
      </c>
      <c r="G593" s="7" t="n">
        <v>8.06</v>
      </c>
      <c r="H593" s="8" t="n">
        <v>27.03</v>
      </c>
      <c r="I593" s="8" t="n">
        <v>23.72</v>
      </c>
      <c r="J593" s="8" t="n">
        <v>34.26</v>
      </c>
      <c r="K593" s="8" t="n">
        <v>82.83</v>
      </c>
      <c r="L593" s="8" t="n">
        <v>98.25</v>
      </c>
      <c r="M593" s="8" t="n">
        <v>20.27</v>
      </c>
      <c r="N593" s="13" t="inlineStr">
        <is>
          <t>Type I – Tropical Monsoon (PAGASA)</t>
        </is>
      </c>
      <c r="O593" s="13" t="inlineStr">
        <is>
          <t>Wet</t>
        </is>
      </c>
      <c r="P593" s="13" t="inlineStr">
        <is>
          <t>Silty Clay Loam</t>
        </is>
      </c>
      <c r="Q593" s="13" t="inlineStr">
        <is>
          <t>Flat / Lowland</t>
        </is>
      </c>
      <c r="R593" s="14" t="n">
        <v>30</v>
      </c>
      <c r="S593" s="13" t="inlineStr">
        <is>
          <t>—</t>
        </is>
      </c>
      <c r="T593" s="15" t="n">
        <v>492.24</v>
      </c>
      <c r="U593" s="15" t="n">
        <v>65.5</v>
      </c>
      <c r="V593" s="15" t="n">
        <v>129</v>
      </c>
      <c r="W593" s="15" t="n">
        <v>194.5</v>
      </c>
      <c r="X593" s="15" t="n"/>
      <c r="Y593" s="15" t="n"/>
      <c r="Z593" s="16" t="n"/>
      <c r="AA593" s="17" t="inlineStr">
        <is>
          <t>Transplanting (Pindot) — optimal for clay-loam paddy fields</t>
        </is>
      </c>
      <c r="AB593" s="17" t="inlineStr">
        <is>
          <t>Wet Tillage (Puddling): 2 plowings + thorough harrowing under flooded condition</t>
        </is>
      </c>
      <c r="AC593" s="17" t="inlineStr">
        <is>
          <t>Continuous flooding 2–5 cm depth during vegetative stage; drain 2 weeks before harvest</t>
        </is>
      </c>
    </row>
    <row r="594" ht="21.75" customHeight="1" s="101">
      <c r="A594" s="6" t="inlineStr">
        <is>
          <t>Palay</t>
        </is>
      </c>
      <c r="B594" s="6" t="inlineStr">
        <is>
          <t>Sumabnit</t>
        </is>
      </c>
      <c r="C594" s="6" t="inlineStr">
        <is>
          <t>June</t>
        </is>
      </c>
      <c r="D594" s="6" t="inlineStr">
        <is>
          <t>2021</t>
        </is>
      </c>
      <c r="E594" s="6" t="inlineStr">
        <is>
          <t>WS 2021</t>
        </is>
      </c>
      <c r="F594" s="6" t="inlineStr">
        <is>
          <t>Planting</t>
        </is>
      </c>
      <c r="G594" s="7" t="n">
        <v>8.06</v>
      </c>
      <c r="H594" s="8" t="n">
        <v>27.03</v>
      </c>
      <c r="I594" s="8" t="n">
        <v>23.72</v>
      </c>
      <c r="J594" s="8" t="n">
        <v>34.26</v>
      </c>
      <c r="K594" s="8" t="n">
        <v>82.83</v>
      </c>
      <c r="L594" s="8" t="n">
        <v>98.25</v>
      </c>
      <c r="M594" s="8" t="n">
        <v>20.27</v>
      </c>
      <c r="N594" s="6" t="inlineStr">
        <is>
          <t>Type I – Tropical Monsoon (PAGASA)</t>
        </is>
      </c>
      <c r="O594" s="6" t="inlineStr">
        <is>
          <t>Wet</t>
        </is>
      </c>
      <c r="P594" s="6" t="inlineStr">
        <is>
          <t>Silty Clay Loam / Fine Sandy Loam</t>
        </is>
      </c>
      <c r="Q594" s="6" t="inlineStr">
        <is>
          <t>Flat / Lowland</t>
        </is>
      </c>
      <c r="R594" s="9" t="n">
        <v>30</v>
      </c>
      <c r="S594" s="6" t="inlineStr">
        <is>
          <t>Tagamusing River</t>
        </is>
      </c>
      <c r="T594" s="10" t="n">
        <v>406.56</v>
      </c>
      <c r="U594" s="10" t="n">
        <v>133.3</v>
      </c>
      <c r="V594" s="10" t="n">
        <v>123.7</v>
      </c>
      <c r="W594" s="10" t="n">
        <v>257</v>
      </c>
      <c r="X594" s="10" t="n"/>
      <c r="Y594" s="10" t="n"/>
      <c r="Z594" s="11" t="n"/>
      <c r="AA594" s="12" t="inlineStr">
        <is>
          <t>Transplanting (Pindot)</t>
        </is>
      </c>
      <c r="AB594" s="12" t="inlineStr">
        <is>
          <t>Minimum Tillage (avoid compaction; sandy structure fragile)</t>
        </is>
      </c>
      <c r="AC594" s="12" t="inlineStr">
        <is>
          <t>Continuous flooding or frequent irrigation; high percolation risk</t>
        </is>
      </c>
    </row>
    <row r="595" ht="21.75" customHeight="1" s="101">
      <c r="A595" s="13" t="inlineStr">
        <is>
          <t>Palay</t>
        </is>
      </c>
      <c r="B595" s="13" t="inlineStr">
        <is>
          <t>Capas</t>
        </is>
      </c>
      <c r="C595" s="13" t="inlineStr">
        <is>
          <t>June</t>
        </is>
      </c>
      <c r="D595" s="13" t="inlineStr">
        <is>
          <t>2021</t>
        </is>
      </c>
      <c r="E595" s="13" t="inlineStr">
        <is>
          <t>WS 2021</t>
        </is>
      </c>
      <c r="F595" s="13" t="inlineStr">
        <is>
          <t>Planting</t>
        </is>
      </c>
      <c r="G595" s="7" t="n">
        <v>8.06</v>
      </c>
      <c r="H595" s="8" t="n">
        <v>27.03</v>
      </c>
      <c r="I595" s="8" t="n">
        <v>23.72</v>
      </c>
      <c r="J595" s="8" t="n">
        <v>34.26</v>
      </c>
      <c r="K595" s="8" t="n">
        <v>82.83</v>
      </c>
      <c r="L595" s="8" t="n">
        <v>98.25</v>
      </c>
      <c r="M595" s="8" t="n">
        <v>20.27</v>
      </c>
      <c r="N595" s="13" t="inlineStr">
        <is>
          <t>Type I – Tropical Monsoon (PAGASA)</t>
        </is>
      </c>
      <c r="O595" s="13" t="inlineStr">
        <is>
          <t>Wet</t>
        </is>
      </c>
      <c r="P595" s="13" t="inlineStr">
        <is>
          <t>Sandy Loam</t>
        </is>
      </c>
      <c r="Q595" s="13" t="inlineStr">
        <is>
          <t>Flat / Lowland</t>
        </is>
      </c>
      <c r="R595" s="14" t="n">
        <v>30</v>
      </c>
      <c r="S595" s="13" t="inlineStr">
        <is>
          <t>—</t>
        </is>
      </c>
      <c r="T595" s="15" t="n">
        <v>377.16</v>
      </c>
      <c r="U595" s="15" t="n">
        <v>139</v>
      </c>
      <c r="V595" s="15" t="n">
        <v>164</v>
      </c>
      <c r="W595" s="15" t="n">
        <v>303</v>
      </c>
      <c r="X595" s="15" t="n"/>
      <c r="Y595" s="15" t="n"/>
      <c r="Z595" s="16" t="n"/>
      <c r="AA595" s="17" t="inlineStr">
        <is>
          <t>Transplanting (Pindot) or Direct Seeding (Pinaghandaan)</t>
        </is>
      </c>
      <c r="AB595" s="17" t="inlineStr">
        <is>
          <t>Conventional Tillage: 2 plowings + 2 harrowings; soil workable when moist</t>
        </is>
      </c>
      <c r="AC595" s="17" t="inlineStr">
        <is>
          <t>Intermittent irrigation (Alternate Wetting and Drying — AWD); moderate retention</t>
        </is>
      </c>
    </row>
    <row r="596" ht="21.75" customHeight="1" s="101">
      <c r="A596" s="6" t="inlineStr">
        <is>
          <t>Palay</t>
        </is>
      </c>
      <c r="B596" s="6" t="inlineStr">
        <is>
          <t>Mangkasuy</t>
        </is>
      </c>
      <c r="C596" s="6" t="inlineStr">
        <is>
          <t>June</t>
        </is>
      </c>
      <c r="D596" s="6" t="inlineStr">
        <is>
          <t>2021</t>
        </is>
      </c>
      <c r="E596" s="6" t="inlineStr">
        <is>
          <t>WS 2021</t>
        </is>
      </c>
      <c r="F596" s="6" t="inlineStr">
        <is>
          <t>Planting</t>
        </is>
      </c>
      <c r="G596" s="7" t="n">
        <v>8.06</v>
      </c>
      <c r="H596" s="8" t="n">
        <v>27.03</v>
      </c>
      <c r="I596" s="8" t="n">
        <v>23.72</v>
      </c>
      <c r="J596" s="8" t="n">
        <v>34.26</v>
      </c>
      <c r="K596" s="8" t="n">
        <v>82.83</v>
      </c>
      <c r="L596" s="8" t="n">
        <v>98.25</v>
      </c>
      <c r="M596" s="8" t="n">
        <v>20.27</v>
      </c>
      <c r="N596" s="6" t="inlineStr">
        <is>
          <t>Type I – Tropical Monsoon (PAGASA)</t>
        </is>
      </c>
      <c r="O596" s="6" t="inlineStr">
        <is>
          <t>Wet</t>
        </is>
      </c>
      <c r="P596" s="6" t="inlineStr">
        <is>
          <t>Sandy Loam</t>
        </is>
      </c>
      <c r="Q596" s="6" t="inlineStr">
        <is>
          <t>Flat / Lowland</t>
        </is>
      </c>
      <c r="R596" s="9" t="n">
        <v>30</v>
      </c>
      <c r="S596" s="6" t="inlineStr">
        <is>
          <t>Tagamusing River</t>
        </is>
      </c>
      <c r="T596" s="10" t="n">
        <v>802.2</v>
      </c>
      <c r="U596" s="10" t="n">
        <v>90</v>
      </c>
      <c r="V596" s="10" t="n">
        <v>262</v>
      </c>
      <c r="W596" s="10" t="n">
        <v>352</v>
      </c>
      <c r="X596" s="10" t="n"/>
      <c r="Y596" s="10" t="n"/>
      <c r="Z596" s="11" t="n"/>
      <c r="AA596" s="12" t="inlineStr">
        <is>
          <t>Transplanting (Pindot) or Direct Seeding (Pinaghandaan)</t>
        </is>
      </c>
      <c r="AB596" s="12" t="inlineStr">
        <is>
          <t>Conventional Tillage: 2 plowings + 2 harrowings; soil workable when moist</t>
        </is>
      </c>
      <c r="AC596" s="12" t="inlineStr">
        <is>
          <t>Intermittent irrigation (Alternate Wetting and Drying — AWD); moderate retention</t>
        </is>
      </c>
    </row>
    <row r="597" ht="21.75" customHeight="1" s="101">
      <c r="A597" s="13" t="inlineStr">
        <is>
          <t>Palay</t>
        </is>
      </c>
      <c r="B597" s="13" t="inlineStr">
        <is>
          <t>San Pablo</t>
        </is>
      </c>
      <c r="C597" s="13" t="inlineStr">
        <is>
          <t>June</t>
        </is>
      </c>
      <c r="D597" s="13" t="inlineStr">
        <is>
          <t>2021</t>
        </is>
      </c>
      <c r="E597" s="13" t="inlineStr">
        <is>
          <t>WS 2021</t>
        </is>
      </c>
      <c r="F597" s="13" t="inlineStr">
        <is>
          <t>Planting</t>
        </is>
      </c>
      <c r="G597" s="7" t="n">
        <v>8.06</v>
      </c>
      <c r="H597" s="8" t="n">
        <v>27.03</v>
      </c>
      <c r="I597" s="8" t="n">
        <v>23.72</v>
      </c>
      <c r="J597" s="8" t="n">
        <v>34.26</v>
      </c>
      <c r="K597" s="8" t="n">
        <v>82.83</v>
      </c>
      <c r="L597" s="8" t="n">
        <v>98.25</v>
      </c>
      <c r="M597" s="8" t="n">
        <v>20.27</v>
      </c>
      <c r="N597" s="13" t="inlineStr">
        <is>
          <t>Type I – Tropical Monsoon (PAGASA)</t>
        </is>
      </c>
      <c r="O597" s="13" t="inlineStr">
        <is>
          <t>Wet</t>
        </is>
      </c>
      <c r="P597" s="13" t="inlineStr">
        <is>
          <t>Sandy Loam</t>
        </is>
      </c>
      <c r="Q597" s="13" t="inlineStr">
        <is>
          <t>Flat / Lowland</t>
        </is>
      </c>
      <c r="R597" s="14" t="n">
        <v>30</v>
      </c>
      <c r="S597" s="13" t="inlineStr">
        <is>
          <t>San Pablo Creek</t>
        </is>
      </c>
      <c r="T597" s="15" t="n">
        <v>215.04</v>
      </c>
      <c r="U597" s="15" t="n">
        <v>103.5</v>
      </c>
      <c r="V597" s="15" t="n">
        <v>30.5</v>
      </c>
      <c r="W597" s="15" t="n">
        <v>134</v>
      </c>
      <c r="X597" s="15" t="n"/>
      <c r="Y597" s="15" t="n"/>
      <c r="Z597" s="16" t="n"/>
      <c r="AA597" s="17" t="inlineStr">
        <is>
          <t>Transplanting (Pindot) or Direct Seeding (Pinaghandaan)</t>
        </is>
      </c>
      <c r="AB597" s="17" t="inlineStr">
        <is>
          <t>Conventional Tillage: 2 plowings + 2 harrowings; soil workable when moist</t>
        </is>
      </c>
      <c r="AC597" s="17" t="inlineStr">
        <is>
          <t>Intermittent irrigation (Alternate Wetting and Drying — AWD); moderate retention</t>
        </is>
      </c>
    </row>
    <row r="598" ht="21.75" customHeight="1" s="101">
      <c r="A598" s="6" t="inlineStr">
        <is>
          <t>Palay</t>
        </is>
      </c>
      <c r="B598" s="6" t="inlineStr">
        <is>
          <t>Balangobong</t>
        </is>
      </c>
      <c r="C598" s="6" t="inlineStr">
        <is>
          <t>June</t>
        </is>
      </c>
      <c r="D598" s="6" t="inlineStr">
        <is>
          <t>2021</t>
        </is>
      </c>
      <c r="E598" s="6" t="inlineStr">
        <is>
          <t>WS 2021</t>
        </is>
      </c>
      <c r="F598" s="6" t="inlineStr">
        <is>
          <t>Planting</t>
        </is>
      </c>
      <c r="G598" s="7" t="n">
        <v>8.06</v>
      </c>
      <c r="H598" s="8" t="n">
        <v>27.03</v>
      </c>
      <c r="I598" s="8" t="n">
        <v>23.72</v>
      </c>
      <c r="J598" s="8" t="n">
        <v>34.26</v>
      </c>
      <c r="K598" s="8" t="n">
        <v>82.83</v>
      </c>
      <c r="L598" s="8" t="n">
        <v>98.25</v>
      </c>
      <c r="M598" s="8" t="n">
        <v>20.27</v>
      </c>
      <c r="N598" s="6" t="inlineStr">
        <is>
          <t>Type I – Tropical Monsoon (PAGASA)</t>
        </is>
      </c>
      <c r="O598" s="6" t="inlineStr">
        <is>
          <t>Wet</t>
        </is>
      </c>
      <c r="P598" s="6" t="inlineStr">
        <is>
          <t>Silty Clay Loam</t>
        </is>
      </c>
      <c r="Q598" s="6" t="inlineStr">
        <is>
          <t>Flat / Lowland</t>
        </is>
      </c>
      <c r="R598" s="9" t="n">
        <v>30</v>
      </c>
      <c r="S598" s="6" t="inlineStr">
        <is>
          <t>—</t>
        </is>
      </c>
      <c r="T598" s="10" t="n">
        <v>281.4</v>
      </c>
      <c r="U598" s="10" t="n">
        <v>120</v>
      </c>
      <c r="V598" s="10" t="n">
        <v>15</v>
      </c>
      <c r="W598" s="10" t="n">
        <v>135</v>
      </c>
      <c r="X598" s="10" t="n"/>
      <c r="Y598" s="10" t="n"/>
      <c r="Z598" s="11" t="n"/>
      <c r="AA598" s="12" t="inlineStr">
        <is>
          <t>Transplanting (Pindot) — optimal for clay-loam paddy fields</t>
        </is>
      </c>
      <c r="AB598" s="12" t="inlineStr">
        <is>
          <t>Wet Tillage (Puddling): 2 plowings + thorough harrowing under flooded condition</t>
        </is>
      </c>
      <c r="AC598" s="12" t="inlineStr">
        <is>
          <t>Continuous flooding 2–5 cm depth during vegetative stage; drain 2 weeks before harvest</t>
        </is>
      </c>
    </row>
    <row r="599" ht="21.75" customHeight="1" s="101">
      <c r="A599" s="13" t="inlineStr">
        <is>
          <t>Palay</t>
        </is>
      </c>
      <c r="B599" s="13" t="inlineStr">
        <is>
          <t>San Felipe Central</t>
        </is>
      </c>
      <c r="C599" s="13" t="inlineStr">
        <is>
          <t>June</t>
        </is>
      </c>
      <c r="D599" s="13" t="inlineStr">
        <is>
          <t>2021</t>
        </is>
      </c>
      <c r="E599" s="13" t="inlineStr">
        <is>
          <t>WS 2021</t>
        </is>
      </c>
      <c r="F599" s="13" t="inlineStr">
        <is>
          <t>Planting</t>
        </is>
      </c>
      <c r="G599" s="7" t="n">
        <v>8.06</v>
      </c>
      <c r="H599" s="8" t="n">
        <v>27.03</v>
      </c>
      <c r="I599" s="8" t="n">
        <v>23.72</v>
      </c>
      <c r="J599" s="8" t="n">
        <v>34.26</v>
      </c>
      <c r="K599" s="8" t="n">
        <v>82.83</v>
      </c>
      <c r="L599" s="8" t="n">
        <v>98.25</v>
      </c>
      <c r="M599" s="8" t="n">
        <v>20.27</v>
      </c>
      <c r="N599" s="13" t="inlineStr">
        <is>
          <t>Type I – Tropical Monsoon (PAGASA)</t>
        </is>
      </c>
      <c r="O599" s="13" t="inlineStr">
        <is>
          <t>Wet</t>
        </is>
      </c>
      <c r="P599" s="13" t="inlineStr">
        <is>
          <t>Sandy Loam</t>
        </is>
      </c>
      <c r="Q599" s="13" t="inlineStr">
        <is>
          <t>Flat / Lowland</t>
        </is>
      </c>
      <c r="R599" s="14" t="n">
        <v>30</v>
      </c>
      <c r="S599" s="13" t="inlineStr">
        <is>
          <t>—</t>
        </is>
      </c>
      <c r="T599" s="15" t="n">
        <v>452.76</v>
      </c>
      <c r="U599" s="15" t="n">
        <v>117</v>
      </c>
      <c r="V599" s="15" t="n">
        <v>62</v>
      </c>
      <c r="W599" s="15" t="n">
        <v>179</v>
      </c>
      <c r="X599" s="15" t="n"/>
      <c r="Y599" s="15" t="n"/>
      <c r="Z599" s="16" t="n"/>
      <c r="AA599" s="17" t="inlineStr">
        <is>
          <t>Transplanting (Pindot) or Direct Seeding (Pinaghandaan)</t>
        </is>
      </c>
      <c r="AB599" s="17" t="inlineStr">
        <is>
          <t>Conventional Tillage: 2 plowings + 2 harrowings; soil workable when moist</t>
        </is>
      </c>
      <c r="AC599" s="17" t="inlineStr">
        <is>
          <t>Intermittent irrigation (Alternate Wetting and Drying — AWD); moderate retention</t>
        </is>
      </c>
    </row>
    <row r="600" ht="21.75" customHeight="1" s="101">
      <c r="A600" s="6" t="inlineStr">
        <is>
          <t>Palay</t>
        </is>
      </c>
      <c r="B600" s="6" t="inlineStr">
        <is>
          <t>San Felipe Sur</t>
        </is>
      </c>
      <c r="C600" s="6" t="inlineStr">
        <is>
          <t>June</t>
        </is>
      </c>
      <c r="D600" s="6" t="inlineStr">
        <is>
          <t>2021</t>
        </is>
      </c>
      <c r="E600" s="6" t="inlineStr">
        <is>
          <t>WS 2021</t>
        </is>
      </c>
      <c r="F600" s="6" t="inlineStr">
        <is>
          <t>Planting</t>
        </is>
      </c>
      <c r="G600" s="7" t="n">
        <v>8.06</v>
      </c>
      <c r="H600" s="8" t="n">
        <v>27.03</v>
      </c>
      <c r="I600" s="8" t="n">
        <v>23.72</v>
      </c>
      <c r="J600" s="8" t="n">
        <v>34.26</v>
      </c>
      <c r="K600" s="8" t="n">
        <v>82.83</v>
      </c>
      <c r="L600" s="8" t="n">
        <v>98.25</v>
      </c>
      <c r="M600" s="8" t="n">
        <v>20.27</v>
      </c>
      <c r="N600" s="6" t="inlineStr">
        <is>
          <t>Type I – Tropical Monsoon (PAGASA)</t>
        </is>
      </c>
      <c r="O600" s="6" t="inlineStr">
        <is>
          <t>Wet</t>
        </is>
      </c>
      <c r="P600" s="6" t="inlineStr">
        <is>
          <t>Sandy Loam</t>
        </is>
      </c>
      <c r="Q600" s="6" t="inlineStr">
        <is>
          <t>Flat / Lowland</t>
        </is>
      </c>
      <c r="R600" s="9" t="n">
        <v>30</v>
      </c>
      <c r="S600" s="6" t="inlineStr">
        <is>
          <t>Tagamusing River</t>
        </is>
      </c>
      <c r="T600" s="10" t="n">
        <v>504</v>
      </c>
      <c r="U600" s="10" t="n">
        <v>127.5</v>
      </c>
      <c r="V600" s="10" t="n">
        <v>50.5</v>
      </c>
      <c r="W600" s="10" t="n">
        <v>178</v>
      </c>
      <c r="X600" s="10" t="n"/>
      <c r="Y600" s="10" t="n"/>
      <c r="Z600" s="11" t="n"/>
      <c r="AA600" s="12" t="inlineStr">
        <is>
          <t>Transplanting (Pindot) or Direct Seeding (Pinaghandaan)</t>
        </is>
      </c>
      <c r="AB600" s="12" t="inlineStr">
        <is>
          <t>Conventional Tillage: 2 plowings + 2 harrowings; soil workable when moist</t>
        </is>
      </c>
      <c r="AC600" s="12" t="inlineStr">
        <is>
          <t>Intermittent irrigation (Alternate Wetting and Drying — AWD); moderate retention</t>
        </is>
      </c>
    </row>
    <row r="601" ht="21.75" customHeight="1" s="101">
      <c r="A601" s="13" t="inlineStr">
        <is>
          <t>Palay</t>
        </is>
      </c>
      <c r="B601" s="13" t="inlineStr">
        <is>
          <t>Pasileng Sur</t>
        </is>
      </c>
      <c r="C601" s="13" t="inlineStr">
        <is>
          <t>June</t>
        </is>
      </c>
      <c r="D601" s="13" t="inlineStr">
        <is>
          <t>2021</t>
        </is>
      </c>
      <c r="E601" s="13" t="inlineStr">
        <is>
          <t>WS 2021</t>
        </is>
      </c>
      <c r="F601" s="13" t="inlineStr">
        <is>
          <t>Planting</t>
        </is>
      </c>
      <c r="G601" s="7" t="n">
        <v>8.06</v>
      </c>
      <c r="H601" s="8" t="n">
        <v>27.03</v>
      </c>
      <c r="I601" s="8" t="n">
        <v>23.72</v>
      </c>
      <c r="J601" s="8" t="n">
        <v>34.26</v>
      </c>
      <c r="K601" s="8" t="n">
        <v>82.83</v>
      </c>
      <c r="L601" s="8" t="n">
        <v>98.25</v>
      </c>
      <c r="M601" s="8" t="n">
        <v>20.27</v>
      </c>
      <c r="N601" s="13" t="inlineStr">
        <is>
          <t>Type I – Tropical Monsoon (PAGASA)</t>
        </is>
      </c>
      <c r="O601" s="13" t="inlineStr">
        <is>
          <t>Wet</t>
        </is>
      </c>
      <c r="P601" s="13" t="inlineStr">
        <is>
          <t>Sandy Loam</t>
        </is>
      </c>
      <c r="Q601" s="13" t="inlineStr">
        <is>
          <t>Flat / Lowland</t>
        </is>
      </c>
      <c r="R601" s="14" t="n">
        <v>30</v>
      </c>
      <c r="S601" s="13" t="inlineStr">
        <is>
          <t>Tagamusing River</t>
        </is>
      </c>
      <c r="T601" s="15" t="n">
        <v>414.96</v>
      </c>
      <c r="U601" s="15" t="n">
        <v>150.9</v>
      </c>
      <c r="V601" s="15" t="n">
        <v>29.1</v>
      </c>
      <c r="W601" s="15" t="n">
        <v>180</v>
      </c>
      <c r="X601" s="15" t="n"/>
      <c r="Y601" s="15" t="n"/>
      <c r="Z601" s="16" t="n"/>
      <c r="AA601" s="17" t="inlineStr">
        <is>
          <t>Transplanting (Pindot) or Direct Seeding (Pinaghandaan)</t>
        </is>
      </c>
      <c r="AB601" s="17" t="inlineStr">
        <is>
          <t>Conventional Tillage: 2 plowings + 2 harrowings; soil workable when moist</t>
        </is>
      </c>
      <c r="AC601" s="17" t="inlineStr">
        <is>
          <t>Intermittent irrigation (Alternate Wetting and Drying — AWD); moderate retention</t>
        </is>
      </c>
    </row>
    <row r="602" ht="21.75" customHeight="1" s="101">
      <c r="A602" s="6" t="inlineStr">
        <is>
          <t>Palay</t>
        </is>
      </c>
      <c r="B602" s="6" t="inlineStr">
        <is>
          <t>Sta. Maria Norte</t>
        </is>
      </c>
      <c r="C602" s="6" t="inlineStr">
        <is>
          <t>June</t>
        </is>
      </c>
      <c r="D602" s="6" t="inlineStr">
        <is>
          <t>2021</t>
        </is>
      </c>
      <c r="E602" s="6" t="inlineStr">
        <is>
          <t>WS 2021</t>
        </is>
      </c>
      <c r="F602" s="6" t="inlineStr">
        <is>
          <t>Planting</t>
        </is>
      </c>
      <c r="G602" s="7" t="n">
        <v>8.06</v>
      </c>
      <c r="H602" s="8" t="n">
        <v>27.03</v>
      </c>
      <c r="I602" s="8" t="n">
        <v>23.72</v>
      </c>
      <c r="J602" s="8" t="n">
        <v>34.26</v>
      </c>
      <c r="K602" s="8" t="n">
        <v>82.83</v>
      </c>
      <c r="L602" s="8" t="n">
        <v>98.25</v>
      </c>
      <c r="M602" s="8" t="n">
        <v>20.27</v>
      </c>
      <c r="N602" s="6" t="inlineStr">
        <is>
          <t>Type I – Tropical Monsoon (PAGASA)</t>
        </is>
      </c>
      <c r="O602" s="6" t="inlineStr">
        <is>
          <t>Wet</t>
        </is>
      </c>
      <c r="P602" s="6" t="inlineStr">
        <is>
          <t>Sandy Loam</t>
        </is>
      </c>
      <c r="Q602" s="6" t="inlineStr">
        <is>
          <t>Flat / Lowland</t>
        </is>
      </c>
      <c r="R602" s="9" t="n">
        <v>30</v>
      </c>
      <c r="S602" s="6" t="inlineStr">
        <is>
          <t>Tagamusing River</t>
        </is>
      </c>
      <c r="T602" s="10" t="n">
        <v>157.08</v>
      </c>
      <c r="U602" s="10" t="n">
        <v>24.5</v>
      </c>
      <c r="V602" s="10" t="n">
        <v>43.5</v>
      </c>
      <c r="W602" s="10" t="n">
        <v>68</v>
      </c>
      <c r="X602" s="10" t="n"/>
      <c r="Y602" s="10" t="n"/>
      <c r="Z602" s="11" t="n"/>
      <c r="AA602" s="12" t="inlineStr">
        <is>
          <t>Transplanting (Pindot) or Direct Seeding (Pinaghandaan)</t>
        </is>
      </c>
      <c r="AB602" s="12" t="inlineStr">
        <is>
          <t>Conventional Tillage: 2 plowings + 2 harrowings; soil workable when moist</t>
        </is>
      </c>
      <c r="AC602" s="12" t="inlineStr">
        <is>
          <t>Intermittent irrigation (Alternate Wetting and Drying — AWD); moderate retention</t>
        </is>
      </c>
    </row>
    <row r="603" ht="21.75" customHeight="1" s="101">
      <c r="A603" s="13" t="inlineStr">
        <is>
          <t>Palay</t>
        </is>
      </c>
      <c r="B603" s="13" t="inlineStr">
        <is>
          <t>Bugayong</t>
        </is>
      </c>
      <c r="C603" s="13" t="inlineStr">
        <is>
          <t>June</t>
        </is>
      </c>
      <c r="D603" s="13" t="inlineStr">
        <is>
          <t>2021</t>
        </is>
      </c>
      <c r="E603" s="13" t="inlineStr">
        <is>
          <t>WS 2021</t>
        </is>
      </c>
      <c r="F603" s="13" t="inlineStr">
        <is>
          <t>Planting</t>
        </is>
      </c>
      <c r="G603" s="7" t="n">
        <v>8.06</v>
      </c>
      <c r="H603" s="8" t="n">
        <v>27.03</v>
      </c>
      <c r="I603" s="8" t="n">
        <v>23.72</v>
      </c>
      <c r="J603" s="8" t="n">
        <v>34.26</v>
      </c>
      <c r="K603" s="8" t="n">
        <v>82.83</v>
      </c>
      <c r="L603" s="8" t="n">
        <v>98.25</v>
      </c>
      <c r="M603" s="8" t="n">
        <v>20.27</v>
      </c>
      <c r="N603" s="13" t="inlineStr">
        <is>
          <t>Type I – Tropical Monsoon (PAGASA)</t>
        </is>
      </c>
      <c r="O603" s="13" t="inlineStr">
        <is>
          <t>Wet</t>
        </is>
      </c>
      <c r="P603" s="13" t="inlineStr">
        <is>
          <t>Sandy Loam / Silty Clay Loam</t>
        </is>
      </c>
      <c r="Q603" s="13" t="inlineStr">
        <is>
          <t>Flat / Lowland</t>
        </is>
      </c>
      <c r="R603" s="14" t="n">
        <v>30</v>
      </c>
      <c r="S603" s="13" t="inlineStr">
        <is>
          <t>Aloragat River</t>
        </is>
      </c>
      <c r="T603" s="15" t="n">
        <v>346.08</v>
      </c>
      <c r="U603" s="15" t="n">
        <v>25.95</v>
      </c>
      <c r="V603" s="15" t="n">
        <v>52.05</v>
      </c>
      <c r="W603" s="15" t="n">
        <v>78</v>
      </c>
      <c r="X603" s="15" t="n"/>
      <c r="Y603" s="15" t="n"/>
      <c r="Z603" s="16" t="n"/>
      <c r="AA603" s="17" t="inlineStr">
        <is>
          <t>Transplanting (Pindot) — recommended; Direct Seeding possible in dry season</t>
        </is>
      </c>
      <c r="AB603" s="17" t="inlineStr">
        <is>
          <t>Conventional Tillage: 2 plowings + harrowing; puddle thoroughly for transplanting</t>
        </is>
      </c>
      <c r="AC603" s="17" t="inlineStr">
        <is>
          <t>Intermittent to continuous flooding; manage according to drainage section present</t>
        </is>
      </c>
    </row>
    <row r="604" ht="21.75" customHeight="1" s="101">
      <c r="A604" s="6" t="inlineStr">
        <is>
          <t>Palay</t>
        </is>
      </c>
      <c r="B604" s="6" t="inlineStr">
        <is>
          <t>Santiago</t>
        </is>
      </c>
      <c r="C604" s="6" t="inlineStr">
        <is>
          <t>June</t>
        </is>
      </c>
      <c r="D604" s="6" t="inlineStr">
        <is>
          <t>2021</t>
        </is>
      </c>
      <c r="E604" s="6" t="inlineStr">
        <is>
          <t>WS 2021</t>
        </is>
      </c>
      <c r="F604" s="6" t="inlineStr">
        <is>
          <t>Planting</t>
        </is>
      </c>
      <c r="G604" s="7" t="n">
        <v>8.06</v>
      </c>
      <c r="H604" s="8" t="n">
        <v>27.03</v>
      </c>
      <c r="I604" s="8" t="n">
        <v>23.72</v>
      </c>
      <c r="J604" s="8" t="n">
        <v>34.26</v>
      </c>
      <c r="K604" s="8" t="n">
        <v>82.83</v>
      </c>
      <c r="L604" s="8" t="n">
        <v>98.25</v>
      </c>
      <c r="M604" s="8" t="n">
        <v>20.27</v>
      </c>
      <c r="N604" s="6" t="inlineStr">
        <is>
          <t>Type I – Tropical Monsoon (PAGASA)</t>
        </is>
      </c>
      <c r="O604" s="6" t="inlineStr">
        <is>
          <t>Wet</t>
        </is>
      </c>
      <c r="P604" s="6" t="inlineStr">
        <is>
          <t>Silty Clay Loam</t>
        </is>
      </c>
      <c r="Q604" s="6" t="inlineStr">
        <is>
          <t>Flat / Lowland</t>
        </is>
      </c>
      <c r="R604" s="9" t="n">
        <v>30</v>
      </c>
      <c r="S604" s="6" t="inlineStr">
        <is>
          <t>—</t>
        </is>
      </c>
      <c r="T604" s="10" t="n">
        <v>283.08</v>
      </c>
      <c r="U604" s="10" t="n">
        <v>103.6</v>
      </c>
      <c r="V604" s="10" t="n">
        <v>145.4</v>
      </c>
      <c r="W604" s="10" t="n">
        <v>249</v>
      </c>
      <c r="X604" s="10" t="n"/>
      <c r="Y604" s="10" t="n"/>
      <c r="Z604" s="11" t="n"/>
      <c r="AA604" s="12" t="inlineStr">
        <is>
          <t>Transplanting (Pindot) — optimal for clay-loam paddy fields</t>
        </is>
      </c>
      <c r="AB604" s="12" t="inlineStr">
        <is>
          <t>Wet Tillage (Puddling): 2 plowings + thorough harrowing under flooded condition</t>
        </is>
      </c>
      <c r="AC604" s="12" t="inlineStr">
        <is>
          <t>Continuous flooding 2–5 cm depth during vegetative stage; drain 2 weeks before harvest</t>
        </is>
      </c>
    </row>
    <row r="605" ht="21.75" customHeight="1" s="101">
      <c r="A605" s="13" t="inlineStr">
        <is>
          <t>Palay</t>
        </is>
      </c>
      <c r="B605" s="13" t="inlineStr">
        <is>
          <t>Pasileng Norte</t>
        </is>
      </c>
      <c r="C605" s="13" t="inlineStr">
        <is>
          <t>October</t>
        </is>
      </c>
      <c r="D605" s="13" t="inlineStr">
        <is>
          <t>2021</t>
        </is>
      </c>
      <c r="E605" s="13" t="inlineStr">
        <is>
          <t>WS 2021</t>
        </is>
      </c>
      <c r="F605" s="13" t="inlineStr">
        <is>
          <t>Harvest</t>
        </is>
      </c>
      <c r="G605" s="7" t="n">
        <v>10.89</v>
      </c>
      <c r="H605" s="8" t="n">
        <v>26.2</v>
      </c>
      <c r="I605" s="8" t="n">
        <v>20.65</v>
      </c>
      <c r="J605" s="8" t="n">
        <v>31.79</v>
      </c>
      <c r="K605" s="8" t="n">
        <v>85.65000000000001</v>
      </c>
      <c r="L605" s="8" t="n">
        <v>98.22</v>
      </c>
      <c r="M605" s="8" t="n">
        <v>16.96</v>
      </c>
      <c r="N605" s="13" t="inlineStr">
        <is>
          <t>Type I – Tropical Monsoon (PAGASA)</t>
        </is>
      </c>
      <c r="O605" s="13" t="inlineStr">
        <is>
          <t>Wet</t>
        </is>
      </c>
      <c r="P605" s="13" t="inlineStr">
        <is>
          <t>Sandy Loam</t>
        </is>
      </c>
      <c r="Q605" s="13" t="inlineStr">
        <is>
          <t>Flat / Lowland</t>
        </is>
      </c>
      <c r="R605" s="14" t="n">
        <v>30</v>
      </c>
      <c r="S605" s="13" t="inlineStr">
        <is>
          <t>Tagamusing River</t>
        </is>
      </c>
      <c r="T605" s="15" t="n">
        <v>140.28</v>
      </c>
      <c r="U605" s="15" t="n"/>
      <c r="V605" s="15" t="n"/>
      <c r="W605" s="15" t="n"/>
      <c r="X605" s="15" t="n">
        <v>18.07</v>
      </c>
      <c r="Y605" s="15" t="n">
        <v>92.89</v>
      </c>
      <c r="Z605" s="16" t="n">
        <v>5.14</v>
      </c>
      <c r="AA605" s="17" t="inlineStr">
        <is>
          <t>Transplanting (Pindot) or Direct Seeding (Pinaghandaan)</t>
        </is>
      </c>
      <c r="AB605" s="17" t="inlineStr">
        <is>
          <t>Conventional Tillage: 2 plowings + 2 harrowings; soil workable when moist</t>
        </is>
      </c>
      <c r="AC605" s="17" t="inlineStr">
        <is>
          <t>Intermittent irrigation (Alternate Wetting and Drying — AWD); moderate retention</t>
        </is>
      </c>
    </row>
    <row r="606" ht="21.75" customHeight="1" s="101">
      <c r="A606" s="6" t="inlineStr">
        <is>
          <t>Palay</t>
        </is>
      </c>
      <c r="B606" s="6" t="inlineStr">
        <is>
          <t>Tabuyoc</t>
        </is>
      </c>
      <c r="C606" s="6" t="inlineStr">
        <is>
          <t>October</t>
        </is>
      </c>
      <c r="D606" s="6" t="inlineStr">
        <is>
          <t>2021</t>
        </is>
      </c>
      <c r="E606" s="6" t="inlineStr">
        <is>
          <t>WS 2021</t>
        </is>
      </c>
      <c r="F606" s="6" t="inlineStr">
        <is>
          <t>Harvest</t>
        </is>
      </c>
      <c r="G606" s="7" t="n">
        <v>10.89</v>
      </c>
      <c r="H606" s="8" t="n">
        <v>26.2</v>
      </c>
      <c r="I606" s="8" t="n">
        <v>20.65</v>
      </c>
      <c r="J606" s="8" t="n">
        <v>31.79</v>
      </c>
      <c r="K606" s="8" t="n">
        <v>85.65000000000001</v>
      </c>
      <c r="L606" s="8" t="n">
        <v>98.22</v>
      </c>
      <c r="M606" s="8" t="n">
        <v>16.96</v>
      </c>
      <c r="N606" s="6" t="inlineStr">
        <is>
          <t>Type I – Tropical Monsoon (PAGASA)</t>
        </is>
      </c>
      <c r="O606" s="6" t="inlineStr">
        <is>
          <t>Wet</t>
        </is>
      </c>
      <c r="P606" s="6" t="inlineStr">
        <is>
          <t>Silty Clay Loam</t>
        </is>
      </c>
      <c r="Q606" s="6" t="inlineStr">
        <is>
          <t>Flat / Lowland</t>
        </is>
      </c>
      <c r="R606" s="9" t="n">
        <v>30</v>
      </c>
      <c r="S606" s="6" t="inlineStr">
        <is>
          <t>—</t>
        </is>
      </c>
      <c r="T606" s="10" t="n">
        <v>277.2</v>
      </c>
      <c r="U606" s="10" t="n"/>
      <c r="V606" s="10" t="n"/>
      <c r="W606" s="10" t="n"/>
      <c r="X606" s="10" t="n">
        <v>16.06</v>
      </c>
      <c r="Y606" s="10" t="n">
        <v>5.84</v>
      </c>
      <c r="Z606" s="11" t="n">
        <v>0.36</v>
      </c>
      <c r="AA606" s="12" t="inlineStr">
        <is>
          <t>Transplanting (Pindot) — optimal for clay-loam paddy fields</t>
        </is>
      </c>
      <c r="AB606" s="12" t="inlineStr">
        <is>
          <t>Wet Tillage (Puddling): 2 plowings + thorough harrowing under flooded condition</t>
        </is>
      </c>
      <c r="AC606" s="12" t="inlineStr">
        <is>
          <t>Continuous flooding 2–5 cm depth during vegetative stage; drain 2 weeks before harvest</t>
        </is>
      </c>
    </row>
    <row r="607" ht="21.75" customHeight="1" s="101">
      <c r="A607" s="13" t="inlineStr">
        <is>
          <t>Palay</t>
        </is>
      </c>
      <c r="B607" s="13" t="inlineStr">
        <is>
          <t>Bued</t>
        </is>
      </c>
      <c r="C607" s="13" t="inlineStr">
        <is>
          <t>October</t>
        </is>
      </c>
      <c r="D607" s="13" t="inlineStr">
        <is>
          <t>2021</t>
        </is>
      </c>
      <c r="E607" s="13" t="inlineStr">
        <is>
          <t>WS 2021</t>
        </is>
      </c>
      <c r="F607" s="13" t="inlineStr">
        <is>
          <t>Harvest</t>
        </is>
      </c>
      <c r="G607" s="7" t="n">
        <v>10.89</v>
      </c>
      <c r="H607" s="8" t="n">
        <v>26.2</v>
      </c>
      <c r="I607" s="8" t="n">
        <v>20.65</v>
      </c>
      <c r="J607" s="8" t="n">
        <v>31.79</v>
      </c>
      <c r="K607" s="8" t="n">
        <v>85.65000000000001</v>
      </c>
      <c r="L607" s="8" t="n">
        <v>98.22</v>
      </c>
      <c r="M607" s="8" t="n">
        <v>16.96</v>
      </c>
      <c r="N607" s="13" t="inlineStr">
        <is>
          <t>Type I – Tropical Monsoon (PAGASA)</t>
        </is>
      </c>
      <c r="O607" s="13" t="inlineStr">
        <is>
          <t>Wet</t>
        </is>
      </c>
      <c r="P607" s="13" t="inlineStr">
        <is>
          <t>Silty Clay Loam</t>
        </is>
      </c>
      <c r="Q607" s="13" t="inlineStr">
        <is>
          <t>Flat / Lowland</t>
        </is>
      </c>
      <c r="R607" s="14" t="n">
        <v>30</v>
      </c>
      <c r="S607" s="13" t="inlineStr">
        <is>
          <t>Tagamusing River</t>
        </is>
      </c>
      <c r="T607" s="15" t="n">
        <v>210.84</v>
      </c>
      <c r="U607" s="15" t="n"/>
      <c r="V607" s="15" t="n"/>
      <c r="W607" s="15" t="n"/>
      <c r="X607" s="15" t="n">
        <v>73.3</v>
      </c>
      <c r="Y607" s="15" t="n">
        <v>157.91</v>
      </c>
      <c r="Z607" s="16" t="n">
        <v>2.15</v>
      </c>
      <c r="AA607" s="17" t="inlineStr">
        <is>
          <t>Transplanting (Pindot) — optimal for clay-loam paddy fields</t>
        </is>
      </c>
      <c r="AB607" s="17" t="inlineStr">
        <is>
          <t>Wet Tillage (Puddling): 2 plowings + thorough harrowing under flooded condition</t>
        </is>
      </c>
      <c r="AC607" s="17" t="inlineStr">
        <is>
          <t>Continuous flooding 2–5 cm depth during vegetative stage; drain 2 weeks before harvest</t>
        </is>
      </c>
    </row>
    <row r="608" ht="21.75" customHeight="1" s="101">
      <c r="A608" s="6" t="inlineStr">
        <is>
          <t>Palay</t>
        </is>
      </c>
      <c r="B608" s="6" t="inlineStr">
        <is>
          <t>Dumayat</t>
        </is>
      </c>
      <c r="C608" s="6" t="inlineStr">
        <is>
          <t>October</t>
        </is>
      </c>
      <c r="D608" s="6" t="inlineStr">
        <is>
          <t>2021</t>
        </is>
      </c>
      <c r="E608" s="6" t="inlineStr">
        <is>
          <t>WS 2021</t>
        </is>
      </c>
      <c r="F608" s="6" t="inlineStr">
        <is>
          <t>Harvest</t>
        </is>
      </c>
      <c r="G608" s="7" t="n">
        <v>10.89</v>
      </c>
      <c r="H608" s="8" t="n">
        <v>26.2</v>
      </c>
      <c r="I608" s="8" t="n">
        <v>20.65</v>
      </c>
      <c r="J608" s="8" t="n">
        <v>31.79</v>
      </c>
      <c r="K608" s="8" t="n">
        <v>85.65000000000001</v>
      </c>
      <c r="L608" s="8" t="n">
        <v>98.22</v>
      </c>
      <c r="M608" s="8" t="n">
        <v>16.96</v>
      </c>
      <c r="N608" s="6" t="inlineStr">
        <is>
          <t>Type I – Tropical Monsoon (PAGASA)</t>
        </is>
      </c>
      <c r="O608" s="6" t="inlineStr">
        <is>
          <t>Wet</t>
        </is>
      </c>
      <c r="P608" s="6" t="inlineStr">
        <is>
          <t>Silty Clay Loam</t>
        </is>
      </c>
      <c r="Q608" s="6" t="inlineStr">
        <is>
          <t>Flat / Lowland</t>
        </is>
      </c>
      <c r="R608" s="9" t="n">
        <v>30</v>
      </c>
      <c r="S608" s="6" t="inlineStr">
        <is>
          <t>—</t>
        </is>
      </c>
      <c r="T608" s="10" t="n">
        <v>266.28</v>
      </c>
      <c r="U608" s="10" t="n"/>
      <c r="V608" s="10" t="n"/>
      <c r="W608" s="10" t="n"/>
      <c r="X608" s="10" t="n">
        <v>70.11</v>
      </c>
      <c r="Y608" s="10" t="n">
        <v>8</v>
      </c>
      <c r="Z608" s="11" t="n">
        <v>0.11</v>
      </c>
      <c r="AA608" s="12" t="inlineStr">
        <is>
          <t>Transplanting (Pindot) — optimal for clay-loam paddy fields</t>
        </is>
      </c>
      <c r="AB608" s="12" t="inlineStr">
        <is>
          <t>Wet Tillage (Puddling): 2 plowings + thorough harrowing under flooded condition</t>
        </is>
      </c>
      <c r="AC608" s="12" t="inlineStr">
        <is>
          <t>Continuous flooding 2–5 cm depth during vegetative stage; drain 2 weeks before harvest</t>
        </is>
      </c>
    </row>
    <row r="609" ht="21.75" customHeight="1" s="101">
      <c r="A609" s="13" t="inlineStr">
        <is>
          <t>Palay</t>
        </is>
      </c>
      <c r="B609" s="13" t="inlineStr">
        <is>
          <t>Camanggaan</t>
        </is>
      </c>
      <c r="C609" s="13" t="inlineStr">
        <is>
          <t>October</t>
        </is>
      </c>
      <c r="D609" s="13" t="inlineStr">
        <is>
          <t>2021</t>
        </is>
      </c>
      <c r="E609" s="13" t="inlineStr">
        <is>
          <t>WS 2021</t>
        </is>
      </c>
      <c r="F609" s="13" t="inlineStr">
        <is>
          <t>Harvest</t>
        </is>
      </c>
      <c r="G609" s="7" t="n">
        <v>10.89</v>
      </c>
      <c r="H609" s="8" t="n">
        <v>26.2</v>
      </c>
      <c r="I609" s="8" t="n">
        <v>20.65</v>
      </c>
      <c r="J609" s="8" t="n">
        <v>31.79</v>
      </c>
      <c r="K609" s="8" t="n">
        <v>85.65000000000001</v>
      </c>
      <c r="L609" s="8" t="n">
        <v>98.22</v>
      </c>
      <c r="M609" s="8" t="n">
        <v>16.96</v>
      </c>
      <c r="N609" s="13" t="inlineStr">
        <is>
          <t>Type I – Tropical Monsoon (PAGASA)</t>
        </is>
      </c>
      <c r="O609" s="13" t="inlineStr">
        <is>
          <t>Wet</t>
        </is>
      </c>
      <c r="P609" s="13" t="inlineStr">
        <is>
          <t>Sandy Loam</t>
        </is>
      </c>
      <c r="Q609" s="13" t="inlineStr">
        <is>
          <t>Flat / Lowland</t>
        </is>
      </c>
      <c r="R609" s="14" t="n">
        <v>30</v>
      </c>
      <c r="S609" s="13" t="inlineStr">
        <is>
          <t>—</t>
        </is>
      </c>
      <c r="T609" s="15" t="n">
        <v>244.44</v>
      </c>
      <c r="U609" s="15" t="n"/>
      <c r="V609" s="15" t="n"/>
      <c r="W609" s="15" t="n"/>
      <c r="X609" s="15" t="n">
        <v>6.85</v>
      </c>
      <c r="Y609" s="15" t="n">
        <v>19.27</v>
      </c>
      <c r="Z609" s="16" t="n">
        <v>2.81</v>
      </c>
      <c r="AA609" s="17" t="inlineStr">
        <is>
          <t>Transplanting (Pindot) or Direct Seeding (Pinaghandaan)</t>
        </is>
      </c>
      <c r="AB609" s="17" t="inlineStr">
        <is>
          <t>Conventional Tillage: 2 plowings + 2 harrowings; soil workable when moist</t>
        </is>
      </c>
      <c r="AC609" s="17" t="inlineStr">
        <is>
          <t>Intermittent irrigation (Alternate Wetting and Drying — AWD); moderate retention</t>
        </is>
      </c>
    </row>
    <row r="610" ht="21.75" customHeight="1" s="101">
      <c r="A610" s="6" t="inlineStr">
        <is>
          <t>Palay</t>
        </is>
      </c>
      <c r="B610" s="6" t="inlineStr">
        <is>
          <t>Vacante</t>
        </is>
      </c>
      <c r="C610" s="6" t="inlineStr">
        <is>
          <t>October</t>
        </is>
      </c>
      <c r="D610" s="6" t="inlineStr">
        <is>
          <t>2021</t>
        </is>
      </c>
      <c r="E610" s="6" t="inlineStr">
        <is>
          <t>WS 2021</t>
        </is>
      </c>
      <c r="F610" s="6" t="inlineStr">
        <is>
          <t>Harvest</t>
        </is>
      </c>
      <c r="G610" s="7" t="n">
        <v>10.89</v>
      </c>
      <c r="H610" s="8" t="n">
        <v>26.2</v>
      </c>
      <c r="I610" s="8" t="n">
        <v>20.65</v>
      </c>
      <c r="J610" s="8" t="n">
        <v>31.79</v>
      </c>
      <c r="K610" s="8" t="n">
        <v>85.65000000000001</v>
      </c>
      <c r="L610" s="8" t="n">
        <v>98.22</v>
      </c>
      <c r="M610" s="8" t="n">
        <v>16.96</v>
      </c>
      <c r="N610" s="6" t="inlineStr">
        <is>
          <t>Type I – Tropical Monsoon (PAGASA)</t>
        </is>
      </c>
      <c r="O610" s="6" t="inlineStr">
        <is>
          <t>Wet</t>
        </is>
      </c>
      <c r="P610" s="6" t="inlineStr">
        <is>
          <t>Silty Clay Loam</t>
        </is>
      </c>
      <c r="Q610" s="6" t="inlineStr">
        <is>
          <t>Flat / Lowland</t>
        </is>
      </c>
      <c r="R610" s="9" t="n">
        <v>30</v>
      </c>
      <c r="S610" s="6" t="inlineStr">
        <is>
          <t>Aloragat River</t>
        </is>
      </c>
      <c r="T610" s="10" t="n">
        <v>484.68</v>
      </c>
      <c r="U610" s="10" t="n"/>
      <c r="V610" s="10" t="n"/>
      <c r="W610" s="10" t="n"/>
      <c r="X610" s="10" t="n">
        <v>6.37</v>
      </c>
      <c r="Y610" s="10" t="n">
        <v>8.34</v>
      </c>
      <c r="Z610" s="11" t="n">
        <v>1.31</v>
      </c>
      <c r="AA610" s="12" t="inlineStr">
        <is>
          <t>Transplanting (Pindot) — optimal for clay-loam paddy fields</t>
        </is>
      </c>
      <c r="AB610" s="12" t="inlineStr">
        <is>
          <t>Wet Tillage (Puddling): 2 plowings + thorough harrowing under flooded condition</t>
        </is>
      </c>
      <c r="AC610" s="12" t="inlineStr">
        <is>
          <t>Continuous flooding 2–5 cm depth during vegetative stage; drain 2 weeks before harvest</t>
        </is>
      </c>
    </row>
    <row r="611" ht="21.75" customHeight="1" s="101">
      <c r="A611" s="13" t="inlineStr">
        <is>
          <t>Palay</t>
        </is>
      </c>
      <c r="B611" s="13" t="inlineStr">
        <is>
          <t>Sta. Catalina</t>
        </is>
      </c>
      <c r="C611" s="13" t="inlineStr">
        <is>
          <t>October</t>
        </is>
      </c>
      <c r="D611" s="13" t="inlineStr">
        <is>
          <t>2021</t>
        </is>
      </c>
      <c r="E611" s="13" t="inlineStr">
        <is>
          <t>WS 2021</t>
        </is>
      </c>
      <c r="F611" s="13" t="inlineStr">
        <is>
          <t>Harvest</t>
        </is>
      </c>
      <c r="G611" s="7" t="n">
        <v>10.89</v>
      </c>
      <c r="H611" s="8" t="n">
        <v>26.2</v>
      </c>
      <c r="I611" s="8" t="n">
        <v>20.65</v>
      </c>
      <c r="J611" s="8" t="n">
        <v>31.79</v>
      </c>
      <c r="K611" s="8" t="n">
        <v>85.65000000000001</v>
      </c>
      <c r="L611" s="8" t="n">
        <v>98.22</v>
      </c>
      <c r="M611" s="8" t="n">
        <v>16.96</v>
      </c>
      <c r="N611" s="13" t="inlineStr">
        <is>
          <t>Type I – Tropical Monsoon (PAGASA)</t>
        </is>
      </c>
      <c r="O611" s="13" t="inlineStr">
        <is>
          <t>Wet</t>
        </is>
      </c>
      <c r="P611" s="13" t="inlineStr">
        <is>
          <t>Fine Sand / Sandy Loam</t>
        </is>
      </c>
      <c r="Q611" s="13" t="inlineStr">
        <is>
          <t>Moderately Sloping / Highland</t>
        </is>
      </c>
      <c r="R611" s="14" t="n">
        <v>90</v>
      </c>
      <c r="S611" s="13" t="inlineStr">
        <is>
          <t>—</t>
        </is>
      </c>
      <c r="T611" s="15" t="n">
        <v>709.8</v>
      </c>
      <c r="U611" s="15" t="n"/>
      <c r="V611" s="15" t="n"/>
      <c r="W611" s="15" t="n"/>
      <c r="X611" s="15" t="n">
        <v>13.47</v>
      </c>
      <c r="Y611" s="15" t="n">
        <v>94.73999999999999</v>
      </c>
      <c r="Z611" s="16" t="n">
        <v>7.03</v>
      </c>
      <c r="AA611" s="17" t="inlineStr">
        <is>
          <t>Transplanting (Pindot)</t>
        </is>
      </c>
      <c r="AB611" s="17" t="inlineStr">
        <is>
          <t>Minimum Tillage (avoid compaction; sandy structure fragile)</t>
        </is>
      </c>
      <c r="AC611" s="17" t="inlineStr">
        <is>
          <t>Continuous flooding or frequent irrigation; high percolation risk; terrace or bund-assisted water retention essential on slopes</t>
        </is>
      </c>
    </row>
    <row r="612" ht="21.75" customHeight="1" s="101">
      <c r="A612" s="6" t="inlineStr">
        <is>
          <t>Palay</t>
        </is>
      </c>
      <c r="B612" s="6" t="inlineStr">
        <is>
          <t>Moreno</t>
        </is>
      </c>
      <c r="C612" s="6" t="inlineStr">
        <is>
          <t>October</t>
        </is>
      </c>
      <c r="D612" s="6" t="inlineStr">
        <is>
          <t>2021</t>
        </is>
      </c>
      <c r="E612" s="6" t="inlineStr">
        <is>
          <t>WS 2021</t>
        </is>
      </c>
      <c r="F612" s="6" t="inlineStr">
        <is>
          <t>Harvest</t>
        </is>
      </c>
      <c r="G612" s="7" t="n">
        <v>10.89</v>
      </c>
      <c r="H612" s="8" t="n">
        <v>26.2</v>
      </c>
      <c r="I612" s="8" t="n">
        <v>20.65</v>
      </c>
      <c r="J612" s="8" t="n">
        <v>31.79</v>
      </c>
      <c r="K612" s="8" t="n">
        <v>85.65000000000001</v>
      </c>
      <c r="L612" s="8" t="n">
        <v>98.22</v>
      </c>
      <c r="M612" s="8" t="n">
        <v>16.96</v>
      </c>
      <c r="N612" s="6" t="inlineStr">
        <is>
          <t>Type I – Tropical Monsoon (PAGASA)</t>
        </is>
      </c>
      <c r="O612" s="6" t="inlineStr">
        <is>
          <t>Wet</t>
        </is>
      </c>
      <c r="P612" s="6" t="inlineStr">
        <is>
          <t>Sandy Loam</t>
        </is>
      </c>
      <c r="Q612" s="6" t="inlineStr">
        <is>
          <t>Moderately Sloping / Highland</t>
        </is>
      </c>
      <c r="R612" s="9" t="n">
        <v>90</v>
      </c>
      <c r="S612" s="6" t="inlineStr">
        <is>
          <t>Alibeng River</t>
        </is>
      </c>
      <c r="T612" s="10" t="n">
        <v>641.76</v>
      </c>
      <c r="U612" s="10" t="n"/>
      <c r="V612" s="10" t="n"/>
      <c r="W612" s="10" t="n"/>
      <c r="X612" s="10" t="n">
        <v>45.72</v>
      </c>
      <c r="Y612" s="10" t="n">
        <v>126.27</v>
      </c>
      <c r="Z612" s="11" t="n">
        <v>2.76</v>
      </c>
      <c r="AA612" s="12" t="inlineStr">
        <is>
          <t>Transplanting (Pindot) or Direct Seeding (Pinaghandaan)</t>
        </is>
      </c>
      <c r="AB612" s="12" t="inlineStr">
        <is>
          <t>Conventional Tillage: 2 plowings + 2 harrowings; soil workable when moist</t>
        </is>
      </c>
      <c r="AC612" s="12" t="inlineStr">
        <is>
          <t>Intermittent irrigation (Alternate Wetting and Drying — AWD); moderate retention; terrace or bund-assisted water retention essential on slopes</t>
        </is>
      </c>
    </row>
    <row r="613" ht="21.75" customHeight="1" s="101">
      <c r="A613" s="13" t="inlineStr">
        <is>
          <t>Palay</t>
        </is>
      </c>
      <c r="B613" s="13" t="inlineStr">
        <is>
          <t>Cili</t>
        </is>
      </c>
      <c r="C613" s="13" t="inlineStr">
        <is>
          <t>October</t>
        </is>
      </c>
      <c r="D613" s="13" t="inlineStr">
        <is>
          <t>2021</t>
        </is>
      </c>
      <c r="E613" s="13" t="inlineStr">
        <is>
          <t>WS 2021</t>
        </is>
      </c>
      <c r="F613" s="13" t="inlineStr">
        <is>
          <t>Harvest</t>
        </is>
      </c>
      <c r="G613" s="7" t="n">
        <v>10.89</v>
      </c>
      <c r="H613" s="8" t="n">
        <v>26.2</v>
      </c>
      <c r="I613" s="8" t="n">
        <v>20.65</v>
      </c>
      <c r="J613" s="8" t="n">
        <v>31.79</v>
      </c>
      <c r="K613" s="8" t="n">
        <v>85.65000000000001</v>
      </c>
      <c r="L613" s="8" t="n">
        <v>98.22</v>
      </c>
      <c r="M613" s="8" t="n">
        <v>16.96</v>
      </c>
      <c r="N613" s="13" t="inlineStr">
        <is>
          <t>Type I – Tropical Monsoon (PAGASA)</t>
        </is>
      </c>
      <c r="O613" s="13" t="inlineStr">
        <is>
          <t>Wet</t>
        </is>
      </c>
      <c r="P613" s="13" t="inlineStr">
        <is>
          <t>Silty Clay Loam</t>
        </is>
      </c>
      <c r="Q613" s="13" t="inlineStr">
        <is>
          <t>Flat / Lowland</t>
        </is>
      </c>
      <c r="R613" s="14" t="n">
        <v>30</v>
      </c>
      <c r="S613" s="13" t="inlineStr">
        <is>
          <t>Alibeng River</t>
        </is>
      </c>
      <c r="T613" s="15" t="n">
        <v>264.6</v>
      </c>
      <c r="U613" s="15" t="n"/>
      <c r="V613" s="15" t="n"/>
      <c r="W613" s="15" t="n"/>
      <c r="X613" s="15" t="n">
        <v>75.14</v>
      </c>
      <c r="Y613" s="15" t="n">
        <v>5.28</v>
      </c>
      <c r="Z613" s="16" t="n">
        <v>0.07000000000000001</v>
      </c>
      <c r="AA613" s="17" t="inlineStr">
        <is>
          <t>Transplanting (Pindot) — optimal for clay-loam paddy fields</t>
        </is>
      </c>
      <c r="AB613" s="17" t="inlineStr">
        <is>
          <t>Wet Tillage (Puddling): 2 plowings + thorough harrowing under flooded condition</t>
        </is>
      </c>
      <c r="AC613" s="17" t="inlineStr">
        <is>
          <t>Continuous flooding 2–5 cm depth during vegetative stage; drain 2 weeks before harvest</t>
        </is>
      </c>
    </row>
    <row r="614" ht="21.75" customHeight="1" s="101">
      <c r="A614" s="6" t="inlineStr">
        <is>
          <t>Palay</t>
        </is>
      </c>
      <c r="B614" s="6" t="inlineStr">
        <is>
          <t>Linmansangan</t>
        </is>
      </c>
      <c r="C614" s="6" t="inlineStr">
        <is>
          <t>October</t>
        </is>
      </c>
      <c r="D614" s="6" t="inlineStr">
        <is>
          <t>2021</t>
        </is>
      </c>
      <c r="E614" s="6" t="inlineStr">
        <is>
          <t>WS 2021</t>
        </is>
      </c>
      <c r="F614" s="6" t="inlineStr">
        <is>
          <t>Harvest</t>
        </is>
      </c>
      <c r="G614" s="7" t="n">
        <v>10.89</v>
      </c>
      <c r="H614" s="8" t="n">
        <v>26.2</v>
      </c>
      <c r="I614" s="8" t="n">
        <v>20.65</v>
      </c>
      <c r="J614" s="8" t="n">
        <v>31.79</v>
      </c>
      <c r="K614" s="8" t="n">
        <v>85.65000000000001</v>
      </c>
      <c r="L614" s="8" t="n">
        <v>98.22</v>
      </c>
      <c r="M614" s="8" t="n">
        <v>16.96</v>
      </c>
      <c r="N614" s="6" t="inlineStr">
        <is>
          <t>Type I – Tropical Monsoon (PAGASA)</t>
        </is>
      </c>
      <c r="O614" s="6" t="inlineStr">
        <is>
          <t>Wet</t>
        </is>
      </c>
      <c r="P614" s="6" t="inlineStr">
        <is>
          <t>Silty Clay Loam</t>
        </is>
      </c>
      <c r="Q614" s="6" t="inlineStr">
        <is>
          <t>Flat / Lowland</t>
        </is>
      </c>
      <c r="R614" s="9" t="n">
        <v>30</v>
      </c>
      <c r="S614" s="6" t="inlineStr">
        <is>
          <t>—</t>
        </is>
      </c>
      <c r="T614" s="10" t="n">
        <v>492.24</v>
      </c>
      <c r="U614" s="10" t="n"/>
      <c r="V614" s="10" t="n"/>
      <c r="W614" s="10" t="n"/>
      <c r="X614" s="10" t="n">
        <v>88.77</v>
      </c>
      <c r="Y614" s="10" t="n">
        <v>157.93</v>
      </c>
      <c r="Z614" s="11" t="n">
        <v>1.78</v>
      </c>
      <c r="AA614" s="12" t="inlineStr">
        <is>
          <t>Transplanting (Pindot) — optimal for clay-loam paddy fields</t>
        </is>
      </c>
      <c r="AB614" s="12" t="inlineStr">
        <is>
          <t>Wet Tillage (Puddling): 2 plowings + thorough harrowing under flooded condition</t>
        </is>
      </c>
      <c r="AC614" s="12" t="inlineStr">
        <is>
          <t>Continuous flooding 2–5 cm depth during vegetative stage; drain 2 weeks before harvest</t>
        </is>
      </c>
    </row>
    <row r="615" ht="21.75" customHeight="1" s="101">
      <c r="A615" s="13" t="inlineStr">
        <is>
          <t>Palay</t>
        </is>
      </c>
      <c r="B615" s="13" t="inlineStr">
        <is>
          <t>Sumabnit</t>
        </is>
      </c>
      <c r="C615" s="13" t="inlineStr">
        <is>
          <t>October</t>
        </is>
      </c>
      <c r="D615" s="13" t="inlineStr">
        <is>
          <t>2021</t>
        </is>
      </c>
      <c r="E615" s="13" t="inlineStr">
        <is>
          <t>WS 2021</t>
        </is>
      </c>
      <c r="F615" s="13" t="inlineStr">
        <is>
          <t>Harvest</t>
        </is>
      </c>
      <c r="G615" s="7" t="n">
        <v>10.89</v>
      </c>
      <c r="H615" s="8" t="n">
        <v>26.2</v>
      </c>
      <c r="I615" s="8" t="n">
        <v>20.65</v>
      </c>
      <c r="J615" s="8" t="n">
        <v>31.79</v>
      </c>
      <c r="K615" s="8" t="n">
        <v>85.65000000000001</v>
      </c>
      <c r="L615" s="8" t="n">
        <v>98.22</v>
      </c>
      <c r="M615" s="8" t="n">
        <v>16.96</v>
      </c>
      <c r="N615" s="13" t="inlineStr">
        <is>
          <t>Type I – Tropical Monsoon (PAGASA)</t>
        </is>
      </c>
      <c r="O615" s="13" t="inlineStr">
        <is>
          <t>Wet</t>
        </is>
      </c>
      <c r="P615" s="13" t="inlineStr">
        <is>
          <t>Silty Clay Loam / Fine Sandy Loam</t>
        </is>
      </c>
      <c r="Q615" s="13" t="inlineStr">
        <is>
          <t>Flat / Lowland</t>
        </is>
      </c>
      <c r="R615" s="14" t="n">
        <v>30</v>
      </c>
      <c r="S615" s="13" t="inlineStr">
        <is>
          <t>Tagamusing River</t>
        </is>
      </c>
      <c r="T615" s="15" t="n">
        <v>406.56</v>
      </c>
      <c r="U615" s="15" t="n"/>
      <c r="V615" s="15" t="n"/>
      <c r="W615" s="15" t="n"/>
      <c r="X615" s="15" t="n">
        <v>17.44</v>
      </c>
      <c r="Y615" s="15" t="n">
        <v>79.06</v>
      </c>
      <c r="Z615" s="16" t="n">
        <v>4.53</v>
      </c>
      <c r="AA615" s="17" t="inlineStr">
        <is>
          <t>Transplanting (Pindot)</t>
        </is>
      </c>
      <c r="AB615" s="17" t="inlineStr">
        <is>
          <t>Minimum Tillage (avoid compaction; sandy structure fragile)</t>
        </is>
      </c>
      <c r="AC615" s="17" t="inlineStr">
        <is>
          <t>Continuous flooding or frequent irrigation; high percolation risk</t>
        </is>
      </c>
    </row>
    <row r="616" ht="21.75" customHeight="1" s="101">
      <c r="A616" s="6" t="inlineStr">
        <is>
          <t>Palay</t>
        </is>
      </c>
      <c r="B616" s="6" t="inlineStr">
        <is>
          <t>Capas</t>
        </is>
      </c>
      <c r="C616" s="6" t="inlineStr">
        <is>
          <t>October</t>
        </is>
      </c>
      <c r="D616" s="6" t="inlineStr">
        <is>
          <t>2021</t>
        </is>
      </c>
      <c r="E616" s="6" t="inlineStr">
        <is>
          <t>WS 2021</t>
        </is>
      </c>
      <c r="F616" s="6" t="inlineStr">
        <is>
          <t>Harvest</t>
        </is>
      </c>
      <c r="G616" s="7" t="n">
        <v>10.89</v>
      </c>
      <c r="H616" s="8" t="n">
        <v>26.2</v>
      </c>
      <c r="I616" s="8" t="n">
        <v>20.65</v>
      </c>
      <c r="J616" s="8" t="n">
        <v>31.79</v>
      </c>
      <c r="K616" s="8" t="n">
        <v>85.65000000000001</v>
      </c>
      <c r="L616" s="8" t="n">
        <v>98.22</v>
      </c>
      <c r="M616" s="8" t="n">
        <v>16.96</v>
      </c>
      <c r="N616" s="6" t="inlineStr">
        <is>
          <t>Type I – Tropical Monsoon (PAGASA)</t>
        </is>
      </c>
      <c r="O616" s="6" t="inlineStr">
        <is>
          <t>Wet</t>
        </is>
      </c>
      <c r="P616" s="6" t="inlineStr">
        <is>
          <t>Sandy Loam</t>
        </is>
      </c>
      <c r="Q616" s="6" t="inlineStr">
        <is>
          <t>Flat / Lowland</t>
        </is>
      </c>
      <c r="R616" s="9" t="n">
        <v>30</v>
      </c>
      <c r="S616" s="6" t="inlineStr">
        <is>
          <t>—</t>
        </is>
      </c>
      <c r="T616" s="10" t="n">
        <v>377.16</v>
      </c>
      <c r="U616" s="10" t="n"/>
      <c r="V616" s="10" t="n"/>
      <c r="W616" s="10" t="n"/>
      <c r="X616" s="10" t="n">
        <v>2.73</v>
      </c>
      <c r="Y616" s="10" t="n">
        <v>21.84</v>
      </c>
      <c r="Z616" s="11" t="n">
        <v>8</v>
      </c>
      <c r="AA616" s="12" t="inlineStr">
        <is>
          <t>Transplanting (Pindot) or Direct Seeding (Pinaghandaan)</t>
        </is>
      </c>
      <c r="AB616" s="12" t="inlineStr">
        <is>
          <t>Conventional Tillage: 2 plowings + 2 harrowings; soil workable when moist</t>
        </is>
      </c>
      <c r="AC616" s="12" t="inlineStr">
        <is>
          <t>Intermittent irrigation (Alternate Wetting and Drying — AWD); moderate retention</t>
        </is>
      </c>
    </row>
    <row r="617" ht="21.75" customHeight="1" s="101">
      <c r="A617" s="13" t="inlineStr">
        <is>
          <t>Palay</t>
        </is>
      </c>
      <c r="B617" s="13" t="inlineStr">
        <is>
          <t>Mangkasuy</t>
        </is>
      </c>
      <c r="C617" s="13" t="inlineStr">
        <is>
          <t>October</t>
        </is>
      </c>
      <c r="D617" s="13" t="inlineStr">
        <is>
          <t>2021</t>
        </is>
      </c>
      <c r="E617" s="13" t="inlineStr">
        <is>
          <t>WS 2021</t>
        </is>
      </c>
      <c r="F617" s="13" t="inlineStr">
        <is>
          <t>Harvest</t>
        </is>
      </c>
      <c r="G617" s="7" t="n">
        <v>10.89</v>
      </c>
      <c r="H617" s="8" t="n">
        <v>26.2</v>
      </c>
      <c r="I617" s="8" t="n">
        <v>20.65</v>
      </c>
      <c r="J617" s="8" t="n">
        <v>31.79</v>
      </c>
      <c r="K617" s="8" t="n">
        <v>85.65000000000001</v>
      </c>
      <c r="L617" s="8" t="n">
        <v>98.22</v>
      </c>
      <c r="M617" s="8" t="n">
        <v>16.96</v>
      </c>
      <c r="N617" s="13" t="inlineStr">
        <is>
          <t>Type I – Tropical Monsoon (PAGASA)</t>
        </is>
      </c>
      <c r="O617" s="13" t="inlineStr">
        <is>
          <t>Wet</t>
        </is>
      </c>
      <c r="P617" s="13" t="inlineStr">
        <is>
          <t>Sandy Loam</t>
        </is>
      </c>
      <c r="Q617" s="13" t="inlineStr">
        <is>
          <t>Flat / Lowland</t>
        </is>
      </c>
      <c r="R617" s="14" t="n">
        <v>30</v>
      </c>
      <c r="S617" s="13" t="inlineStr">
        <is>
          <t>Tagamusing River</t>
        </is>
      </c>
      <c r="T617" s="15" t="n">
        <v>802.2</v>
      </c>
      <c r="U617" s="15" t="n"/>
      <c r="V617" s="15" t="n"/>
      <c r="W617" s="15" t="n"/>
      <c r="X617" s="15" t="n">
        <v>50.15</v>
      </c>
      <c r="Y617" s="15" t="n">
        <v>97.64</v>
      </c>
      <c r="Z617" s="16" t="n">
        <v>1.95</v>
      </c>
      <c r="AA617" s="17" t="inlineStr">
        <is>
          <t>Transplanting (Pindot) or Direct Seeding (Pinaghandaan)</t>
        </is>
      </c>
      <c r="AB617" s="17" t="inlineStr">
        <is>
          <t>Conventional Tillage: 2 plowings + 2 harrowings; soil workable when moist</t>
        </is>
      </c>
      <c r="AC617" s="17" t="inlineStr">
        <is>
          <t>Intermittent irrigation (Alternate Wetting and Drying — AWD); moderate retention</t>
        </is>
      </c>
    </row>
    <row r="618" ht="21.75" customHeight="1" s="101">
      <c r="A618" s="6" t="inlineStr">
        <is>
          <t>Palay</t>
        </is>
      </c>
      <c r="B618" s="6" t="inlineStr">
        <is>
          <t>San Pablo</t>
        </is>
      </c>
      <c r="C618" s="6" t="inlineStr">
        <is>
          <t>October</t>
        </is>
      </c>
      <c r="D618" s="6" t="inlineStr">
        <is>
          <t>2021</t>
        </is>
      </c>
      <c r="E618" s="6" t="inlineStr">
        <is>
          <t>WS 2021</t>
        </is>
      </c>
      <c r="F618" s="6" t="inlineStr">
        <is>
          <t>Harvest</t>
        </is>
      </c>
      <c r="G618" s="7" t="n">
        <v>10.89</v>
      </c>
      <c r="H618" s="8" t="n">
        <v>26.2</v>
      </c>
      <c r="I618" s="8" t="n">
        <v>20.65</v>
      </c>
      <c r="J618" s="8" t="n">
        <v>31.79</v>
      </c>
      <c r="K618" s="8" t="n">
        <v>85.65000000000001</v>
      </c>
      <c r="L618" s="8" t="n">
        <v>98.22</v>
      </c>
      <c r="M618" s="8" t="n">
        <v>16.96</v>
      </c>
      <c r="N618" s="6" t="inlineStr">
        <is>
          <t>Type I – Tropical Monsoon (PAGASA)</t>
        </is>
      </c>
      <c r="O618" s="6" t="inlineStr">
        <is>
          <t>Wet</t>
        </is>
      </c>
      <c r="P618" s="6" t="inlineStr">
        <is>
          <t>Sandy Loam</t>
        </is>
      </c>
      <c r="Q618" s="6" t="inlineStr">
        <is>
          <t>Flat / Lowland</t>
        </is>
      </c>
      <c r="R618" s="9" t="n">
        <v>30</v>
      </c>
      <c r="S618" s="6" t="inlineStr">
        <is>
          <t>San Pablo Creek</t>
        </is>
      </c>
      <c r="T618" s="10" t="n">
        <v>215.04</v>
      </c>
      <c r="U618" s="10" t="n"/>
      <c r="V618" s="10" t="n"/>
      <c r="W618" s="10" t="n"/>
      <c r="X618" s="10" t="n">
        <v>32.37</v>
      </c>
      <c r="Y618" s="10" t="n">
        <v>79.22</v>
      </c>
      <c r="Z618" s="11" t="n">
        <v>2.45</v>
      </c>
      <c r="AA618" s="12" t="inlineStr">
        <is>
          <t>Transplanting (Pindot) or Direct Seeding (Pinaghandaan)</t>
        </is>
      </c>
      <c r="AB618" s="12" t="inlineStr">
        <is>
          <t>Conventional Tillage: 2 plowings + 2 harrowings; soil workable when moist</t>
        </is>
      </c>
      <c r="AC618" s="12" t="inlineStr">
        <is>
          <t>Intermittent irrigation (Alternate Wetting and Drying — AWD); moderate retention</t>
        </is>
      </c>
    </row>
    <row r="619" ht="21.75" customHeight="1" s="101">
      <c r="A619" s="13" t="inlineStr">
        <is>
          <t>Palay</t>
        </is>
      </c>
      <c r="B619" s="13" t="inlineStr">
        <is>
          <t>Balangobong</t>
        </is>
      </c>
      <c r="C619" s="13" t="inlineStr">
        <is>
          <t>October</t>
        </is>
      </c>
      <c r="D619" s="13" t="inlineStr">
        <is>
          <t>2021</t>
        </is>
      </c>
      <c r="E619" s="13" t="inlineStr">
        <is>
          <t>WS 2021</t>
        </is>
      </c>
      <c r="F619" s="13" t="inlineStr">
        <is>
          <t>Harvest</t>
        </is>
      </c>
      <c r="G619" s="7" t="n">
        <v>10.89</v>
      </c>
      <c r="H619" s="8" t="n">
        <v>26.2</v>
      </c>
      <c r="I619" s="8" t="n">
        <v>20.65</v>
      </c>
      <c r="J619" s="8" t="n">
        <v>31.79</v>
      </c>
      <c r="K619" s="8" t="n">
        <v>85.65000000000001</v>
      </c>
      <c r="L619" s="8" t="n">
        <v>98.22</v>
      </c>
      <c r="M619" s="8" t="n">
        <v>16.96</v>
      </c>
      <c r="N619" s="13" t="inlineStr">
        <is>
          <t>Type I – Tropical Monsoon (PAGASA)</t>
        </is>
      </c>
      <c r="O619" s="13" t="inlineStr">
        <is>
          <t>Wet</t>
        </is>
      </c>
      <c r="P619" s="13" t="inlineStr">
        <is>
          <t>Silty Clay Loam</t>
        </is>
      </c>
      <c r="Q619" s="13" t="inlineStr">
        <is>
          <t>Flat / Lowland</t>
        </is>
      </c>
      <c r="R619" s="14" t="n">
        <v>30</v>
      </c>
      <c r="S619" s="13" t="inlineStr">
        <is>
          <t>—</t>
        </is>
      </c>
      <c r="T619" s="15" t="n">
        <v>281.4</v>
      </c>
      <c r="U619" s="15" t="n"/>
      <c r="V619" s="15" t="n"/>
      <c r="W619" s="15" t="n"/>
      <c r="X619" s="15" t="n">
        <v>97.12</v>
      </c>
      <c r="Y619" s="15" t="n">
        <v>307.78</v>
      </c>
      <c r="Z619" s="16" t="n">
        <v>3.17</v>
      </c>
      <c r="AA619" s="17" t="inlineStr">
        <is>
          <t>Transplanting (Pindot) — optimal for clay-loam paddy fields</t>
        </is>
      </c>
      <c r="AB619" s="17" t="inlineStr">
        <is>
          <t>Wet Tillage (Puddling): 2 plowings + thorough harrowing under flooded condition</t>
        </is>
      </c>
      <c r="AC619" s="17" t="inlineStr">
        <is>
          <t>Continuous flooding 2–5 cm depth during vegetative stage; drain 2 weeks before harvest</t>
        </is>
      </c>
    </row>
    <row r="620" ht="21.75" customHeight="1" s="101">
      <c r="A620" s="6" t="inlineStr">
        <is>
          <t>Palay</t>
        </is>
      </c>
      <c r="B620" s="6" t="inlineStr">
        <is>
          <t>San Felipe Central</t>
        </is>
      </c>
      <c r="C620" s="6" t="inlineStr">
        <is>
          <t>October</t>
        </is>
      </c>
      <c r="D620" s="6" t="inlineStr">
        <is>
          <t>2021</t>
        </is>
      </c>
      <c r="E620" s="6" t="inlineStr">
        <is>
          <t>WS 2021</t>
        </is>
      </c>
      <c r="F620" s="6" t="inlineStr">
        <is>
          <t>Harvest</t>
        </is>
      </c>
      <c r="G620" s="7" t="n">
        <v>10.89</v>
      </c>
      <c r="H620" s="8" t="n">
        <v>26.2</v>
      </c>
      <c r="I620" s="8" t="n">
        <v>20.65</v>
      </c>
      <c r="J620" s="8" t="n">
        <v>31.79</v>
      </c>
      <c r="K620" s="8" t="n">
        <v>85.65000000000001</v>
      </c>
      <c r="L620" s="8" t="n">
        <v>98.22</v>
      </c>
      <c r="M620" s="8" t="n">
        <v>16.96</v>
      </c>
      <c r="N620" s="6" t="inlineStr">
        <is>
          <t>Type I – Tropical Monsoon (PAGASA)</t>
        </is>
      </c>
      <c r="O620" s="6" t="inlineStr">
        <is>
          <t>Wet</t>
        </is>
      </c>
      <c r="P620" s="6" t="inlineStr">
        <is>
          <t>Sandy Loam</t>
        </is>
      </c>
      <c r="Q620" s="6" t="inlineStr">
        <is>
          <t>Flat / Lowland</t>
        </is>
      </c>
      <c r="R620" s="9" t="n">
        <v>30</v>
      </c>
      <c r="S620" s="6" t="inlineStr">
        <is>
          <t>—</t>
        </is>
      </c>
      <c r="T620" s="10" t="n">
        <v>452.76</v>
      </c>
      <c r="U620" s="10" t="n"/>
      <c r="V620" s="10" t="n"/>
      <c r="W620" s="10" t="n"/>
      <c r="X620" s="10" t="n">
        <v>20.12</v>
      </c>
      <c r="Y620" s="10" t="n">
        <v>5.51</v>
      </c>
      <c r="Z620" s="11" t="n">
        <v>0.27</v>
      </c>
      <c r="AA620" s="12" t="inlineStr">
        <is>
          <t>Transplanting (Pindot) or Direct Seeding (Pinaghandaan)</t>
        </is>
      </c>
      <c r="AB620" s="12" t="inlineStr">
        <is>
          <t>Conventional Tillage: 2 plowings + 2 harrowings; soil workable when moist</t>
        </is>
      </c>
      <c r="AC620" s="12" t="inlineStr">
        <is>
          <t>Intermittent irrigation (Alternate Wetting and Drying — AWD); moderate retention</t>
        </is>
      </c>
    </row>
    <row r="621" ht="21.75" customHeight="1" s="101">
      <c r="A621" s="13" t="inlineStr">
        <is>
          <t>Palay</t>
        </is>
      </c>
      <c r="B621" s="13" t="inlineStr">
        <is>
          <t>San Felipe Sur</t>
        </is>
      </c>
      <c r="C621" s="13" t="inlineStr">
        <is>
          <t>October</t>
        </is>
      </c>
      <c r="D621" s="13" t="inlineStr">
        <is>
          <t>2021</t>
        </is>
      </c>
      <c r="E621" s="13" t="inlineStr">
        <is>
          <t>WS 2021</t>
        </is>
      </c>
      <c r="F621" s="13" t="inlineStr">
        <is>
          <t>Harvest</t>
        </is>
      </c>
      <c r="G621" s="7" t="n">
        <v>10.89</v>
      </c>
      <c r="H621" s="8" t="n">
        <v>26.2</v>
      </c>
      <c r="I621" s="8" t="n">
        <v>20.65</v>
      </c>
      <c r="J621" s="8" t="n">
        <v>31.79</v>
      </c>
      <c r="K621" s="8" t="n">
        <v>85.65000000000001</v>
      </c>
      <c r="L621" s="8" t="n">
        <v>98.22</v>
      </c>
      <c r="M621" s="8" t="n">
        <v>16.96</v>
      </c>
      <c r="N621" s="13" t="inlineStr">
        <is>
          <t>Type I – Tropical Monsoon (PAGASA)</t>
        </is>
      </c>
      <c r="O621" s="13" t="inlineStr">
        <is>
          <t>Wet</t>
        </is>
      </c>
      <c r="P621" s="13" t="inlineStr">
        <is>
          <t>Sandy Loam</t>
        </is>
      </c>
      <c r="Q621" s="13" t="inlineStr">
        <is>
          <t>Flat / Lowland</t>
        </is>
      </c>
      <c r="R621" s="14" t="n">
        <v>30</v>
      </c>
      <c r="S621" s="13" t="inlineStr">
        <is>
          <t>Tagamusing River</t>
        </is>
      </c>
      <c r="T621" s="15" t="n">
        <v>504</v>
      </c>
      <c r="U621" s="15" t="n"/>
      <c r="V621" s="15" t="n"/>
      <c r="W621" s="15" t="n"/>
      <c r="X621" s="15" t="n">
        <v>54.06</v>
      </c>
      <c r="Y621" s="15" t="n">
        <v>11.5</v>
      </c>
      <c r="Z621" s="16" t="n">
        <v>0.21</v>
      </c>
      <c r="AA621" s="17" t="inlineStr">
        <is>
          <t>Transplanting (Pindot) or Direct Seeding (Pinaghandaan)</t>
        </is>
      </c>
      <c r="AB621" s="17" t="inlineStr">
        <is>
          <t>Conventional Tillage: 2 plowings + 2 harrowings; soil workable when moist</t>
        </is>
      </c>
      <c r="AC621" s="17" t="inlineStr">
        <is>
          <t>Intermittent irrigation (Alternate Wetting and Drying — AWD); moderate retention</t>
        </is>
      </c>
    </row>
    <row r="622" ht="21.75" customHeight="1" s="101">
      <c r="A622" s="6" t="inlineStr">
        <is>
          <t>Palay</t>
        </is>
      </c>
      <c r="B622" s="6" t="inlineStr">
        <is>
          <t>Pasileng Sur</t>
        </is>
      </c>
      <c r="C622" s="6" t="inlineStr">
        <is>
          <t>October</t>
        </is>
      </c>
      <c r="D622" s="6" t="inlineStr">
        <is>
          <t>2021</t>
        </is>
      </c>
      <c r="E622" s="6" t="inlineStr">
        <is>
          <t>WS 2021</t>
        </is>
      </c>
      <c r="F622" s="6" t="inlineStr">
        <is>
          <t>Harvest</t>
        </is>
      </c>
      <c r="G622" s="7" t="n">
        <v>10.89</v>
      </c>
      <c r="H622" s="8" t="n">
        <v>26.2</v>
      </c>
      <c r="I622" s="8" t="n">
        <v>20.65</v>
      </c>
      <c r="J622" s="8" t="n">
        <v>31.79</v>
      </c>
      <c r="K622" s="8" t="n">
        <v>85.65000000000001</v>
      </c>
      <c r="L622" s="8" t="n">
        <v>98.22</v>
      </c>
      <c r="M622" s="8" t="n">
        <v>16.96</v>
      </c>
      <c r="N622" s="6" t="inlineStr">
        <is>
          <t>Type I – Tropical Monsoon (PAGASA)</t>
        </is>
      </c>
      <c r="O622" s="6" t="inlineStr">
        <is>
          <t>Wet</t>
        </is>
      </c>
      <c r="P622" s="6" t="inlineStr">
        <is>
          <t>Sandy Loam</t>
        </is>
      </c>
      <c r="Q622" s="6" t="inlineStr">
        <is>
          <t>Flat / Lowland</t>
        </is>
      </c>
      <c r="R622" s="9" t="n">
        <v>30</v>
      </c>
      <c r="S622" s="6" t="inlineStr">
        <is>
          <t>Tagamusing River</t>
        </is>
      </c>
      <c r="T622" s="10" t="n">
        <v>414.96</v>
      </c>
      <c r="U622" s="10" t="n"/>
      <c r="V622" s="10" t="n"/>
      <c r="W622" s="10" t="n"/>
      <c r="X622" s="10" t="n">
        <v>17.25</v>
      </c>
      <c r="Y622" s="10" t="n">
        <v>4.94</v>
      </c>
      <c r="Z622" s="11" t="n">
        <v>0.29</v>
      </c>
      <c r="AA622" s="12" t="inlineStr">
        <is>
          <t>Transplanting (Pindot) or Direct Seeding (Pinaghandaan)</t>
        </is>
      </c>
      <c r="AB622" s="12" t="inlineStr">
        <is>
          <t>Conventional Tillage: 2 plowings + 2 harrowings; soil workable when moist</t>
        </is>
      </c>
      <c r="AC622" s="12" t="inlineStr">
        <is>
          <t>Intermittent irrigation (Alternate Wetting and Drying — AWD); moderate retention</t>
        </is>
      </c>
    </row>
    <row r="623" ht="21.75" customHeight="1" s="101">
      <c r="A623" s="13" t="inlineStr">
        <is>
          <t>Palay</t>
        </is>
      </c>
      <c r="B623" s="13" t="inlineStr">
        <is>
          <t>Sta. Maria Norte</t>
        </is>
      </c>
      <c r="C623" s="13" t="inlineStr">
        <is>
          <t>October</t>
        </is>
      </c>
      <c r="D623" s="13" t="inlineStr">
        <is>
          <t>2021</t>
        </is>
      </c>
      <c r="E623" s="13" t="inlineStr">
        <is>
          <t>WS 2021</t>
        </is>
      </c>
      <c r="F623" s="13" t="inlineStr">
        <is>
          <t>Harvest</t>
        </is>
      </c>
      <c r="G623" s="7" t="n">
        <v>10.89</v>
      </c>
      <c r="H623" s="8" t="n">
        <v>26.2</v>
      </c>
      <c r="I623" s="8" t="n">
        <v>20.65</v>
      </c>
      <c r="J623" s="8" t="n">
        <v>31.79</v>
      </c>
      <c r="K623" s="8" t="n">
        <v>85.65000000000001</v>
      </c>
      <c r="L623" s="8" t="n">
        <v>98.22</v>
      </c>
      <c r="M623" s="8" t="n">
        <v>16.96</v>
      </c>
      <c r="N623" s="13" t="inlineStr">
        <is>
          <t>Type I – Tropical Monsoon (PAGASA)</t>
        </is>
      </c>
      <c r="O623" s="13" t="inlineStr">
        <is>
          <t>Wet</t>
        </is>
      </c>
      <c r="P623" s="13" t="inlineStr">
        <is>
          <t>Sandy Loam</t>
        </is>
      </c>
      <c r="Q623" s="13" t="inlineStr">
        <is>
          <t>Flat / Lowland</t>
        </is>
      </c>
      <c r="R623" s="14" t="n">
        <v>30</v>
      </c>
      <c r="S623" s="13" t="inlineStr">
        <is>
          <t>Tagamusing River</t>
        </is>
      </c>
      <c r="T623" s="15" t="n">
        <v>157.08</v>
      </c>
      <c r="U623" s="15" t="n"/>
      <c r="V623" s="15" t="n"/>
      <c r="W623" s="15" t="n"/>
      <c r="X623" s="15" t="n">
        <v>40.09</v>
      </c>
      <c r="Y623" s="15" t="n">
        <v>9.619999999999999</v>
      </c>
      <c r="Z623" s="16" t="n">
        <v>0.24</v>
      </c>
      <c r="AA623" s="17" t="inlineStr">
        <is>
          <t>Transplanting (Pindot) or Direct Seeding (Pinaghandaan)</t>
        </is>
      </c>
      <c r="AB623" s="17" t="inlineStr">
        <is>
          <t>Conventional Tillage: 2 plowings + 2 harrowings; soil workable when moist</t>
        </is>
      </c>
      <c r="AC623" s="17" t="inlineStr">
        <is>
          <t>Intermittent irrigation (Alternate Wetting and Drying — AWD); moderate retention</t>
        </is>
      </c>
    </row>
    <row r="624" ht="21.75" customHeight="1" s="101">
      <c r="A624" s="6" t="inlineStr">
        <is>
          <t>Palay</t>
        </is>
      </c>
      <c r="B624" s="6" t="inlineStr">
        <is>
          <t>Bugayong</t>
        </is>
      </c>
      <c r="C624" s="6" t="inlineStr">
        <is>
          <t>October</t>
        </is>
      </c>
      <c r="D624" s="6" t="inlineStr">
        <is>
          <t>2021</t>
        </is>
      </c>
      <c r="E624" s="6" t="inlineStr">
        <is>
          <t>WS 2021</t>
        </is>
      </c>
      <c r="F624" s="6" t="inlineStr">
        <is>
          <t>Harvest</t>
        </is>
      </c>
      <c r="G624" s="7" t="n">
        <v>10.89</v>
      </c>
      <c r="H624" s="8" t="n">
        <v>26.2</v>
      </c>
      <c r="I624" s="8" t="n">
        <v>20.65</v>
      </c>
      <c r="J624" s="8" t="n">
        <v>31.79</v>
      </c>
      <c r="K624" s="8" t="n">
        <v>85.65000000000001</v>
      </c>
      <c r="L624" s="8" t="n">
        <v>98.22</v>
      </c>
      <c r="M624" s="8" t="n">
        <v>16.96</v>
      </c>
      <c r="N624" s="6" t="inlineStr">
        <is>
          <t>Type I – Tropical Monsoon (PAGASA)</t>
        </is>
      </c>
      <c r="O624" s="6" t="inlineStr">
        <is>
          <t>Wet</t>
        </is>
      </c>
      <c r="P624" s="6" t="inlineStr">
        <is>
          <t>Sandy Loam / Silty Clay Loam</t>
        </is>
      </c>
      <c r="Q624" s="6" t="inlineStr">
        <is>
          <t>Flat / Lowland</t>
        </is>
      </c>
      <c r="R624" s="9" t="n">
        <v>30</v>
      </c>
      <c r="S624" s="6" t="inlineStr">
        <is>
          <t>Aloragat River</t>
        </is>
      </c>
      <c r="T624" s="10" t="n">
        <v>346.08</v>
      </c>
      <c r="U624" s="10" t="n"/>
      <c r="V624" s="10" t="n"/>
      <c r="W624" s="10" t="n"/>
      <c r="X624" s="10" t="n">
        <v>24.91</v>
      </c>
      <c r="Y624" s="10" t="n">
        <v>76.68000000000001</v>
      </c>
      <c r="Z624" s="11" t="n">
        <v>3.08</v>
      </c>
      <c r="AA624" s="12" t="inlineStr">
        <is>
          <t>Transplanting (Pindot) — recommended; Direct Seeding possible in dry season</t>
        </is>
      </c>
      <c r="AB624" s="12" t="inlineStr">
        <is>
          <t>Conventional Tillage: 2 plowings + harrowing; puddle thoroughly for transplanting</t>
        </is>
      </c>
      <c r="AC624" s="12" t="inlineStr">
        <is>
          <t>Intermittent to continuous flooding; manage according to drainage section present</t>
        </is>
      </c>
    </row>
    <row r="625" ht="21.75" customHeight="1" s="101">
      <c r="A625" s="13" t="inlineStr">
        <is>
          <t>Palay</t>
        </is>
      </c>
      <c r="B625" s="13" t="inlineStr">
        <is>
          <t>Santiago</t>
        </is>
      </c>
      <c r="C625" s="13" t="inlineStr">
        <is>
          <t>October</t>
        </is>
      </c>
      <c r="D625" s="13" t="inlineStr">
        <is>
          <t>2021</t>
        </is>
      </c>
      <c r="E625" s="13" t="inlineStr">
        <is>
          <t>WS 2021</t>
        </is>
      </c>
      <c r="F625" s="13" t="inlineStr">
        <is>
          <t>Harvest</t>
        </is>
      </c>
      <c r="G625" s="7" t="n">
        <v>10.89</v>
      </c>
      <c r="H625" s="8" t="n">
        <v>26.2</v>
      </c>
      <c r="I625" s="8" t="n">
        <v>20.65</v>
      </c>
      <c r="J625" s="8" t="n">
        <v>31.79</v>
      </c>
      <c r="K625" s="8" t="n">
        <v>85.65000000000001</v>
      </c>
      <c r="L625" s="8" t="n">
        <v>98.22</v>
      </c>
      <c r="M625" s="8" t="n">
        <v>16.96</v>
      </c>
      <c r="N625" s="13" t="inlineStr">
        <is>
          <t>Type I – Tropical Monsoon (PAGASA)</t>
        </is>
      </c>
      <c r="O625" s="13" t="inlineStr">
        <is>
          <t>Wet</t>
        </is>
      </c>
      <c r="P625" s="13" t="inlineStr">
        <is>
          <t>Silty Clay Loam</t>
        </is>
      </c>
      <c r="Q625" s="13" t="inlineStr">
        <is>
          <t>Flat / Lowland</t>
        </is>
      </c>
      <c r="R625" s="14" t="n">
        <v>30</v>
      </c>
      <c r="S625" s="13" t="inlineStr">
        <is>
          <t>—</t>
        </is>
      </c>
      <c r="T625" s="15" t="n">
        <v>283.08</v>
      </c>
      <c r="U625" s="15" t="n"/>
      <c r="V625" s="15" t="n"/>
      <c r="W625" s="15" t="n"/>
      <c r="X625" s="15" t="n">
        <v>17.46</v>
      </c>
      <c r="Y625" s="15" t="n">
        <v>137.84</v>
      </c>
      <c r="Z625" s="16" t="n">
        <v>7.89</v>
      </c>
      <c r="AA625" s="17" t="inlineStr">
        <is>
          <t>Transplanting (Pindot) — optimal for clay-loam paddy fields</t>
        </is>
      </c>
      <c r="AB625" s="17" t="inlineStr">
        <is>
          <t>Wet Tillage (Puddling): 2 plowings + thorough harrowing under flooded condition</t>
        </is>
      </c>
      <c r="AC625" s="17" t="inlineStr">
        <is>
          <t>Continuous flooding 2–5 cm depth during vegetative stage; drain 2 weeks before harvest</t>
        </is>
      </c>
    </row>
    <row r="626" ht="21.75" customHeight="1" s="101">
      <c r="A626" s="6" t="inlineStr">
        <is>
          <t>Palay</t>
        </is>
      </c>
      <c r="B626" s="6" t="inlineStr">
        <is>
          <t>Pasileng Norte</t>
        </is>
      </c>
      <c r="C626" s="6" t="inlineStr">
        <is>
          <t>June</t>
        </is>
      </c>
      <c r="D626" s="6" t="inlineStr">
        <is>
          <t>2022</t>
        </is>
      </c>
      <c r="E626" s="6" t="inlineStr">
        <is>
          <t>WS 2022</t>
        </is>
      </c>
      <c r="F626" s="6" t="inlineStr">
        <is>
          <t>Planting</t>
        </is>
      </c>
      <c r="G626" s="7" t="n">
        <v>8.01</v>
      </c>
      <c r="H626" s="8" t="n">
        <v>27.14</v>
      </c>
      <c r="I626" s="8" t="n">
        <v>23.01</v>
      </c>
      <c r="J626" s="8" t="n">
        <v>32.47</v>
      </c>
      <c r="K626" s="8" t="n">
        <v>82.48</v>
      </c>
      <c r="L626" s="8" t="n">
        <v>98.2</v>
      </c>
      <c r="M626" s="8" t="n">
        <v>20.55</v>
      </c>
      <c r="N626" s="6" t="inlineStr">
        <is>
          <t>Type I – Tropical Monsoon (PAGASA)</t>
        </is>
      </c>
      <c r="O626" s="6" t="inlineStr">
        <is>
          <t>Wet</t>
        </is>
      </c>
      <c r="P626" s="6" t="inlineStr">
        <is>
          <t>Sandy Loam</t>
        </is>
      </c>
      <c r="Q626" s="6" t="inlineStr">
        <is>
          <t>Flat / Lowland</t>
        </is>
      </c>
      <c r="R626" s="9" t="n">
        <v>30</v>
      </c>
      <c r="S626" s="6" t="inlineStr">
        <is>
          <t>Tagamusing River</t>
        </is>
      </c>
      <c r="T626" s="10" t="n">
        <v>140.28</v>
      </c>
      <c r="U626" s="10" t="n">
        <v>78.34999999999999</v>
      </c>
      <c r="V626" s="10" t="n">
        <v>2.65</v>
      </c>
      <c r="W626" s="10" t="n">
        <v>81</v>
      </c>
      <c r="X626" s="10" t="n"/>
      <c r="Y626" s="10" t="n"/>
      <c r="Z626" s="11" t="n"/>
      <c r="AA626" s="12" t="inlineStr">
        <is>
          <t>Transplanting (Pindot) or Direct Seeding (Pinaghandaan)</t>
        </is>
      </c>
      <c r="AB626" s="12" t="inlineStr">
        <is>
          <t>Conventional Tillage: 2 plowings + 2 harrowings; soil workable when moist</t>
        </is>
      </c>
      <c r="AC626" s="12" t="inlineStr">
        <is>
          <t>Intermittent irrigation (Alternate Wetting and Drying — AWD); moderate retention</t>
        </is>
      </c>
    </row>
    <row r="627" ht="21.75" customHeight="1" s="101">
      <c r="A627" s="13" t="inlineStr">
        <is>
          <t>Palay</t>
        </is>
      </c>
      <c r="B627" s="13" t="inlineStr">
        <is>
          <t>Tabuyoc</t>
        </is>
      </c>
      <c r="C627" s="13" t="inlineStr">
        <is>
          <t>June</t>
        </is>
      </c>
      <c r="D627" s="13" t="inlineStr">
        <is>
          <t>2022</t>
        </is>
      </c>
      <c r="E627" s="13" t="inlineStr">
        <is>
          <t>WS 2022</t>
        </is>
      </c>
      <c r="F627" s="13" t="inlineStr">
        <is>
          <t>Planting</t>
        </is>
      </c>
      <c r="G627" s="7" t="n">
        <v>8.01</v>
      </c>
      <c r="H627" s="8" t="n">
        <v>27.14</v>
      </c>
      <c r="I627" s="8" t="n">
        <v>23.01</v>
      </c>
      <c r="J627" s="8" t="n">
        <v>32.47</v>
      </c>
      <c r="K627" s="8" t="n">
        <v>82.48</v>
      </c>
      <c r="L627" s="8" t="n">
        <v>98.2</v>
      </c>
      <c r="M627" s="8" t="n">
        <v>20.55</v>
      </c>
      <c r="N627" s="13" t="inlineStr">
        <is>
          <t>Type I – Tropical Monsoon (PAGASA)</t>
        </is>
      </c>
      <c r="O627" s="13" t="inlineStr">
        <is>
          <t>Wet</t>
        </is>
      </c>
      <c r="P627" s="13" t="inlineStr">
        <is>
          <t>Silty Clay Loam</t>
        </is>
      </c>
      <c r="Q627" s="13" t="inlineStr">
        <is>
          <t>Flat / Lowland</t>
        </is>
      </c>
      <c r="R627" s="14" t="n">
        <v>30</v>
      </c>
      <c r="S627" s="13" t="inlineStr">
        <is>
          <t>—</t>
        </is>
      </c>
      <c r="T627" s="15" t="n">
        <v>277.2</v>
      </c>
      <c r="U627" s="15" t="n">
        <v>134</v>
      </c>
      <c r="V627" s="15" t="n">
        <v>5</v>
      </c>
      <c r="W627" s="15" t="n">
        <v>139</v>
      </c>
      <c r="X627" s="15" t="n"/>
      <c r="Y627" s="15" t="n"/>
      <c r="Z627" s="16" t="n"/>
      <c r="AA627" s="17" t="inlineStr">
        <is>
          <t>Transplanting (Pindot) — optimal for clay-loam paddy fields</t>
        </is>
      </c>
      <c r="AB627" s="17" t="inlineStr">
        <is>
          <t>Wet Tillage (Puddling): 2 plowings + thorough harrowing under flooded condition</t>
        </is>
      </c>
      <c r="AC627" s="17" t="inlineStr">
        <is>
          <t>Continuous flooding 2–5 cm depth during vegetative stage; drain 2 weeks before harvest</t>
        </is>
      </c>
    </row>
    <row r="628" ht="21.75" customHeight="1" s="101">
      <c r="A628" s="6" t="inlineStr">
        <is>
          <t>Palay</t>
        </is>
      </c>
      <c r="B628" s="6" t="inlineStr">
        <is>
          <t>Bued</t>
        </is>
      </c>
      <c r="C628" s="6" t="inlineStr">
        <is>
          <t>June</t>
        </is>
      </c>
      <c r="D628" s="6" t="inlineStr">
        <is>
          <t>2022</t>
        </is>
      </c>
      <c r="E628" s="6" t="inlineStr">
        <is>
          <t>WS 2022</t>
        </is>
      </c>
      <c r="F628" s="6" t="inlineStr">
        <is>
          <t>Planting</t>
        </is>
      </c>
      <c r="G628" s="7" t="n">
        <v>8.01</v>
      </c>
      <c r="H628" s="8" t="n">
        <v>27.14</v>
      </c>
      <c r="I628" s="8" t="n">
        <v>23.01</v>
      </c>
      <c r="J628" s="8" t="n">
        <v>32.47</v>
      </c>
      <c r="K628" s="8" t="n">
        <v>82.48</v>
      </c>
      <c r="L628" s="8" t="n">
        <v>98.2</v>
      </c>
      <c r="M628" s="8" t="n">
        <v>20.55</v>
      </c>
      <c r="N628" s="6" t="inlineStr">
        <is>
          <t>Type I – Tropical Monsoon (PAGASA)</t>
        </is>
      </c>
      <c r="O628" s="6" t="inlineStr">
        <is>
          <t>Wet</t>
        </is>
      </c>
      <c r="P628" s="6" t="inlineStr">
        <is>
          <t>Silty Clay Loam</t>
        </is>
      </c>
      <c r="Q628" s="6" t="inlineStr">
        <is>
          <t>Flat / Lowland</t>
        </is>
      </c>
      <c r="R628" s="9" t="n">
        <v>30</v>
      </c>
      <c r="S628" s="6" t="inlineStr">
        <is>
          <t>Tagamusing River</t>
        </is>
      </c>
      <c r="T628" s="10" t="n">
        <v>210.84</v>
      </c>
      <c r="U628" s="10" t="n">
        <v>56.5</v>
      </c>
      <c r="V628" s="10" t="n">
        <v>37.5</v>
      </c>
      <c r="W628" s="10" t="n">
        <v>94</v>
      </c>
      <c r="X628" s="10" t="n"/>
      <c r="Y628" s="10" t="n"/>
      <c r="Z628" s="11" t="n"/>
      <c r="AA628" s="12" t="inlineStr">
        <is>
          <t>Transplanting (Pindot) — optimal for clay-loam paddy fields</t>
        </is>
      </c>
      <c r="AB628" s="12" t="inlineStr">
        <is>
          <t>Wet Tillage (Puddling): 2 plowings + thorough harrowing under flooded condition</t>
        </is>
      </c>
      <c r="AC628" s="12" t="inlineStr">
        <is>
          <t>Continuous flooding 2–5 cm depth during vegetative stage; drain 2 weeks before harvest</t>
        </is>
      </c>
    </row>
    <row r="629" ht="21.75" customHeight="1" s="101">
      <c r="A629" s="13" t="inlineStr">
        <is>
          <t>Palay</t>
        </is>
      </c>
      <c r="B629" s="13" t="inlineStr">
        <is>
          <t>Dumayat</t>
        </is>
      </c>
      <c r="C629" s="13" t="inlineStr">
        <is>
          <t>June</t>
        </is>
      </c>
      <c r="D629" s="13" t="inlineStr">
        <is>
          <t>2022</t>
        </is>
      </c>
      <c r="E629" s="13" t="inlineStr">
        <is>
          <t>WS 2022</t>
        </is>
      </c>
      <c r="F629" s="13" t="inlineStr">
        <is>
          <t>Planting</t>
        </is>
      </c>
      <c r="G629" s="7" t="n">
        <v>8.01</v>
      </c>
      <c r="H629" s="8" t="n">
        <v>27.14</v>
      </c>
      <c r="I629" s="8" t="n">
        <v>23.01</v>
      </c>
      <c r="J629" s="8" t="n">
        <v>32.47</v>
      </c>
      <c r="K629" s="8" t="n">
        <v>82.48</v>
      </c>
      <c r="L629" s="8" t="n">
        <v>98.2</v>
      </c>
      <c r="M629" s="8" t="n">
        <v>20.55</v>
      </c>
      <c r="N629" s="13" t="inlineStr">
        <is>
          <t>Type I – Tropical Monsoon (PAGASA)</t>
        </is>
      </c>
      <c r="O629" s="13" t="inlineStr">
        <is>
          <t>Wet</t>
        </is>
      </c>
      <c r="P629" s="13" t="inlineStr">
        <is>
          <t>Silty Clay Loam</t>
        </is>
      </c>
      <c r="Q629" s="13" t="inlineStr">
        <is>
          <t>Flat / Lowland</t>
        </is>
      </c>
      <c r="R629" s="14" t="n">
        <v>30</v>
      </c>
      <c r="S629" s="13" t="inlineStr">
        <is>
          <t>—</t>
        </is>
      </c>
      <c r="T629" s="15" t="n">
        <v>266.28</v>
      </c>
      <c r="U629" s="15" t="n">
        <v>56</v>
      </c>
      <c r="V629" s="15" t="n">
        <v>30</v>
      </c>
      <c r="W629" s="15" t="n">
        <v>86</v>
      </c>
      <c r="X629" s="15" t="n"/>
      <c r="Y629" s="15" t="n"/>
      <c r="Z629" s="16" t="n"/>
      <c r="AA629" s="17" t="inlineStr">
        <is>
          <t>Transplanting (Pindot) — optimal for clay-loam paddy fields</t>
        </is>
      </c>
      <c r="AB629" s="17" t="inlineStr">
        <is>
          <t>Wet Tillage (Puddling): 2 plowings + thorough harrowing under flooded condition</t>
        </is>
      </c>
      <c r="AC629" s="17" t="inlineStr">
        <is>
          <t>Continuous flooding 2–5 cm depth during vegetative stage; drain 2 weeks before harvest</t>
        </is>
      </c>
    </row>
    <row r="630" ht="21.75" customHeight="1" s="101">
      <c r="A630" s="6" t="inlineStr">
        <is>
          <t>Palay</t>
        </is>
      </c>
      <c r="B630" s="6" t="inlineStr">
        <is>
          <t>Camanggaan</t>
        </is>
      </c>
      <c r="C630" s="6" t="inlineStr">
        <is>
          <t>June</t>
        </is>
      </c>
      <c r="D630" s="6" t="inlineStr">
        <is>
          <t>2022</t>
        </is>
      </c>
      <c r="E630" s="6" t="inlineStr">
        <is>
          <t>WS 2022</t>
        </is>
      </c>
      <c r="F630" s="6" t="inlineStr">
        <is>
          <t>Planting</t>
        </is>
      </c>
      <c r="G630" s="7" t="n">
        <v>8.01</v>
      </c>
      <c r="H630" s="8" t="n">
        <v>27.14</v>
      </c>
      <c r="I630" s="8" t="n">
        <v>23.01</v>
      </c>
      <c r="J630" s="8" t="n">
        <v>32.47</v>
      </c>
      <c r="K630" s="8" t="n">
        <v>82.48</v>
      </c>
      <c r="L630" s="8" t="n">
        <v>98.2</v>
      </c>
      <c r="M630" s="8" t="n">
        <v>20.55</v>
      </c>
      <c r="N630" s="6" t="inlineStr">
        <is>
          <t>Type I – Tropical Monsoon (PAGASA)</t>
        </is>
      </c>
      <c r="O630" s="6" t="inlineStr">
        <is>
          <t>Wet</t>
        </is>
      </c>
      <c r="P630" s="6" t="inlineStr">
        <is>
          <t>Sandy Loam</t>
        </is>
      </c>
      <c r="Q630" s="6" t="inlineStr">
        <is>
          <t>Flat / Lowland</t>
        </is>
      </c>
      <c r="R630" s="9" t="n">
        <v>30</v>
      </c>
      <c r="S630" s="6" t="inlineStr">
        <is>
          <t>—</t>
        </is>
      </c>
      <c r="T630" s="10" t="n">
        <v>244.44</v>
      </c>
      <c r="U630" s="10" t="n">
        <v>19</v>
      </c>
      <c r="V630" s="10" t="n">
        <v>68</v>
      </c>
      <c r="W630" s="10" t="n">
        <v>87</v>
      </c>
      <c r="X630" s="10" t="n"/>
      <c r="Y630" s="10" t="n"/>
      <c r="Z630" s="11" t="n"/>
      <c r="AA630" s="12" t="inlineStr">
        <is>
          <t>Transplanting (Pindot) or Direct Seeding (Pinaghandaan)</t>
        </is>
      </c>
      <c r="AB630" s="12" t="inlineStr">
        <is>
          <t>Conventional Tillage: 2 plowings + 2 harrowings; soil workable when moist</t>
        </is>
      </c>
      <c r="AC630" s="12" t="inlineStr">
        <is>
          <t>Intermittent irrigation (Alternate Wetting and Drying — AWD); moderate retention</t>
        </is>
      </c>
    </row>
    <row r="631" ht="21.75" customHeight="1" s="101">
      <c r="A631" s="13" t="inlineStr">
        <is>
          <t>Palay</t>
        </is>
      </c>
      <c r="B631" s="13" t="inlineStr">
        <is>
          <t>Vacante</t>
        </is>
      </c>
      <c r="C631" s="13" t="inlineStr">
        <is>
          <t>June</t>
        </is>
      </c>
      <c r="D631" s="13" t="inlineStr">
        <is>
          <t>2022</t>
        </is>
      </c>
      <c r="E631" s="13" t="inlineStr">
        <is>
          <t>WS 2022</t>
        </is>
      </c>
      <c r="F631" s="13" t="inlineStr">
        <is>
          <t>Planting</t>
        </is>
      </c>
      <c r="G631" s="7" t="n">
        <v>8.01</v>
      </c>
      <c r="H631" s="8" t="n">
        <v>27.14</v>
      </c>
      <c r="I631" s="8" t="n">
        <v>23.01</v>
      </c>
      <c r="J631" s="8" t="n">
        <v>32.47</v>
      </c>
      <c r="K631" s="8" t="n">
        <v>82.48</v>
      </c>
      <c r="L631" s="8" t="n">
        <v>98.2</v>
      </c>
      <c r="M631" s="8" t="n">
        <v>20.55</v>
      </c>
      <c r="N631" s="13" t="inlineStr">
        <is>
          <t>Type I – Tropical Monsoon (PAGASA)</t>
        </is>
      </c>
      <c r="O631" s="13" t="inlineStr">
        <is>
          <t>Wet</t>
        </is>
      </c>
      <c r="P631" s="13" t="inlineStr">
        <is>
          <t>Silty Clay Loam</t>
        </is>
      </c>
      <c r="Q631" s="13" t="inlineStr">
        <is>
          <t>Flat / Lowland</t>
        </is>
      </c>
      <c r="R631" s="14" t="n">
        <v>30</v>
      </c>
      <c r="S631" s="13" t="inlineStr">
        <is>
          <t>Aloragat River</t>
        </is>
      </c>
      <c r="T631" s="15" t="n">
        <v>484.68</v>
      </c>
      <c r="U631" s="15" t="n">
        <v>28</v>
      </c>
      <c r="V631" s="15" t="n">
        <v>81</v>
      </c>
      <c r="W631" s="15" t="n">
        <v>109</v>
      </c>
      <c r="X631" s="15" t="n"/>
      <c r="Y631" s="15" t="n"/>
      <c r="Z631" s="16" t="n"/>
      <c r="AA631" s="17" t="inlineStr">
        <is>
          <t>Transplanting (Pindot) — optimal for clay-loam paddy fields</t>
        </is>
      </c>
      <c r="AB631" s="17" t="inlineStr">
        <is>
          <t>Wet Tillage (Puddling): 2 plowings + thorough harrowing under flooded condition</t>
        </is>
      </c>
      <c r="AC631" s="17" t="inlineStr">
        <is>
          <t>Continuous flooding 2–5 cm depth during vegetative stage; drain 2 weeks before harvest</t>
        </is>
      </c>
    </row>
    <row r="632" ht="21.75" customHeight="1" s="101">
      <c r="A632" s="6" t="inlineStr">
        <is>
          <t>Palay</t>
        </is>
      </c>
      <c r="B632" s="6" t="inlineStr">
        <is>
          <t>Sta. Catalina</t>
        </is>
      </c>
      <c r="C632" s="6" t="inlineStr">
        <is>
          <t>June</t>
        </is>
      </c>
      <c r="D632" s="6" t="inlineStr">
        <is>
          <t>2022</t>
        </is>
      </c>
      <c r="E632" s="6" t="inlineStr">
        <is>
          <t>WS 2022</t>
        </is>
      </c>
      <c r="F632" s="6" t="inlineStr">
        <is>
          <t>Planting</t>
        </is>
      </c>
      <c r="G632" s="7" t="n">
        <v>8.01</v>
      </c>
      <c r="H632" s="8" t="n">
        <v>27.14</v>
      </c>
      <c r="I632" s="8" t="n">
        <v>23.01</v>
      </c>
      <c r="J632" s="8" t="n">
        <v>32.47</v>
      </c>
      <c r="K632" s="8" t="n">
        <v>82.48</v>
      </c>
      <c r="L632" s="8" t="n">
        <v>98.2</v>
      </c>
      <c r="M632" s="8" t="n">
        <v>20.55</v>
      </c>
      <c r="N632" s="6" t="inlineStr">
        <is>
          <t>Type I – Tropical Monsoon (PAGASA)</t>
        </is>
      </c>
      <c r="O632" s="6" t="inlineStr">
        <is>
          <t>Wet</t>
        </is>
      </c>
      <c r="P632" s="6" t="inlineStr">
        <is>
          <t>Fine Sand / Sandy Loam</t>
        </is>
      </c>
      <c r="Q632" s="6" t="inlineStr">
        <is>
          <t>Moderately Sloping / Highland</t>
        </is>
      </c>
      <c r="R632" s="9" t="n">
        <v>90</v>
      </c>
      <c r="S632" s="6" t="inlineStr">
        <is>
          <t>—</t>
        </is>
      </c>
      <c r="T632" s="10" t="n">
        <v>709.8</v>
      </c>
      <c r="U632" s="10" t="n">
        <v>49</v>
      </c>
      <c r="V632" s="10" t="n">
        <v>180</v>
      </c>
      <c r="W632" s="10" t="n">
        <v>229</v>
      </c>
      <c r="X632" s="10" t="n"/>
      <c r="Y632" s="10" t="n"/>
      <c r="Z632" s="11" t="n"/>
      <c r="AA632" s="12" t="inlineStr">
        <is>
          <t>Transplanting (Pindot)</t>
        </is>
      </c>
      <c r="AB632" s="12" t="inlineStr">
        <is>
          <t>Minimum Tillage (avoid compaction; sandy structure fragile)</t>
        </is>
      </c>
      <c r="AC632" s="12" t="inlineStr">
        <is>
          <t>Continuous flooding or frequent irrigation; high percolation risk; terrace or bund-assisted water retention essential on slopes</t>
        </is>
      </c>
    </row>
    <row r="633" ht="21.75" customHeight="1" s="101">
      <c r="A633" s="13" t="inlineStr">
        <is>
          <t>Palay</t>
        </is>
      </c>
      <c r="B633" s="13" t="inlineStr">
        <is>
          <t>Moreno</t>
        </is>
      </c>
      <c r="C633" s="13" t="inlineStr">
        <is>
          <t>June</t>
        </is>
      </c>
      <c r="D633" s="13" t="inlineStr">
        <is>
          <t>2022</t>
        </is>
      </c>
      <c r="E633" s="13" t="inlineStr">
        <is>
          <t>WS 2022</t>
        </is>
      </c>
      <c r="F633" s="13" t="inlineStr">
        <is>
          <t>Planting</t>
        </is>
      </c>
      <c r="G633" s="7" t="n">
        <v>8.01</v>
      </c>
      <c r="H633" s="8" t="n">
        <v>27.14</v>
      </c>
      <c r="I633" s="8" t="n">
        <v>23.01</v>
      </c>
      <c r="J633" s="8" t="n">
        <v>32.47</v>
      </c>
      <c r="K633" s="8" t="n">
        <v>82.48</v>
      </c>
      <c r="L633" s="8" t="n">
        <v>98.2</v>
      </c>
      <c r="M633" s="8" t="n">
        <v>20.55</v>
      </c>
      <c r="N633" s="13" t="inlineStr">
        <is>
          <t>Type I – Tropical Monsoon (PAGASA)</t>
        </is>
      </c>
      <c r="O633" s="13" t="inlineStr">
        <is>
          <t>Wet</t>
        </is>
      </c>
      <c r="P633" s="13" t="inlineStr">
        <is>
          <t>Sandy Loam</t>
        </is>
      </c>
      <c r="Q633" s="13" t="inlineStr">
        <is>
          <t>Moderately Sloping / Highland</t>
        </is>
      </c>
      <c r="R633" s="14" t="n">
        <v>90</v>
      </c>
      <c r="S633" s="13" t="inlineStr">
        <is>
          <t>Alibeng River</t>
        </is>
      </c>
      <c r="T633" s="15" t="n">
        <v>641.76</v>
      </c>
      <c r="U633" s="15" t="n">
        <v>47.4</v>
      </c>
      <c r="V633" s="15" t="n">
        <v>116.6</v>
      </c>
      <c r="W633" s="15" t="n">
        <v>164</v>
      </c>
      <c r="X633" s="15" t="n"/>
      <c r="Y633" s="15" t="n"/>
      <c r="Z633" s="16" t="n"/>
      <c r="AA633" s="17" t="inlineStr">
        <is>
          <t>Transplanting (Pindot) or Direct Seeding (Pinaghandaan)</t>
        </is>
      </c>
      <c r="AB633" s="17" t="inlineStr">
        <is>
          <t>Conventional Tillage: 2 plowings + 2 harrowings; soil workable when moist</t>
        </is>
      </c>
      <c r="AC633" s="17" t="inlineStr">
        <is>
          <t>Intermittent irrigation (Alternate Wetting and Drying — AWD); moderate retention; terrace or bund-assisted water retention essential on slopes</t>
        </is>
      </c>
    </row>
    <row r="634" ht="21.75" customHeight="1" s="101">
      <c r="A634" s="6" t="inlineStr">
        <is>
          <t>Palay</t>
        </is>
      </c>
      <c r="B634" s="6" t="inlineStr">
        <is>
          <t>Cili</t>
        </is>
      </c>
      <c r="C634" s="6" t="inlineStr">
        <is>
          <t>June</t>
        </is>
      </c>
      <c r="D634" s="6" t="inlineStr">
        <is>
          <t>2022</t>
        </is>
      </c>
      <c r="E634" s="6" t="inlineStr">
        <is>
          <t>WS 2022</t>
        </is>
      </c>
      <c r="F634" s="6" t="inlineStr">
        <is>
          <t>Planting</t>
        </is>
      </c>
      <c r="G634" s="7" t="n">
        <v>8.01</v>
      </c>
      <c r="H634" s="8" t="n">
        <v>27.14</v>
      </c>
      <c r="I634" s="8" t="n">
        <v>23.01</v>
      </c>
      <c r="J634" s="8" t="n">
        <v>32.47</v>
      </c>
      <c r="K634" s="8" t="n">
        <v>82.48</v>
      </c>
      <c r="L634" s="8" t="n">
        <v>98.2</v>
      </c>
      <c r="M634" s="8" t="n">
        <v>20.55</v>
      </c>
      <c r="N634" s="6" t="inlineStr">
        <is>
          <t>Type I – Tropical Monsoon (PAGASA)</t>
        </is>
      </c>
      <c r="O634" s="6" t="inlineStr">
        <is>
          <t>Wet</t>
        </is>
      </c>
      <c r="P634" s="6" t="inlineStr">
        <is>
          <t>Silty Clay Loam</t>
        </is>
      </c>
      <c r="Q634" s="6" t="inlineStr">
        <is>
          <t>Flat / Lowland</t>
        </is>
      </c>
      <c r="R634" s="9" t="n">
        <v>30</v>
      </c>
      <c r="S634" s="6" t="inlineStr">
        <is>
          <t>Alibeng River</t>
        </is>
      </c>
      <c r="T634" s="10" t="n">
        <v>264.6</v>
      </c>
      <c r="U634" s="10" t="n">
        <v>40</v>
      </c>
      <c r="V634" s="10" t="n">
        <v>128</v>
      </c>
      <c r="W634" s="10" t="n">
        <v>168</v>
      </c>
      <c r="X634" s="10" t="n"/>
      <c r="Y634" s="10" t="n"/>
      <c r="Z634" s="11" t="n"/>
      <c r="AA634" s="12" t="inlineStr">
        <is>
          <t>Transplanting (Pindot) — optimal for clay-loam paddy fields</t>
        </is>
      </c>
      <c r="AB634" s="12" t="inlineStr">
        <is>
          <t>Wet Tillage (Puddling): 2 plowings + thorough harrowing under flooded condition</t>
        </is>
      </c>
      <c r="AC634" s="12" t="inlineStr">
        <is>
          <t>Continuous flooding 2–5 cm depth during vegetative stage; drain 2 weeks before harvest</t>
        </is>
      </c>
    </row>
    <row r="635" ht="21.75" customHeight="1" s="101">
      <c r="A635" s="13" t="inlineStr">
        <is>
          <t>Palay</t>
        </is>
      </c>
      <c r="B635" s="13" t="inlineStr">
        <is>
          <t>Linmansangan</t>
        </is>
      </c>
      <c r="C635" s="13" t="inlineStr">
        <is>
          <t>June</t>
        </is>
      </c>
      <c r="D635" s="13" t="inlineStr">
        <is>
          <t>2022</t>
        </is>
      </c>
      <c r="E635" s="13" t="inlineStr">
        <is>
          <t>WS 2022</t>
        </is>
      </c>
      <c r="F635" s="13" t="inlineStr">
        <is>
          <t>Planting</t>
        </is>
      </c>
      <c r="G635" s="7" t="n">
        <v>8.01</v>
      </c>
      <c r="H635" s="8" t="n">
        <v>27.14</v>
      </c>
      <c r="I635" s="8" t="n">
        <v>23.01</v>
      </c>
      <c r="J635" s="8" t="n">
        <v>32.47</v>
      </c>
      <c r="K635" s="8" t="n">
        <v>82.48</v>
      </c>
      <c r="L635" s="8" t="n">
        <v>98.2</v>
      </c>
      <c r="M635" s="8" t="n">
        <v>20.55</v>
      </c>
      <c r="N635" s="13" t="inlineStr">
        <is>
          <t>Type I – Tropical Monsoon (PAGASA)</t>
        </is>
      </c>
      <c r="O635" s="13" t="inlineStr">
        <is>
          <t>Wet</t>
        </is>
      </c>
      <c r="P635" s="13" t="inlineStr">
        <is>
          <t>Silty Clay Loam</t>
        </is>
      </c>
      <c r="Q635" s="13" t="inlineStr">
        <is>
          <t>Flat / Lowland</t>
        </is>
      </c>
      <c r="R635" s="14" t="n">
        <v>30</v>
      </c>
      <c r="S635" s="13" t="inlineStr">
        <is>
          <t>—</t>
        </is>
      </c>
      <c r="T635" s="15" t="n">
        <v>492.24</v>
      </c>
      <c r="U635" s="15" t="n">
        <v>65.5</v>
      </c>
      <c r="V635" s="15" t="n">
        <v>129</v>
      </c>
      <c r="W635" s="15" t="n">
        <v>194.5</v>
      </c>
      <c r="X635" s="15" t="n"/>
      <c r="Y635" s="15" t="n"/>
      <c r="Z635" s="16" t="n"/>
      <c r="AA635" s="17" t="inlineStr">
        <is>
          <t>Transplanting (Pindot) — optimal for clay-loam paddy fields</t>
        </is>
      </c>
      <c r="AB635" s="17" t="inlineStr">
        <is>
          <t>Wet Tillage (Puddling): 2 plowings + thorough harrowing under flooded condition</t>
        </is>
      </c>
      <c r="AC635" s="17" t="inlineStr">
        <is>
          <t>Continuous flooding 2–5 cm depth during vegetative stage; drain 2 weeks before harvest</t>
        </is>
      </c>
    </row>
    <row r="636" ht="21.75" customHeight="1" s="101">
      <c r="A636" s="6" t="inlineStr">
        <is>
          <t>Palay</t>
        </is>
      </c>
      <c r="B636" s="6" t="inlineStr">
        <is>
          <t>Sumabnit</t>
        </is>
      </c>
      <c r="C636" s="6" t="inlineStr">
        <is>
          <t>June</t>
        </is>
      </c>
      <c r="D636" s="6" t="inlineStr">
        <is>
          <t>2022</t>
        </is>
      </c>
      <c r="E636" s="6" t="inlineStr">
        <is>
          <t>WS 2022</t>
        </is>
      </c>
      <c r="F636" s="6" t="inlineStr">
        <is>
          <t>Planting</t>
        </is>
      </c>
      <c r="G636" s="7" t="n">
        <v>8.01</v>
      </c>
      <c r="H636" s="8" t="n">
        <v>27.14</v>
      </c>
      <c r="I636" s="8" t="n">
        <v>23.01</v>
      </c>
      <c r="J636" s="8" t="n">
        <v>32.47</v>
      </c>
      <c r="K636" s="8" t="n">
        <v>82.48</v>
      </c>
      <c r="L636" s="8" t="n">
        <v>98.2</v>
      </c>
      <c r="M636" s="8" t="n">
        <v>20.55</v>
      </c>
      <c r="N636" s="6" t="inlineStr">
        <is>
          <t>Type I – Tropical Monsoon (PAGASA)</t>
        </is>
      </c>
      <c r="O636" s="6" t="inlineStr">
        <is>
          <t>Wet</t>
        </is>
      </c>
      <c r="P636" s="6" t="inlineStr">
        <is>
          <t>Silty Clay Loam / Fine Sandy Loam</t>
        </is>
      </c>
      <c r="Q636" s="6" t="inlineStr">
        <is>
          <t>Flat / Lowland</t>
        </is>
      </c>
      <c r="R636" s="9" t="n">
        <v>30</v>
      </c>
      <c r="S636" s="6" t="inlineStr">
        <is>
          <t>Tagamusing River</t>
        </is>
      </c>
      <c r="T636" s="10" t="n">
        <v>406.56</v>
      </c>
      <c r="U636" s="10" t="n">
        <v>133.3</v>
      </c>
      <c r="V636" s="10" t="n">
        <v>123.7</v>
      </c>
      <c r="W636" s="10" t="n">
        <v>257</v>
      </c>
      <c r="X636" s="10" t="n"/>
      <c r="Y636" s="10" t="n"/>
      <c r="Z636" s="11" t="n"/>
      <c r="AA636" s="12" t="inlineStr">
        <is>
          <t>Transplanting (Pindot)</t>
        </is>
      </c>
      <c r="AB636" s="12" t="inlineStr">
        <is>
          <t>Minimum Tillage (avoid compaction; sandy structure fragile)</t>
        </is>
      </c>
      <c r="AC636" s="12" t="inlineStr">
        <is>
          <t>Continuous flooding or frequent irrigation; high percolation risk</t>
        </is>
      </c>
    </row>
    <row r="637" ht="21.75" customHeight="1" s="101">
      <c r="A637" s="13" t="inlineStr">
        <is>
          <t>Palay</t>
        </is>
      </c>
      <c r="B637" s="13" t="inlineStr">
        <is>
          <t>Capas</t>
        </is>
      </c>
      <c r="C637" s="13" t="inlineStr">
        <is>
          <t>June</t>
        </is>
      </c>
      <c r="D637" s="13" t="inlineStr">
        <is>
          <t>2022</t>
        </is>
      </c>
      <c r="E637" s="13" t="inlineStr">
        <is>
          <t>WS 2022</t>
        </is>
      </c>
      <c r="F637" s="13" t="inlineStr">
        <is>
          <t>Planting</t>
        </is>
      </c>
      <c r="G637" s="7" t="n">
        <v>8.01</v>
      </c>
      <c r="H637" s="8" t="n">
        <v>27.14</v>
      </c>
      <c r="I637" s="8" t="n">
        <v>23.01</v>
      </c>
      <c r="J637" s="8" t="n">
        <v>32.47</v>
      </c>
      <c r="K637" s="8" t="n">
        <v>82.48</v>
      </c>
      <c r="L637" s="8" t="n">
        <v>98.2</v>
      </c>
      <c r="M637" s="8" t="n">
        <v>20.55</v>
      </c>
      <c r="N637" s="13" t="inlineStr">
        <is>
          <t>Type I – Tropical Monsoon (PAGASA)</t>
        </is>
      </c>
      <c r="O637" s="13" t="inlineStr">
        <is>
          <t>Wet</t>
        </is>
      </c>
      <c r="P637" s="13" t="inlineStr">
        <is>
          <t>Sandy Loam</t>
        </is>
      </c>
      <c r="Q637" s="13" t="inlineStr">
        <is>
          <t>Flat / Lowland</t>
        </is>
      </c>
      <c r="R637" s="14" t="n">
        <v>30</v>
      </c>
      <c r="S637" s="13" t="inlineStr">
        <is>
          <t>—</t>
        </is>
      </c>
      <c r="T637" s="15" t="n">
        <v>377.16</v>
      </c>
      <c r="U637" s="15" t="n">
        <v>139</v>
      </c>
      <c r="V637" s="15" t="n">
        <v>164</v>
      </c>
      <c r="W637" s="15" t="n">
        <v>303</v>
      </c>
      <c r="X637" s="15" t="n"/>
      <c r="Y637" s="15" t="n"/>
      <c r="Z637" s="16" t="n"/>
      <c r="AA637" s="17" t="inlineStr">
        <is>
          <t>Transplanting (Pindot) or Direct Seeding (Pinaghandaan)</t>
        </is>
      </c>
      <c r="AB637" s="17" t="inlineStr">
        <is>
          <t>Conventional Tillage: 2 plowings + 2 harrowings; soil workable when moist</t>
        </is>
      </c>
      <c r="AC637" s="17" t="inlineStr">
        <is>
          <t>Intermittent irrigation (Alternate Wetting and Drying — AWD); moderate retention</t>
        </is>
      </c>
    </row>
    <row r="638" ht="21.75" customHeight="1" s="101">
      <c r="A638" s="6" t="inlineStr">
        <is>
          <t>Palay</t>
        </is>
      </c>
      <c r="B638" s="6" t="inlineStr">
        <is>
          <t>Mangkasuy</t>
        </is>
      </c>
      <c r="C638" s="6" t="inlineStr">
        <is>
          <t>June</t>
        </is>
      </c>
      <c r="D638" s="6" t="inlineStr">
        <is>
          <t>2022</t>
        </is>
      </c>
      <c r="E638" s="6" t="inlineStr">
        <is>
          <t>WS 2022</t>
        </is>
      </c>
      <c r="F638" s="6" t="inlineStr">
        <is>
          <t>Planting</t>
        </is>
      </c>
      <c r="G638" s="7" t="n">
        <v>8.01</v>
      </c>
      <c r="H638" s="8" t="n">
        <v>27.14</v>
      </c>
      <c r="I638" s="8" t="n">
        <v>23.01</v>
      </c>
      <c r="J638" s="8" t="n">
        <v>32.47</v>
      </c>
      <c r="K638" s="8" t="n">
        <v>82.48</v>
      </c>
      <c r="L638" s="8" t="n">
        <v>98.2</v>
      </c>
      <c r="M638" s="8" t="n">
        <v>20.55</v>
      </c>
      <c r="N638" s="6" t="inlineStr">
        <is>
          <t>Type I – Tropical Monsoon (PAGASA)</t>
        </is>
      </c>
      <c r="O638" s="6" t="inlineStr">
        <is>
          <t>Wet</t>
        </is>
      </c>
      <c r="P638" s="6" t="inlineStr">
        <is>
          <t>Sandy Loam</t>
        </is>
      </c>
      <c r="Q638" s="6" t="inlineStr">
        <is>
          <t>Flat / Lowland</t>
        </is>
      </c>
      <c r="R638" s="9" t="n">
        <v>30</v>
      </c>
      <c r="S638" s="6" t="inlineStr">
        <is>
          <t>Tagamusing River</t>
        </is>
      </c>
      <c r="T638" s="10" t="n">
        <v>802.2</v>
      </c>
      <c r="U638" s="10" t="n">
        <v>90</v>
      </c>
      <c r="V638" s="10" t="n">
        <v>262</v>
      </c>
      <c r="W638" s="10" t="n">
        <v>352</v>
      </c>
      <c r="X638" s="10" t="n"/>
      <c r="Y638" s="10" t="n"/>
      <c r="Z638" s="11" t="n"/>
      <c r="AA638" s="12" t="inlineStr">
        <is>
          <t>Transplanting (Pindot) or Direct Seeding (Pinaghandaan)</t>
        </is>
      </c>
      <c r="AB638" s="12" t="inlineStr">
        <is>
          <t>Conventional Tillage: 2 plowings + 2 harrowings; soil workable when moist</t>
        </is>
      </c>
      <c r="AC638" s="12" t="inlineStr">
        <is>
          <t>Intermittent irrigation (Alternate Wetting and Drying — AWD); moderate retention</t>
        </is>
      </c>
    </row>
    <row r="639" ht="21.75" customHeight="1" s="101">
      <c r="A639" s="13" t="inlineStr">
        <is>
          <t>Palay</t>
        </is>
      </c>
      <c r="B639" s="13" t="inlineStr">
        <is>
          <t>San Pablo</t>
        </is>
      </c>
      <c r="C639" s="13" t="inlineStr">
        <is>
          <t>June</t>
        </is>
      </c>
      <c r="D639" s="13" t="inlineStr">
        <is>
          <t>2022</t>
        </is>
      </c>
      <c r="E639" s="13" t="inlineStr">
        <is>
          <t>WS 2022</t>
        </is>
      </c>
      <c r="F639" s="13" t="inlineStr">
        <is>
          <t>Planting</t>
        </is>
      </c>
      <c r="G639" s="7" t="n">
        <v>8.01</v>
      </c>
      <c r="H639" s="8" t="n">
        <v>27.14</v>
      </c>
      <c r="I639" s="8" t="n">
        <v>23.01</v>
      </c>
      <c r="J639" s="8" t="n">
        <v>32.47</v>
      </c>
      <c r="K639" s="8" t="n">
        <v>82.48</v>
      </c>
      <c r="L639" s="8" t="n">
        <v>98.2</v>
      </c>
      <c r="M639" s="8" t="n">
        <v>20.55</v>
      </c>
      <c r="N639" s="13" t="inlineStr">
        <is>
          <t>Type I – Tropical Monsoon (PAGASA)</t>
        </is>
      </c>
      <c r="O639" s="13" t="inlineStr">
        <is>
          <t>Wet</t>
        </is>
      </c>
      <c r="P639" s="13" t="inlineStr">
        <is>
          <t>Sandy Loam</t>
        </is>
      </c>
      <c r="Q639" s="13" t="inlineStr">
        <is>
          <t>Flat / Lowland</t>
        </is>
      </c>
      <c r="R639" s="14" t="n">
        <v>30</v>
      </c>
      <c r="S639" s="13" t="inlineStr">
        <is>
          <t>San Pablo Creek</t>
        </is>
      </c>
      <c r="T639" s="15" t="n">
        <v>215.04</v>
      </c>
      <c r="U639" s="15" t="n">
        <v>103.5</v>
      </c>
      <c r="V639" s="15" t="n">
        <v>30.5</v>
      </c>
      <c r="W639" s="15" t="n">
        <v>134</v>
      </c>
      <c r="X639" s="15" t="n"/>
      <c r="Y639" s="15" t="n"/>
      <c r="Z639" s="16" t="n"/>
      <c r="AA639" s="17" t="inlineStr">
        <is>
          <t>Transplanting (Pindot) or Direct Seeding (Pinaghandaan)</t>
        </is>
      </c>
      <c r="AB639" s="17" t="inlineStr">
        <is>
          <t>Conventional Tillage: 2 plowings + 2 harrowings; soil workable when moist</t>
        </is>
      </c>
      <c r="AC639" s="17" t="inlineStr">
        <is>
          <t>Intermittent irrigation (Alternate Wetting and Drying — AWD); moderate retention</t>
        </is>
      </c>
    </row>
    <row r="640" ht="21.75" customHeight="1" s="101">
      <c r="A640" s="6" t="inlineStr">
        <is>
          <t>Palay</t>
        </is>
      </c>
      <c r="B640" s="6" t="inlineStr">
        <is>
          <t>Balangobong</t>
        </is>
      </c>
      <c r="C640" s="6" t="inlineStr">
        <is>
          <t>June</t>
        </is>
      </c>
      <c r="D640" s="6" t="inlineStr">
        <is>
          <t>2022</t>
        </is>
      </c>
      <c r="E640" s="6" t="inlineStr">
        <is>
          <t>WS 2022</t>
        </is>
      </c>
      <c r="F640" s="6" t="inlineStr">
        <is>
          <t>Planting</t>
        </is>
      </c>
      <c r="G640" s="7" t="n">
        <v>8.01</v>
      </c>
      <c r="H640" s="8" t="n">
        <v>27.14</v>
      </c>
      <c r="I640" s="8" t="n">
        <v>23.01</v>
      </c>
      <c r="J640" s="8" t="n">
        <v>32.47</v>
      </c>
      <c r="K640" s="8" t="n">
        <v>82.48</v>
      </c>
      <c r="L640" s="8" t="n">
        <v>98.2</v>
      </c>
      <c r="M640" s="8" t="n">
        <v>20.55</v>
      </c>
      <c r="N640" s="6" t="inlineStr">
        <is>
          <t>Type I – Tropical Monsoon (PAGASA)</t>
        </is>
      </c>
      <c r="O640" s="6" t="inlineStr">
        <is>
          <t>Wet</t>
        </is>
      </c>
      <c r="P640" s="6" t="inlineStr">
        <is>
          <t>Silty Clay Loam</t>
        </is>
      </c>
      <c r="Q640" s="6" t="inlineStr">
        <is>
          <t>Flat / Lowland</t>
        </is>
      </c>
      <c r="R640" s="9" t="n">
        <v>30</v>
      </c>
      <c r="S640" s="6" t="inlineStr">
        <is>
          <t>—</t>
        </is>
      </c>
      <c r="T640" s="10" t="n">
        <v>281.4</v>
      </c>
      <c r="U640" s="10" t="n">
        <v>120</v>
      </c>
      <c r="V640" s="10" t="n">
        <v>15</v>
      </c>
      <c r="W640" s="10" t="n">
        <v>135</v>
      </c>
      <c r="X640" s="10" t="n"/>
      <c r="Y640" s="10" t="n"/>
      <c r="Z640" s="11" t="n"/>
      <c r="AA640" s="12" t="inlineStr">
        <is>
          <t>Transplanting (Pindot) — optimal for clay-loam paddy fields</t>
        </is>
      </c>
      <c r="AB640" s="12" t="inlineStr">
        <is>
          <t>Wet Tillage (Puddling): 2 plowings + thorough harrowing under flooded condition</t>
        </is>
      </c>
      <c r="AC640" s="12" t="inlineStr">
        <is>
          <t>Continuous flooding 2–5 cm depth during vegetative stage; drain 2 weeks before harvest</t>
        </is>
      </c>
    </row>
    <row r="641" ht="21.75" customHeight="1" s="101">
      <c r="A641" s="13" t="inlineStr">
        <is>
          <t>Palay</t>
        </is>
      </c>
      <c r="B641" s="13" t="inlineStr">
        <is>
          <t>San Felipe Central</t>
        </is>
      </c>
      <c r="C641" s="13" t="inlineStr">
        <is>
          <t>June</t>
        </is>
      </c>
      <c r="D641" s="13" t="inlineStr">
        <is>
          <t>2022</t>
        </is>
      </c>
      <c r="E641" s="13" t="inlineStr">
        <is>
          <t>WS 2022</t>
        </is>
      </c>
      <c r="F641" s="13" t="inlineStr">
        <is>
          <t>Planting</t>
        </is>
      </c>
      <c r="G641" s="7" t="n">
        <v>8.01</v>
      </c>
      <c r="H641" s="8" t="n">
        <v>27.14</v>
      </c>
      <c r="I641" s="8" t="n">
        <v>23.01</v>
      </c>
      <c r="J641" s="8" t="n">
        <v>32.47</v>
      </c>
      <c r="K641" s="8" t="n">
        <v>82.48</v>
      </c>
      <c r="L641" s="8" t="n">
        <v>98.2</v>
      </c>
      <c r="M641" s="8" t="n">
        <v>20.55</v>
      </c>
      <c r="N641" s="13" t="inlineStr">
        <is>
          <t>Type I – Tropical Monsoon (PAGASA)</t>
        </is>
      </c>
      <c r="O641" s="13" t="inlineStr">
        <is>
          <t>Wet</t>
        </is>
      </c>
      <c r="P641" s="13" t="inlineStr">
        <is>
          <t>Sandy Loam</t>
        </is>
      </c>
      <c r="Q641" s="13" t="inlineStr">
        <is>
          <t>Flat / Lowland</t>
        </is>
      </c>
      <c r="R641" s="14" t="n">
        <v>30</v>
      </c>
      <c r="S641" s="13" t="inlineStr">
        <is>
          <t>—</t>
        </is>
      </c>
      <c r="T641" s="15" t="n">
        <v>452.76</v>
      </c>
      <c r="U641" s="15" t="n">
        <v>117</v>
      </c>
      <c r="V641" s="15" t="n">
        <v>62</v>
      </c>
      <c r="W641" s="15" t="n">
        <v>179</v>
      </c>
      <c r="X641" s="15" t="n"/>
      <c r="Y641" s="15" t="n"/>
      <c r="Z641" s="16" t="n"/>
      <c r="AA641" s="17" t="inlineStr">
        <is>
          <t>Transplanting (Pindot) or Direct Seeding (Pinaghandaan)</t>
        </is>
      </c>
      <c r="AB641" s="17" t="inlineStr">
        <is>
          <t>Conventional Tillage: 2 plowings + 2 harrowings; soil workable when moist</t>
        </is>
      </c>
      <c r="AC641" s="17" t="inlineStr">
        <is>
          <t>Intermittent irrigation (Alternate Wetting and Drying — AWD); moderate retention</t>
        </is>
      </c>
    </row>
    <row r="642" ht="21.75" customHeight="1" s="101">
      <c r="A642" s="6" t="inlineStr">
        <is>
          <t>Palay</t>
        </is>
      </c>
      <c r="B642" s="6" t="inlineStr">
        <is>
          <t>San Felipe Sur</t>
        </is>
      </c>
      <c r="C642" s="6" t="inlineStr">
        <is>
          <t>June</t>
        </is>
      </c>
      <c r="D642" s="6" t="inlineStr">
        <is>
          <t>2022</t>
        </is>
      </c>
      <c r="E642" s="6" t="inlineStr">
        <is>
          <t>WS 2022</t>
        </is>
      </c>
      <c r="F642" s="6" t="inlineStr">
        <is>
          <t>Planting</t>
        </is>
      </c>
      <c r="G642" s="7" t="n">
        <v>8.01</v>
      </c>
      <c r="H642" s="8" t="n">
        <v>27.14</v>
      </c>
      <c r="I642" s="8" t="n">
        <v>23.01</v>
      </c>
      <c r="J642" s="8" t="n">
        <v>32.47</v>
      </c>
      <c r="K642" s="8" t="n">
        <v>82.48</v>
      </c>
      <c r="L642" s="8" t="n">
        <v>98.2</v>
      </c>
      <c r="M642" s="8" t="n">
        <v>20.55</v>
      </c>
      <c r="N642" s="6" t="inlineStr">
        <is>
          <t>Type I – Tropical Monsoon (PAGASA)</t>
        </is>
      </c>
      <c r="O642" s="6" t="inlineStr">
        <is>
          <t>Wet</t>
        </is>
      </c>
      <c r="P642" s="6" t="inlineStr">
        <is>
          <t>Sandy Loam</t>
        </is>
      </c>
      <c r="Q642" s="6" t="inlineStr">
        <is>
          <t>Flat / Lowland</t>
        </is>
      </c>
      <c r="R642" s="9" t="n">
        <v>30</v>
      </c>
      <c r="S642" s="6" t="inlineStr">
        <is>
          <t>Tagamusing River</t>
        </is>
      </c>
      <c r="T642" s="10" t="n">
        <v>504</v>
      </c>
      <c r="U642" s="10" t="n">
        <v>127.5</v>
      </c>
      <c r="V642" s="10" t="n">
        <v>50.5</v>
      </c>
      <c r="W642" s="10" t="n">
        <v>178</v>
      </c>
      <c r="X642" s="10" t="n"/>
      <c r="Y642" s="10" t="n"/>
      <c r="Z642" s="11" t="n"/>
      <c r="AA642" s="12" t="inlineStr">
        <is>
          <t>Transplanting (Pindot) or Direct Seeding (Pinaghandaan)</t>
        </is>
      </c>
      <c r="AB642" s="12" t="inlineStr">
        <is>
          <t>Conventional Tillage: 2 plowings + 2 harrowings; soil workable when moist</t>
        </is>
      </c>
      <c r="AC642" s="12" t="inlineStr">
        <is>
          <t>Intermittent irrigation (Alternate Wetting and Drying — AWD); moderate retention</t>
        </is>
      </c>
    </row>
    <row r="643" ht="21.75" customHeight="1" s="101">
      <c r="A643" s="13" t="inlineStr">
        <is>
          <t>Palay</t>
        </is>
      </c>
      <c r="B643" s="13" t="inlineStr">
        <is>
          <t>Pasileng Sur</t>
        </is>
      </c>
      <c r="C643" s="13" t="inlineStr">
        <is>
          <t>June</t>
        </is>
      </c>
      <c r="D643" s="13" t="inlineStr">
        <is>
          <t>2022</t>
        </is>
      </c>
      <c r="E643" s="13" t="inlineStr">
        <is>
          <t>WS 2022</t>
        </is>
      </c>
      <c r="F643" s="13" t="inlineStr">
        <is>
          <t>Planting</t>
        </is>
      </c>
      <c r="G643" s="7" t="n">
        <v>8.01</v>
      </c>
      <c r="H643" s="8" t="n">
        <v>27.14</v>
      </c>
      <c r="I643" s="8" t="n">
        <v>23.01</v>
      </c>
      <c r="J643" s="8" t="n">
        <v>32.47</v>
      </c>
      <c r="K643" s="8" t="n">
        <v>82.48</v>
      </c>
      <c r="L643" s="8" t="n">
        <v>98.2</v>
      </c>
      <c r="M643" s="8" t="n">
        <v>20.55</v>
      </c>
      <c r="N643" s="13" t="inlineStr">
        <is>
          <t>Type I – Tropical Monsoon (PAGASA)</t>
        </is>
      </c>
      <c r="O643" s="13" t="inlineStr">
        <is>
          <t>Wet</t>
        </is>
      </c>
      <c r="P643" s="13" t="inlineStr">
        <is>
          <t>Sandy Loam</t>
        </is>
      </c>
      <c r="Q643" s="13" t="inlineStr">
        <is>
          <t>Flat / Lowland</t>
        </is>
      </c>
      <c r="R643" s="14" t="n">
        <v>30</v>
      </c>
      <c r="S643" s="13" t="inlineStr">
        <is>
          <t>Tagamusing River</t>
        </is>
      </c>
      <c r="T643" s="15" t="n">
        <v>414.96</v>
      </c>
      <c r="U643" s="15" t="n">
        <v>150.9</v>
      </c>
      <c r="V643" s="15" t="n">
        <v>29.1</v>
      </c>
      <c r="W643" s="15" t="n">
        <v>180</v>
      </c>
      <c r="X643" s="15" t="n"/>
      <c r="Y643" s="15" t="n"/>
      <c r="Z643" s="16" t="n"/>
      <c r="AA643" s="17" t="inlineStr">
        <is>
          <t>Transplanting (Pindot) or Direct Seeding (Pinaghandaan)</t>
        </is>
      </c>
      <c r="AB643" s="17" t="inlineStr">
        <is>
          <t>Conventional Tillage: 2 plowings + 2 harrowings; soil workable when moist</t>
        </is>
      </c>
      <c r="AC643" s="17" t="inlineStr">
        <is>
          <t>Intermittent irrigation (Alternate Wetting and Drying — AWD); moderate retention</t>
        </is>
      </c>
    </row>
    <row r="644" ht="21.75" customHeight="1" s="101">
      <c r="A644" s="6" t="inlineStr">
        <is>
          <t>Palay</t>
        </is>
      </c>
      <c r="B644" s="6" t="inlineStr">
        <is>
          <t>Sta. Maria Norte</t>
        </is>
      </c>
      <c r="C644" s="6" t="inlineStr">
        <is>
          <t>June</t>
        </is>
      </c>
      <c r="D644" s="6" t="inlineStr">
        <is>
          <t>2022</t>
        </is>
      </c>
      <c r="E644" s="6" t="inlineStr">
        <is>
          <t>WS 2022</t>
        </is>
      </c>
      <c r="F644" s="6" t="inlineStr">
        <is>
          <t>Planting</t>
        </is>
      </c>
      <c r="G644" s="7" t="n">
        <v>8.01</v>
      </c>
      <c r="H644" s="8" t="n">
        <v>27.14</v>
      </c>
      <c r="I644" s="8" t="n">
        <v>23.01</v>
      </c>
      <c r="J644" s="8" t="n">
        <v>32.47</v>
      </c>
      <c r="K644" s="8" t="n">
        <v>82.48</v>
      </c>
      <c r="L644" s="8" t="n">
        <v>98.2</v>
      </c>
      <c r="M644" s="8" t="n">
        <v>20.55</v>
      </c>
      <c r="N644" s="6" t="inlineStr">
        <is>
          <t>Type I – Tropical Monsoon (PAGASA)</t>
        </is>
      </c>
      <c r="O644" s="6" t="inlineStr">
        <is>
          <t>Wet</t>
        </is>
      </c>
      <c r="P644" s="6" t="inlineStr">
        <is>
          <t>Sandy Loam</t>
        </is>
      </c>
      <c r="Q644" s="6" t="inlineStr">
        <is>
          <t>Flat / Lowland</t>
        </is>
      </c>
      <c r="R644" s="9" t="n">
        <v>30</v>
      </c>
      <c r="S644" s="6" t="inlineStr">
        <is>
          <t>Tagamusing River</t>
        </is>
      </c>
      <c r="T644" s="10" t="n">
        <v>157.08</v>
      </c>
      <c r="U644" s="10" t="n">
        <v>24.5</v>
      </c>
      <c r="V644" s="10" t="n">
        <v>43.5</v>
      </c>
      <c r="W644" s="10" t="n">
        <v>68</v>
      </c>
      <c r="X644" s="10" t="n"/>
      <c r="Y644" s="10" t="n"/>
      <c r="Z644" s="11" t="n"/>
      <c r="AA644" s="12" t="inlineStr">
        <is>
          <t>Transplanting (Pindot) or Direct Seeding (Pinaghandaan)</t>
        </is>
      </c>
      <c r="AB644" s="12" t="inlineStr">
        <is>
          <t>Conventional Tillage: 2 plowings + 2 harrowings; soil workable when moist</t>
        </is>
      </c>
      <c r="AC644" s="12" t="inlineStr">
        <is>
          <t>Intermittent irrigation (Alternate Wetting and Drying — AWD); moderate retention</t>
        </is>
      </c>
    </row>
    <row r="645" ht="21.75" customHeight="1" s="101">
      <c r="A645" s="13" t="inlineStr">
        <is>
          <t>Palay</t>
        </is>
      </c>
      <c r="B645" s="13" t="inlineStr">
        <is>
          <t>Bugayong</t>
        </is>
      </c>
      <c r="C645" s="13" t="inlineStr">
        <is>
          <t>June</t>
        </is>
      </c>
      <c r="D645" s="13" t="inlineStr">
        <is>
          <t>2022</t>
        </is>
      </c>
      <c r="E645" s="13" t="inlineStr">
        <is>
          <t>WS 2022</t>
        </is>
      </c>
      <c r="F645" s="13" t="inlineStr">
        <is>
          <t>Planting</t>
        </is>
      </c>
      <c r="G645" s="7" t="n">
        <v>8.01</v>
      </c>
      <c r="H645" s="8" t="n">
        <v>27.14</v>
      </c>
      <c r="I645" s="8" t="n">
        <v>23.01</v>
      </c>
      <c r="J645" s="8" t="n">
        <v>32.47</v>
      </c>
      <c r="K645" s="8" t="n">
        <v>82.48</v>
      </c>
      <c r="L645" s="8" t="n">
        <v>98.2</v>
      </c>
      <c r="M645" s="8" t="n">
        <v>20.55</v>
      </c>
      <c r="N645" s="13" t="inlineStr">
        <is>
          <t>Type I – Tropical Monsoon (PAGASA)</t>
        </is>
      </c>
      <c r="O645" s="13" t="inlineStr">
        <is>
          <t>Wet</t>
        </is>
      </c>
      <c r="P645" s="13" t="inlineStr">
        <is>
          <t>Sandy Loam / Silty Clay Loam</t>
        </is>
      </c>
      <c r="Q645" s="13" t="inlineStr">
        <is>
          <t>Flat / Lowland</t>
        </is>
      </c>
      <c r="R645" s="14" t="n">
        <v>30</v>
      </c>
      <c r="S645" s="13" t="inlineStr">
        <is>
          <t>Aloragat River</t>
        </is>
      </c>
      <c r="T645" s="15" t="n">
        <v>346.08</v>
      </c>
      <c r="U645" s="15" t="n">
        <v>25.95</v>
      </c>
      <c r="V645" s="15" t="n">
        <v>52.05</v>
      </c>
      <c r="W645" s="15" t="n">
        <v>78</v>
      </c>
      <c r="X645" s="15" t="n"/>
      <c r="Y645" s="15" t="n"/>
      <c r="Z645" s="16" t="n"/>
      <c r="AA645" s="17" t="inlineStr">
        <is>
          <t>Transplanting (Pindot) — recommended; Direct Seeding possible in dry season</t>
        </is>
      </c>
      <c r="AB645" s="17" t="inlineStr">
        <is>
          <t>Conventional Tillage: 2 plowings + harrowing; puddle thoroughly for transplanting</t>
        </is>
      </c>
      <c r="AC645" s="17" t="inlineStr">
        <is>
          <t>Intermittent to continuous flooding; manage according to drainage section present</t>
        </is>
      </c>
    </row>
    <row r="646" ht="21.75" customHeight="1" s="101">
      <c r="A646" s="6" t="inlineStr">
        <is>
          <t>Palay</t>
        </is>
      </c>
      <c r="B646" s="6" t="inlineStr">
        <is>
          <t>Santiago</t>
        </is>
      </c>
      <c r="C646" s="6" t="inlineStr">
        <is>
          <t>June</t>
        </is>
      </c>
      <c r="D646" s="6" t="inlineStr">
        <is>
          <t>2022</t>
        </is>
      </c>
      <c r="E646" s="6" t="inlineStr">
        <is>
          <t>WS 2022</t>
        </is>
      </c>
      <c r="F646" s="6" t="inlineStr">
        <is>
          <t>Planting</t>
        </is>
      </c>
      <c r="G646" s="7" t="n">
        <v>8.01</v>
      </c>
      <c r="H646" s="8" t="n">
        <v>27.14</v>
      </c>
      <c r="I646" s="8" t="n">
        <v>23.01</v>
      </c>
      <c r="J646" s="8" t="n">
        <v>32.47</v>
      </c>
      <c r="K646" s="8" t="n">
        <v>82.48</v>
      </c>
      <c r="L646" s="8" t="n">
        <v>98.2</v>
      </c>
      <c r="M646" s="8" t="n">
        <v>20.55</v>
      </c>
      <c r="N646" s="6" t="inlineStr">
        <is>
          <t>Type I – Tropical Monsoon (PAGASA)</t>
        </is>
      </c>
      <c r="O646" s="6" t="inlineStr">
        <is>
          <t>Wet</t>
        </is>
      </c>
      <c r="P646" s="6" t="inlineStr">
        <is>
          <t>Silty Clay Loam</t>
        </is>
      </c>
      <c r="Q646" s="6" t="inlineStr">
        <is>
          <t>Flat / Lowland</t>
        </is>
      </c>
      <c r="R646" s="9" t="n">
        <v>30</v>
      </c>
      <c r="S646" s="6" t="inlineStr">
        <is>
          <t>—</t>
        </is>
      </c>
      <c r="T646" s="10" t="n">
        <v>283.08</v>
      </c>
      <c r="U646" s="10" t="n">
        <v>103.6</v>
      </c>
      <c r="V646" s="10" t="n">
        <v>145.4</v>
      </c>
      <c r="W646" s="10" t="n">
        <v>249</v>
      </c>
      <c r="X646" s="10" t="n"/>
      <c r="Y646" s="10" t="n"/>
      <c r="Z646" s="11" t="n"/>
      <c r="AA646" s="12" t="inlineStr">
        <is>
          <t>Transplanting (Pindot) — optimal for clay-loam paddy fields</t>
        </is>
      </c>
      <c r="AB646" s="12" t="inlineStr">
        <is>
          <t>Wet Tillage (Puddling): 2 plowings + thorough harrowing under flooded condition</t>
        </is>
      </c>
      <c r="AC646" s="12" t="inlineStr">
        <is>
          <t>Continuous flooding 2–5 cm depth during vegetative stage; drain 2 weeks before harvest</t>
        </is>
      </c>
    </row>
    <row r="647" ht="21.75" customHeight="1" s="101">
      <c r="A647" s="13" t="inlineStr">
        <is>
          <t>Palay</t>
        </is>
      </c>
      <c r="B647" s="13" t="inlineStr">
        <is>
          <t>Pasileng Norte</t>
        </is>
      </c>
      <c r="C647" s="13" t="inlineStr">
        <is>
          <t>October</t>
        </is>
      </c>
      <c r="D647" s="13" t="inlineStr">
        <is>
          <t>2022</t>
        </is>
      </c>
      <c r="E647" s="13" t="inlineStr">
        <is>
          <t>WS 2022</t>
        </is>
      </c>
      <c r="F647" s="13" t="inlineStr">
        <is>
          <t>Harvest</t>
        </is>
      </c>
      <c r="G647" s="7" t="n">
        <v>13.41</v>
      </c>
      <c r="H647" s="8" t="n">
        <v>26.64</v>
      </c>
      <c r="I647" s="8" t="n">
        <v>21.81</v>
      </c>
      <c r="J647" s="8" t="n">
        <v>31.98</v>
      </c>
      <c r="K647" s="8" t="n">
        <v>85.39</v>
      </c>
      <c r="L647" s="8" t="n">
        <v>98.09999999999999</v>
      </c>
      <c r="M647" s="8" t="n">
        <v>16.36</v>
      </c>
      <c r="N647" s="13" t="inlineStr">
        <is>
          <t>Type I – Tropical Monsoon (PAGASA)</t>
        </is>
      </c>
      <c r="O647" s="13" t="inlineStr">
        <is>
          <t>Wet</t>
        </is>
      </c>
      <c r="P647" s="13" t="inlineStr">
        <is>
          <t>Sandy Loam</t>
        </is>
      </c>
      <c r="Q647" s="13" t="inlineStr">
        <is>
          <t>Flat / Lowland</t>
        </is>
      </c>
      <c r="R647" s="14" t="n">
        <v>30</v>
      </c>
      <c r="S647" s="13" t="inlineStr">
        <is>
          <t>Tagamusing River</t>
        </is>
      </c>
      <c r="T647" s="15" t="n">
        <v>140.28</v>
      </c>
      <c r="U647" s="15" t="n"/>
      <c r="V647" s="15" t="n"/>
      <c r="W647" s="15" t="n"/>
      <c r="X647" s="15" t="n">
        <v>68.01000000000001</v>
      </c>
      <c r="Y647" s="15" t="n">
        <v>0</v>
      </c>
      <c r="Z647" s="16" t="n">
        <v>0</v>
      </c>
      <c r="AA647" s="17" t="inlineStr">
        <is>
          <t>Transplanting (Pindot) or Direct Seeding (Pinaghandaan)</t>
        </is>
      </c>
      <c r="AB647" s="17" t="inlineStr">
        <is>
          <t>Conventional Tillage: 2 plowings + 2 harrowings; soil workable when moist</t>
        </is>
      </c>
      <c r="AC647" s="17" t="inlineStr">
        <is>
          <t>Intermittent irrigation (Alternate Wetting and Drying — AWD); moderate retention</t>
        </is>
      </c>
    </row>
    <row r="648" ht="21.75" customHeight="1" s="101">
      <c r="A648" s="6" t="inlineStr">
        <is>
          <t>Palay</t>
        </is>
      </c>
      <c r="B648" s="6" t="inlineStr">
        <is>
          <t>Tabuyoc</t>
        </is>
      </c>
      <c r="C648" s="6" t="inlineStr">
        <is>
          <t>October</t>
        </is>
      </c>
      <c r="D648" s="6" t="inlineStr">
        <is>
          <t>2022</t>
        </is>
      </c>
      <c r="E648" s="6" t="inlineStr">
        <is>
          <t>WS 2022</t>
        </is>
      </c>
      <c r="F648" s="6" t="inlineStr">
        <is>
          <t>Harvest</t>
        </is>
      </c>
      <c r="G648" s="7" t="n">
        <v>13.41</v>
      </c>
      <c r="H648" s="8" t="n">
        <v>26.64</v>
      </c>
      <c r="I648" s="8" t="n">
        <v>21.81</v>
      </c>
      <c r="J648" s="8" t="n">
        <v>31.98</v>
      </c>
      <c r="K648" s="8" t="n">
        <v>85.39</v>
      </c>
      <c r="L648" s="8" t="n">
        <v>98.09999999999999</v>
      </c>
      <c r="M648" s="8" t="n">
        <v>16.36</v>
      </c>
      <c r="N648" s="6" t="inlineStr">
        <is>
          <t>Type I – Tropical Monsoon (PAGASA)</t>
        </is>
      </c>
      <c r="O648" s="6" t="inlineStr">
        <is>
          <t>Wet</t>
        </is>
      </c>
      <c r="P648" s="6" t="inlineStr">
        <is>
          <t>Silty Clay Loam</t>
        </is>
      </c>
      <c r="Q648" s="6" t="inlineStr">
        <is>
          <t>Flat / Lowland</t>
        </is>
      </c>
      <c r="R648" s="9" t="n">
        <v>30</v>
      </c>
      <c r="S648" s="6" t="inlineStr">
        <is>
          <t>—</t>
        </is>
      </c>
      <c r="T648" s="10" t="n">
        <v>277.2</v>
      </c>
      <c r="U648" s="10" t="n"/>
      <c r="V648" s="10" t="n"/>
      <c r="W648" s="10" t="n"/>
      <c r="X648" s="10" t="n">
        <v>3.64</v>
      </c>
      <c r="Y648" s="10" t="n">
        <v>0</v>
      </c>
      <c r="Z648" s="11" t="n">
        <v>0</v>
      </c>
      <c r="AA648" s="12" t="inlineStr">
        <is>
          <t>Transplanting (Pindot) — optimal for clay-loam paddy fields</t>
        </is>
      </c>
      <c r="AB648" s="12" t="inlineStr">
        <is>
          <t>Wet Tillage (Puddling): 2 plowings + thorough harrowing under flooded condition</t>
        </is>
      </c>
      <c r="AC648" s="12" t="inlineStr">
        <is>
          <t>Continuous flooding 2–5 cm depth during vegetative stage; drain 2 weeks before harvest</t>
        </is>
      </c>
    </row>
    <row r="649" ht="21.75" customHeight="1" s="101">
      <c r="A649" s="13" t="inlineStr">
        <is>
          <t>Palay</t>
        </is>
      </c>
      <c r="B649" s="13" t="inlineStr">
        <is>
          <t>Bued</t>
        </is>
      </c>
      <c r="C649" s="13" t="inlineStr">
        <is>
          <t>October</t>
        </is>
      </c>
      <c r="D649" s="13" t="inlineStr">
        <is>
          <t>2022</t>
        </is>
      </c>
      <c r="E649" s="13" t="inlineStr">
        <is>
          <t>WS 2022</t>
        </is>
      </c>
      <c r="F649" s="13" t="inlineStr">
        <is>
          <t>Harvest</t>
        </is>
      </c>
      <c r="G649" s="7" t="n">
        <v>13.41</v>
      </c>
      <c r="H649" s="8" t="n">
        <v>26.64</v>
      </c>
      <c r="I649" s="8" t="n">
        <v>21.81</v>
      </c>
      <c r="J649" s="8" t="n">
        <v>31.98</v>
      </c>
      <c r="K649" s="8" t="n">
        <v>85.39</v>
      </c>
      <c r="L649" s="8" t="n">
        <v>98.09999999999999</v>
      </c>
      <c r="M649" s="8" t="n">
        <v>16.36</v>
      </c>
      <c r="N649" s="13" t="inlineStr">
        <is>
          <t>Type I – Tropical Monsoon (PAGASA)</t>
        </is>
      </c>
      <c r="O649" s="13" t="inlineStr">
        <is>
          <t>Wet</t>
        </is>
      </c>
      <c r="P649" s="13" t="inlineStr">
        <is>
          <t>Silty Clay Loam</t>
        </is>
      </c>
      <c r="Q649" s="13" t="inlineStr">
        <is>
          <t>Flat / Lowland</t>
        </is>
      </c>
      <c r="R649" s="14" t="n">
        <v>30</v>
      </c>
      <c r="S649" s="13" t="inlineStr">
        <is>
          <t>Tagamusing River</t>
        </is>
      </c>
      <c r="T649" s="15" t="n">
        <v>210.84</v>
      </c>
      <c r="U649" s="15" t="n"/>
      <c r="V649" s="15" t="n"/>
      <c r="W649" s="15" t="n"/>
      <c r="X649" s="15" t="n">
        <v>103.25</v>
      </c>
      <c r="Y649" s="15" t="n">
        <v>0</v>
      </c>
      <c r="Z649" s="16" t="n">
        <v>0</v>
      </c>
      <c r="AA649" s="17" t="inlineStr">
        <is>
          <t>Transplanting (Pindot) — optimal for clay-loam paddy fields</t>
        </is>
      </c>
      <c r="AB649" s="17" t="inlineStr">
        <is>
          <t>Wet Tillage (Puddling): 2 plowings + thorough harrowing under flooded condition</t>
        </is>
      </c>
      <c r="AC649" s="17" t="inlineStr">
        <is>
          <t>Continuous flooding 2–5 cm depth during vegetative stage; drain 2 weeks before harvest</t>
        </is>
      </c>
    </row>
    <row r="650" ht="21.75" customHeight="1" s="101">
      <c r="A650" s="6" t="inlineStr">
        <is>
          <t>Palay</t>
        </is>
      </c>
      <c r="B650" s="6" t="inlineStr">
        <is>
          <t>Dumayat</t>
        </is>
      </c>
      <c r="C650" s="6" t="inlineStr">
        <is>
          <t>October</t>
        </is>
      </c>
      <c r="D650" s="6" t="inlineStr">
        <is>
          <t>2022</t>
        </is>
      </c>
      <c r="E650" s="6" t="inlineStr">
        <is>
          <t>WS 2022</t>
        </is>
      </c>
      <c r="F650" s="6" t="inlineStr">
        <is>
          <t>Harvest</t>
        </is>
      </c>
      <c r="G650" s="7" t="n">
        <v>13.41</v>
      </c>
      <c r="H650" s="8" t="n">
        <v>26.64</v>
      </c>
      <c r="I650" s="8" t="n">
        <v>21.81</v>
      </c>
      <c r="J650" s="8" t="n">
        <v>31.98</v>
      </c>
      <c r="K650" s="8" t="n">
        <v>85.39</v>
      </c>
      <c r="L650" s="8" t="n">
        <v>98.09999999999999</v>
      </c>
      <c r="M650" s="8" t="n">
        <v>16.36</v>
      </c>
      <c r="N650" s="6" t="inlineStr">
        <is>
          <t>Type I – Tropical Monsoon (PAGASA)</t>
        </is>
      </c>
      <c r="O650" s="6" t="inlineStr">
        <is>
          <t>Wet</t>
        </is>
      </c>
      <c r="P650" s="6" t="inlineStr">
        <is>
          <t>Silty Clay Loam</t>
        </is>
      </c>
      <c r="Q650" s="6" t="inlineStr">
        <is>
          <t>Flat / Lowland</t>
        </is>
      </c>
      <c r="R650" s="9" t="n">
        <v>30</v>
      </c>
      <c r="S650" s="6" t="inlineStr">
        <is>
          <t>—</t>
        </is>
      </c>
      <c r="T650" s="10" t="n">
        <v>266.28</v>
      </c>
      <c r="U650" s="10" t="n"/>
      <c r="V650" s="10" t="n"/>
      <c r="W650" s="10" t="n"/>
      <c r="X650" s="10" t="n">
        <v>90.31</v>
      </c>
      <c r="Y650" s="10" t="n">
        <v>0</v>
      </c>
      <c r="Z650" s="11" t="n">
        <v>0</v>
      </c>
      <c r="AA650" s="12" t="inlineStr">
        <is>
          <t>Transplanting (Pindot) — optimal for clay-loam paddy fields</t>
        </is>
      </c>
      <c r="AB650" s="12" t="inlineStr">
        <is>
          <t>Wet Tillage (Puddling): 2 plowings + thorough harrowing under flooded condition</t>
        </is>
      </c>
      <c r="AC650" s="12" t="inlineStr">
        <is>
          <t>Continuous flooding 2–5 cm depth during vegetative stage; drain 2 weeks before harvest</t>
        </is>
      </c>
    </row>
    <row r="651" ht="21.75" customHeight="1" s="101">
      <c r="A651" s="13" t="inlineStr">
        <is>
          <t>Palay</t>
        </is>
      </c>
      <c r="B651" s="13" t="inlineStr">
        <is>
          <t>Camanggaan</t>
        </is>
      </c>
      <c r="C651" s="13" t="inlineStr">
        <is>
          <t>October</t>
        </is>
      </c>
      <c r="D651" s="13" t="inlineStr">
        <is>
          <t>2022</t>
        </is>
      </c>
      <c r="E651" s="13" t="inlineStr">
        <is>
          <t>WS 2022</t>
        </is>
      </c>
      <c r="F651" s="13" t="inlineStr">
        <is>
          <t>Harvest</t>
        </is>
      </c>
      <c r="G651" s="7" t="n">
        <v>13.41</v>
      </c>
      <c r="H651" s="8" t="n">
        <v>26.64</v>
      </c>
      <c r="I651" s="8" t="n">
        <v>21.81</v>
      </c>
      <c r="J651" s="8" t="n">
        <v>31.98</v>
      </c>
      <c r="K651" s="8" t="n">
        <v>85.39</v>
      </c>
      <c r="L651" s="8" t="n">
        <v>98.09999999999999</v>
      </c>
      <c r="M651" s="8" t="n">
        <v>16.36</v>
      </c>
      <c r="N651" s="13" t="inlineStr">
        <is>
          <t>Type I – Tropical Monsoon (PAGASA)</t>
        </is>
      </c>
      <c r="O651" s="13" t="inlineStr">
        <is>
          <t>Wet</t>
        </is>
      </c>
      <c r="P651" s="13" t="inlineStr">
        <is>
          <t>Sandy Loam</t>
        </is>
      </c>
      <c r="Q651" s="13" t="inlineStr">
        <is>
          <t>Flat / Lowland</t>
        </is>
      </c>
      <c r="R651" s="14" t="n">
        <v>30</v>
      </c>
      <c r="S651" s="13" t="inlineStr">
        <is>
          <t>—</t>
        </is>
      </c>
      <c r="T651" s="15" t="n">
        <v>244.44</v>
      </c>
      <c r="U651" s="15" t="n"/>
      <c r="V651" s="15" t="n"/>
      <c r="W651" s="15" t="n"/>
      <c r="X651" s="15" t="n">
        <v>4.62</v>
      </c>
      <c r="Y651" s="15" t="n">
        <v>0</v>
      </c>
      <c r="Z651" s="16" t="n">
        <v>0</v>
      </c>
      <c r="AA651" s="17" t="inlineStr">
        <is>
          <t>Transplanting (Pindot) or Direct Seeding (Pinaghandaan)</t>
        </is>
      </c>
      <c r="AB651" s="17" t="inlineStr">
        <is>
          <t>Conventional Tillage: 2 plowings + 2 harrowings; soil workable when moist</t>
        </is>
      </c>
      <c r="AC651" s="17" t="inlineStr">
        <is>
          <t>Intermittent irrigation (Alternate Wetting and Drying — AWD); moderate retention</t>
        </is>
      </c>
    </row>
    <row r="652" ht="21.75" customHeight="1" s="101">
      <c r="A652" s="6" t="inlineStr">
        <is>
          <t>Palay</t>
        </is>
      </c>
      <c r="B652" s="6" t="inlineStr">
        <is>
          <t>Vacante</t>
        </is>
      </c>
      <c r="C652" s="6" t="inlineStr">
        <is>
          <t>October</t>
        </is>
      </c>
      <c r="D652" s="6" t="inlineStr">
        <is>
          <t>2022</t>
        </is>
      </c>
      <c r="E652" s="6" t="inlineStr">
        <is>
          <t>WS 2022</t>
        </is>
      </c>
      <c r="F652" s="6" t="inlineStr">
        <is>
          <t>Harvest</t>
        </is>
      </c>
      <c r="G652" s="7" t="n">
        <v>13.41</v>
      </c>
      <c r="H652" s="8" t="n">
        <v>26.64</v>
      </c>
      <c r="I652" s="8" t="n">
        <v>21.81</v>
      </c>
      <c r="J652" s="8" t="n">
        <v>31.98</v>
      </c>
      <c r="K652" s="8" t="n">
        <v>85.39</v>
      </c>
      <c r="L652" s="8" t="n">
        <v>98.09999999999999</v>
      </c>
      <c r="M652" s="8" t="n">
        <v>16.36</v>
      </c>
      <c r="N652" s="6" t="inlineStr">
        <is>
          <t>Type I – Tropical Monsoon (PAGASA)</t>
        </is>
      </c>
      <c r="O652" s="6" t="inlineStr">
        <is>
          <t>Wet</t>
        </is>
      </c>
      <c r="P652" s="6" t="inlineStr">
        <is>
          <t>Silty Clay Loam</t>
        </is>
      </c>
      <c r="Q652" s="6" t="inlineStr">
        <is>
          <t>Flat / Lowland</t>
        </is>
      </c>
      <c r="R652" s="9" t="n">
        <v>30</v>
      </c>
      <c r="S652" s="6" t="inlineStr">
        <is>
          <t>Aloragat River</t>
        </is>
      </c>
      <c r="T652" s="10" t="n">
        <v>484.68</v>
      </c>
      <c r="U652" s="10" t="n"/>
      <c r="V652" s="10" t="n"/>
      <c r="W652" s="10" t="n"/>
      <c r="X652" s="10" t="n">
        <v>29.89</v>
      </c>
      <c r="Y652" s="10" t="n">
        <v>0</v>
      </c>
      <c r="Z652" s="11" t="n">
        <v>0</v>
      </c>
      <c r="AA652" s="12" t="inlineStr">
        <is>
          <t>Transplanting (Pindot) — optimal for clay-loam paddy fields</t>
        </is>
      </c>
      <c r="AB652" s="12" t="inlineStr">
        <is>
          <t>Wet Tillage (Puddling): 2 plowings + thorough harrowing under flooded condition</t>
        </is>
      </c>
      <c r="AC652" s="12" t="inlineStr">
        <is>
          <t>Continuous flooding 2–5 cm depth during vegetative stage; drain 2 weeks before harvest</t>
        </is>
      </c>
    </row>
    <row r="653" ht="21.75" customHeight="1" s="101">
      <c r="A653" s="13" t="inlineStr">
        <is>
          <t>Palay</t>
        </is>
      </c>
      <c r="B653" s="13" t="inlineStr">
        <is>
          <t>Sta. Catalina</t>
        </is>
      </c>
      <c r="C653" s="13" t="inlineStr">
        <is>
          <t>October</t>
        </is>
      </c>
      <c r="D653" s="13" t="inlineStr">
        <is>
          <t>2022</t>
        </is>
      </c>
      <c r="E653" s="13" t="inlineStr">
        <is>
          <t>WS 2022</t>
        </is>
      </c>
      <c r="F653" s="13" t="inlineStr">
        <is>
          <t>Harvest</t>
        </is>
      </c>
      <c r="G653" s="7" t="n">
        <v>13.41</v>
      </c>
      <c r="H653" s="8" t="n">
        <v>26.64</v>
      </c>
      <c r="I653" s="8" t="n">
        <v>21.81</v>
      </c>
      <c r="J653" s="8" t="n">
        <v>31.98</v>
      </c>
      <c r="K653" s="8" t="n">
        <v>85.39</v>
      </c>
      <c r="L653" s="8" t="n">
        <v>98.09999999999999</v>
      </c>
      <c r="M653" s="8" t="n">
        <v>16.36</v>
      </c>
      <c r="N653" s="13" t="inlineStr">
        <is>
          <t>Type I – Tropical Monsoon (PAGASA)</t>
        </is>
      </c>
      <c r="O653" s="13" t="inlineStr">
        <is>
          <t>Wet</t>
        </is>
      </c>
      <c r="P653" s="13" t="inlineStr">
        <is>
          <t>Fine Sand / Sandy Loam</t>
        </is>
      </c>
      <c r="Q653" s="13" t="inlineStr">
        <is>
          <t>Moderately Sloping / Highland</t>
        </is>
      </c>
      <c r="R653" s="14" t="n">
        <v>90</v>
      </c>
      <c r="S653" s="13" t="inlineStr">
        <is>
          <t>—</t>
        </is>
      </c>
      <c r="T653" s="15" t="n">
        <v>709.8</v>
      </c>
      <c r="U653" s="15" t="n"/>
      <c r="V653" s="15" t="n"/>
      <c r="W653" s="15" t="n"/>
      <c r="X653" s="15" t="n">
        <v>4.5</v>
      </c>
      <c r="Y653" s="15" t="n">
        <v>0</v>
      </c>
      <c r="Z653" s="16" t="n">
        <v>0</v>
      </c>
      <c r="AA653" s="17" t="inlineStr">
        <is>
          <t>Transplanting (Pindot)</t>
        </is>
      </c>
      <c r="AB653" s="17" t="inlineStr">
        <is>
          <t>Minimum Tillage (avoid compaction; sandy structure fragile)</t>
        </is>
      </c>
      <c r="AC653" s="17" t="inlineStr">
        <is>
          <t>Continuous flooding or frequent irrigation; high percolation risk; terrace or bund-assisted water retention essential on slopes</t>
        </is>
      </c>
    </row>
    <row r="654" ht="21.75" customHeight="1" s="101">
      <c r="A654" s="6" t="inlineStr">
        <is>
          <t>Palay</t>
        </is>
      </c>
      <c r="B654" s="6" t="inlineStr">
        <is>
          <t>Moreno</t>
        </is>
      </c>
      <c r="C654" s="6" t="inlineStr">
        <is>
          <t>October</t>
        </is>
      </c>
      <c r="D654" s="6" t="inlineStr">
        <is>
          <t>2022</t>
        </is>
      </c>
      <c r="E654" s="6" t="inlineStr">
        <is>
          <t>WS 2022</t>
        </is>
      </c>
      <c r="F654" s="6" t="inlineStr">
        <is>
          <t>Harvest</t>
        </is>
      </c>
      <c r="G654" s="7" t="n">
        <v>13.41</v>
      </c>
      <c r="H654" s="8" t="n">
        <v>26.64</v>
      </c>
      <c r="I654" s="8" t="n">
        <v>21.81</v>
      </c>
      <c r="J654" s="8" t="n">
        <v>31.98</v>
      </c>
      <c r="K654" s="8" t="n">
        <v>85.39</v>
      </c>
      <c r="L654" s="8" t="n">
        <v>98.09999999999999</v>
      </c>
      <c r="M654" s="8" t="n">
        <v>16.36</v>
      </c>
      <c r="N654" s="6" t="inlineStr">
        <is>
          <t>Type I – Tropical Monsoon (PAGASA)</t>
        </is>
      </c>
      <c r="O654" s="6" t="inlineStr">
        <is>
          <t>Wet</t>
        </is>
      </c>
      <c r="P654" s="6" t="inlineStr">
        <is>
          <t>Sandy Loam</t>
        </is>
      </c>
      <c r="Q654" s="6" t="inlineStr">
        <is>
          <t>Moderately Sloping / Highland</t>
        </is>
      </c>
      <c r="R654" s="9" t="n">
        <v>90</v>
      </c>
      <c r="S654" s="6" t="inlineStr">
        <is>
          <t>Alibeng River</t>
        </is>
      </c>
      <c r="T654" s="10" t="n">
        <v>641.76</v>
      </c>
      <c r="U654" s="10" t="n"/>
      <c r="V654" s="10" t="n"/>
      <c r="W654" s="10" t="n"/>
      <c r="X654" s="10" t="n">
        <v>72.02</v>
      </c>
      <c r="Y654" s="10" t="n">
        <v>0</v>
      </c>
      <c r="Z654" s="11" t="n">
        <v>0</v>
      </c>
      <c r="AA654" s="12" t="inlineStr">
        <is>
          <t>Transplanting (Pindot) or Direct Seeding (Pinaghandaan)</t>
        </is>
      </c>
      <c r="AB654" s="12" t="inlineStr">
        <is>
          <t>Conventional Tillage: 2 plowings + 2 harrowings; soil workable when moist</t>
        </is>
      </c>
      <c r="AC654" s="12" t="inlineStr">
        <is>
          <t>Intermittent irrigation (Alternate Wetting and Drying — AWD); moderate retention; terrace or bund-assisted water retention essential on slopes</t>
        </is>
      </c>
    </row>
    <row r="655" ht="21.75" customHeight="1" s="101">
      <c r="A655" s="13" t="inlineStr">
        <is>
          <t>Palay</t>
        </is>
      </c>
      <c r="B655" s="13" t="inlineStr">
        <is>
          <t>Cili</t>
        </is>
      </c>
      <c r="C655" s="13" t="inlineStr">
        <is>
          <t>October</t>
        </is>
      </c>
      <c r="D655" s="13" t="inlineStr">
        <is>
          <t>2022</t>
        </is>
      </c>
      <c r="E655" s="13" t="inlineStr">
        <is>
          <t>WS 2022</t>
        </is>
      </c>
      <c r="F655" s="13" t="inlineStr">
        <is>
          <t>Harvest</t>
        </is>
      </c>
      <c r="G655" s="7" t="n">
        <v>13.41</v>
      </c>
      <c r="H655" s="8" t="n">
        <v>26.64</v>
      </c>
      <c r="I655" s="8" t="n">
        <v>21.81</v>
      </c>
      <c r="J655" s="8" t="n">
        <v>31.98</v>
      </c>
      <c r="K655" s="8" t="n">
        <v>85.39</v>
      </c>
      <c r="L655" s="8" t="n">
        <v>98.09999999999999</v>
      </c>
      <c r="M655" s="8" t="n">
        <v>16.36</v>
      </c>
      <c r="N655" s="13" t="inlineStr">
        <is>
          <t>Type I – Tropical Monsoon (PAGASA)</t>
        </is>
      </c>
      <c r="O655" s="13" t="inlineStr">
        <is>
          <t>Wet</t>
        </is>
      </c>
      <c r="P655" s="13" t="inlineStr">
        <is>
          <t>Silty Clay Loam</t>
        </is>
      </c>
      <c r="Q655" s="13" t="inlineStr">
        <is>
          <t>Flat / Lowland</t>
        </is>
      </c>
      <c r="R655" s="14" t="n">
        <v>30</v>
      </c>
      <c r="S655" s="13" t="inlineStr">
        <is>
          <t>Alibeng River</t>
        </is>
      </c>
      <c r="T655" s="15" t="n">
        <v>264.6</v>
      </c>
      <c r="U655" s="15" t="n"/>
      <c r="V655" s="15" t="n"/>
      <c r="W655" s="15" t="n"/>
      <c r="X655" s="15" t="n">
        <v>103.25</v>
      </c>
      <c r="Y655" s="15" t="n">
        <v>0</v>
      </c>
      <c r="Z655" s="16" t="n">
        <v>0</v>
      </c>
      <c r="AA655" s="17" t="inlineStr">
        <is>
          <t>Transplanting (Pindot) — optimal for clay-loam paddy fields</t>
        </is>
      </c>
      <c r="AB655" s="17" t="inlineStr">
        <is>
          <t>Wet Tillage (Puddling): 2 plowings + thorough harrowing under flooded condition</t>
        </is>
      </c>
      <c r="AC655" s="17" t="inlineStr">
        <is>
          <t>Continuous flooding 2–5 cm depth during vegetative stage; drain 2 weeks before harvest</t>
        </is>
      </c>
    </row>
    <row r="656" ht="21.75" customHeight="1" s="101">
      <c r="A656" s="6" t="inlineStr">
        <is>
          <t>Palay</t>
        </is>
      </c>
      <c r="B656" s="6" t="inlineStr">
        <is>
          <t>Linmansangan</t>
        </is>
      </c>
      <c r="C656" s="6" t="inlineStr">
        <is>
          <t>October</t>
        </is>
      </c>
      <c r="D656" s="6" t="inlineStr">
        <is>
          <t>2022</t>
        </is>
      </c>
      <c r="E656" s="6" t="inlineStr">
        <is>
          <t>WS 2022</t>
        </is>
      </c>
      <c r="F656" s="6" t="inlineStr">
        <is>
          <t>Harvest</t>
        </is>
      </c>
      <c r="G656" s="7" t="n">
        <v>13.41</v>
      </c>
      <c r="H656" s="8" t="n">
        <v>26.64</v>
      </c>
      <c r="I656" s="8" t="n">
        <v>21.81</v>
      </c>
      <c r="J656" s="8" t="n">
        <v>31.98</v>
      </c>
      <c r="K656" s="8" t="n">
        <v>85.39</v>
      </c>
      <c r="L656" s="8" t="n">
        <v>98.09999999999999</v>
      </c>
      <c r="M656" s="8" t="n">
        <v>16.36</v>
      </c>
      <c r="N656" s="6" t="inlineStr">
        <is>
          <t>Type I – Tropical Monsoon (PAGASA)</t>
        </is>
      </c>
      <c r="O656" s="6" t="inlineStr">
        <is>
          <t>Wet</t>
        </is>
      </c>
      <c r="P656" s="6" t="inlineStr">
        <is>
          <t>Silty Clay Loam</t>
        </is>
      </c>
      <c r="Q656" s="6" t="inlineStr">
        <is>
          <t>Flat / Lowland</t>
        </is>
      </c>
      <c r="R656" s="9" t="n">
        <v>30</v>
      </c>
      <c r="S656" s="6" t="inlineStr">
        <is>
          <t>—</t>
        </is>
      </c>
      <c r="T656" s="10" t="n">
        <v>492.24</v>
      </c>
      <c r="U656" s="10" t="n"/>
      <c r="V656" s="10" t="n"/>
      <c r="W656" s="10" t="n"/>
      <c r="X656" s="10" t="n">
        <v>94.2</v>
      </c>
      <c r="Y656" s="10" t="n">
        <v>0</v>
      </c>
      <c r="Z656" s="11" t="n">
        <v>0</v>
      </c>
      <c r="AA656" s="12" t="inlineStr">
        <is>
          <t>Transplanting (Pindot) — optimal for clay-loam paddy fields</t>
        </is>
      </c>
      <c r="AB656" s="12" t="inlineStr">
        <is>
          <t>Wet Tillage (Puddling): 2 plowings + thorough harrowing under flooded condition</t>
        </is>
      </c>
      <c r="AC656" s="12" t="inlineStr">
        <is>
          <t>Continuous flooding 2–5 cm depth during vegetative stage; drain 2 weeks before harvest</t>
        </is>
      </c>
    </row>
    <row r="657" ht="21.75" customHeight="1" s="101">
      <c r="A657" s="13" t="inlineStr">
        <is>
          <t>Palay</t>
        </is>
      </c>
      <c r="B657" s="13" t="inlineStr">
        <is>
          <t>Sumabnit</t>
        </is>
      </c>
      <c r="C657" s="13" t="inlineStr">
        <is>
          <t>October</t>
        </is>
      </c>
      <c r="D657" s="13" t="inlineStr">
        <is>
          <t>2022</t>
        </is>
      </c>
      <c r="E657" s="13" t="inlineStr">
        <is>
          <t>WS 2022</t>
        </is>
      </c>
      <c r="F657" s="13" t="inlineStr">
        <is>
          <t>Harvest</t>
        </is>
      </c>
      <c r="G657" s="7" t="n">
        <v>13.41</v>
      </c>
      <c r="H657" s="8" t="n">
        <v>26.64</v>
      </c>
      <c r="I657" s="8" t="n">
        <v>21.81</v>
      </c>
      <c r="J657" s="8" t="n">
        <v>31.98</v>
      </c>
      <c r="K657" s="8" t="n">
        <v>85.39</v>
      </c>
      <c r="L657" s="8" t="n">
        <v>98.09999999999999</v>
      </c>
      <c r="M657" s="8" t="n">
        <v>16.36</v>
      </c>
      <c r="N657" s="13" t="inlineStr">
        <is>
          <t>Type I – Tropical Monsoon (PAGASA)</t>
        </is>
      </c>
      <c r="O657" s="13" t="inlineStr">
        <is>
          <t>Wet</t>
        </is>
      </c>
      <c r="P657" s="13" t="inlineStr">
        <is>
          <t>Silty Clay Loam / Fine Sandy Loam</t>
        </is>
      </c>
      <c r="Q657" s="13" t="inlineStr">
        <is>
          <t>Flat / Lowland</t>
        </is>
      </c>
      <c r="R657" s="14" t="n">
        <v>30</v>
      </c>
      <c r="S657" s="13" t="inlineStr">
        <is>
          <t>Tagamusing River</t>
        </is>
      </c>
      <c r="T657" s="15" t="n">
        <v>406.56</v>
      </c>
      <c r="U657" s="15" t="n"/>
      <c r="V657" s="15" t="n"/>
      <c r="W657" s="15" t="n"/>
      <c r="X657" s="15" t="n">
        <v>61.91</v>
      </c>
      <c r="Y657" s="15" t="n">
        <v>0</v>
      </c>
      <c r="Z657" s="16" t="n">
        <v>0</v>
      </c>
      <c r="AA657" s="17" t="inlineStr">
        <is>
          <t>Transplanting (Pindot)</t>
        </is>
      </c>
      <c r="AB657" s="17" t="inlineStr">
        <is>
          <t>Minimum Tillage (avoid compaction; sandy structure fragile)</t>
        </is>
      </c>
      <c r="AC657" s="17" t="inlineStr">
        <is>
          <t>Continuous flooding or frequent irrigation; high percolation risk</t>
        </is>
      </c>
    </row>
    <row r="658" ht="21.75" customHeight="1" s="101">
      <c r="A658" s="6" t="inlineStr">
        <is>
          <t>Palay</t>
        </is>
      </c>
      <c r="B658" s="6" t="inlineStr">
        <is>
          <t>Capas</t>
        </is>
      </c>
      <c r="C658" s="6" t="inlineStr">
        <is>
          <t>October</t>
        </is>
      </c>
      <c r="D658" s="6" t="inlineStr">
        <is>
          <t>2022</t>
        </is>
      </c>
      <c r="E658" s="6" t="inlineStr">
        <is>
          <t>WS 2022</t>
        </is>
      </c>
      <c r="F658" s="6" t="inlineStr">
        <is>
          <t>Harvest</t>
        </is>
      </c>
      <c r="G658" s="7" t="n">
        <v>13.41</v>
      </c>
      <c r="H658" s="8" t="n">
        <v>26.64</v>
      </c>
      <c r="I658" s="8" t="n">
        <v>21.81</v>
      </c>
      <c r="J658" s="8" t="n">
        <v>31.98</v>
      </c>
      <c r="K658" s="8" t="n">
        <v>85.39</v>
      </c>
      <c r="L658" s="8" t="n">
        <v>98.09999999999999</v>
      </c>
      <c r="M658" s="8" t="n">
        <v>16.36</v>
      </c>
      <c r="N658" s="6" t="inlineStr">
        <is>
          <t>Type I – Tropical Monsoon (PAGASA)</t>
        </is>
      </c>
      <c r="O658" s="6" t="inlineStr">
        <is>
          <t>Wet</t>
        </is>
      </c>
      <c r="P658" s="6" t="inlineStr">
        <is>
          <t>Sandy Loam</t>
        </is>
      </c>
      <c r="Q658" s="6" t="inlineStr">
        <is>
          <t>Flat / Lowland</t>
        </is>
      </c>
      <c r="R658" s="9" t="n">
        <v>30</v>
      </c>
      <c r="S658" s="6" t="inlineStr">
        <is>
          <t>—</t>
        </is>
      </c>
      <c r="T658" s="10" t="n">
        <v>377.16</v>
      </c>
      <c r="U658" s="10" t="n"/>
      <c r="V658" s="10" t="n"/>
      <c r="W658" s="10" t="n"/>
      <c r="X658" s="10" t="n">
        <v>4.87</v>
      </c>
      <c r="Y658" s="10" t="n">
        <v>0</v>
      </c>
      <c r="Z658" s="11" t="n">
        <v>0</v>
      </c>
      <c r="AA658" s="12" t="inlineStr">
        <is>
          <t>Transplanting (Pindot) or Direct Seeding (Pinaghandaan)</t>
        </is>
      </c>
      <c r="AB658" s="12" t="inlineStr">
        <is>
          <t>Conventional Tillage: 2 plowings + 2 harrowings; soil workable when moist</t>
        </is>
      </c>
      <c r="AC658" s="12" t="inlineStr">
        <is>
          <t>Intermittent irrigation (Alternate Wetting and Drying — AWD); moderate retention</t>
        </is>
      </c>
    </row>
    <row r="659" ht="21.75" customHeight="1" s="101">
      <c r="A659" s="13" t="inlineStr">
        <is>
          <t>Palay</t>
        </is>
      </c>
      <c r="B659" s="13" t="inlineStr">
        <is>
          <t>Mangkasuy</t>
        </is>
      </c>
      <c r="C659" s="13" t="inlineStr">
        <is>
          <t>October</t>
        </is>
      </c>
      <c r="D659" s="13" t="inlineStr">
        <is>
          <t>2022</t>
        </is>
      </c>
      <c r="E659" s="13" t="inlineStr">
        <is>
          <t>WS 2022</t>
        </is>
      </c>
      <c r="F659" s="13" t="inlineStr">
        <is>
          <t>Harvest</t>
        </is>
      </c>
      <c r="G659" s="7" t="n">
        <v>13.41</v>
      </c>
      <c r="H659" s="8" t="n">
        <v>26.64</v>
      </c>
      <c r="I659" s="8" t="n">
        <v>21.81</v>
      </c>
      <c r="J659" s="8" t="n">
        <v>31.98</v>
      </c>
      <c r="K659" s="8" t="n">
        <v>85.39</v>
      </c>
      <c r="L659" s="8" t="n">
        <v>98.09999999999999</v>
      </c>
      <c r="M659" s="8" t="n">
        <v>16.36</v>
      </c>
      <c r="N659" s="13" t="inlineStr">
        <is>
          <t>Type I – Tropical Monsoon (PAGASA)</t>
        </is>
      </c>
      <c r="O659" s="13" t="inlineStr">
        <is>
          <t>Wet</t>
        </is>
      </c>
      <c r="P659" s="13" t="inlineStr">
        <is>
          <t>Sandy Loam</t>
        </is>
      </c>
      <c r="Q659" s="13" t="inlineStr">
        <is>
          <t>Flat / Lowland</t>
        </is>
      </c>
      <c r="R659" s="14" t="n">
        <v>30</v>
      </c>
      <c r="S659" s="13" t="inlineStr">
        <is>
          <t>Tagamusing River</t>
        </is>
      </c>
      <c r="T659" s="15" t="n">
        <v>802.2</v>
      </c>
      <c r="U659" s="15" t="n"/>
      <c r="V659" s="15" t="n"/>
      <c r="W659" s="15" t="n"/>
      <c r="X659" s="15" t="n">
        <v>74.68000000000001</v>
      </c>
      <c r="Y659" s="15" t="n">
        <v>0</v>
      </c>
      <c r="Z659" s="16" t="n">
        <v>0</v>
      </c>
      <c r="AA659" s="17" t="inlineStr">
        <is>
          <t>Transplanting (Pindot) or Direct Seeding (Pinaghandaan)</t>
        </is>
      </c>
      <c r="AB659" s="17" t="inlineStr">
        <is>
          <t>Conventional Tillage: 2 plowings + 2 harrowings; soil workable when moist</t>
        </is>
      </c>
      <c r="AC659" s="17" t="inlineStr">
        <is>
          <t>Intermittent irrigation (Alternate Wetting and Drying — AWD); moderate retention</t>
        </is>
      </c>
    </row>
    <row r="660" ht="21.75" customHeight="1" s="101">
      <c r="A660" s="6" t="inlineStr">
        <is>
          <t>Palay</t>
        </is>
      </c>
      <c r="B660" s="6" t="inlineStr">
        <is>
          <t>San Pablo</t>
        </is>
      </c>
      <c r="C660" s="6" t="inlineStr">
        <is>
          <t>October</t>
        </is>
      </c>
      <c r="D660" s="6" t="inlineStr">
        <is>
          <t>2022</t>
        </is>
      </c>
      <c r="E660" s="6" t="inlineStr">
        <is>
          <t>WS 2022</t>
        </is>
      </c>
      <c r="F660" s="6" t="inlineStr">
        <is>
          <t>Harvest</t>
        </is>
      </c>
      <c r="G660" s="7" t="n">
        <v>13.41</v>
      </c>
      <c r="H660" s="8" t="n">
        <v>26.64</v>
      </c>
      <c r="I660" s="8" t="n">
        <v>21.81</v>
      </c>
      <c r="J660" s="8" t="n">
        <v>31.98</v>
      </c>
      <c r="K660" s="8" t="n">
        <v>85.39</v>
      </c>
      <c r="L660" s="8" t="n">
        <v>98.09999999999999</v>
      </c>
      <c r="M660" s="8" t="n">
        <v>16.36</v>
      </c>
      <c r="N660" s="6" t="inlineStr">
        <is>
          <t>Type I – Tropical Monsoon (PAGASA)</t>
        </is>
      </c>
      <c r="O660" s="6" t="inlineStr">
        <is>
          <t>Wet</t>
        </is>
      </c>
      <c r="P660" s="6" t="inlineStr">
        <is>
          <t>Sandy Loam</t>
        </is>
      </c>
      <c r="Q660" s="6" t="inlineStr">
        <is>
          <t>Flat / Lowland</t>
        </is>
      </c>
      <c r="R660" s="9" t="n">
        <v>30</v>
      </c>
      <c r="S660" s="6" t="inlineStr">
        <is>
          <t>San Pablo Creek</t>
        </is>
      </c>
      <c r="T660" s="10" t="n">
        <v>215.04</v>
      </c>
      <c r="U660" s="10" t="n"/>
      <c r="V660" s="10" t="n"/>
      <c r="W660" s="10" t="n"/>
      <c r="X660" s="10" t="n">
        <v>74.72</v>
      </c>
      <c r="Y660" s="10" t="n">
        <v>0</v>
      </c>
      <c r="Z660" s="11" t="n">
        <v>0</v>
      </c>
      <c r="AA660" s="12" t="inlineStr">
        <is>
          <t>Transplanting (Pindot) or Direct Seeding (Pinaghandaan)</t>
        </is>
      </c>
      <c r="AB660" s="12" t="inlineStr">
        <is>
          <t>Conventional Tillage: 2 plowings + 2 harrowings; soil workable when moist</t>
        </is>
      </c>
      <c r="AC660" s="12" t="inlineStr">
        <is>
          <t>Intermittent irrigation (Alternate Wetting and Drying — AWD); moderate retention</t>
        </is>
      </c>
    </row>
    <row r="661" ht="21.75" customHeight="1" s="101">
      <c r="A661" s="13" t="inlineStr">
        <is>
          <t>Palay</t>
        </is>
      </c>
      <c r="B661" s="13" t="inlineStr">
        <is>
          <t>Balangobong</t>
        </is>
      </c>
      <c r="C661" s="13" t="inlineStr">
        <is>
          <t>October</t>
        </is>
      </c>
      <c r="D661" s="13" t="inlineStr">
        <is>
          <t>2022</t>
        </is>
      </c>
      <c r="E661" s="13" t="inlineStr">
        <is>
          <t>WS 2022</t>
        </is>
      </c>
      <c r="F661" s="13" t="inlineStr">
        <is>
          <t>Harvest</t>
        </is>
      </c>
      <c r="G661" s="7" t="n">
        <v>13.41</v>
      </c>
      <c r="H661" s="8" t="n">
        <v>26.64</v>
      </c>
      <c r="I661" s="8" t="n">
        <v>21.81</v>
      </c>
      <c r="J661" s="8" t="n">
        <v>31.98</v>
      </c>
      <c r="K661" s="8" t="n">
        <v>85.39</v>
      </c>
      <c r="L661" s="8" t="n">
        <v>98.09999999999999</v>
      </c>
      <c r="M661" s="8" t="n">
        <v>16.36</v>
      </c>
      <c r="N661" s="13" t="inlineStr">
        <is>
          <t>Type I – Tropical Monsoon (PAGASA)</t>
        </is>
      </c>
      <c r="O661" s="13" t="inlineStr">
        <is>
          <t>Wet</t>
        </is>
      </c>
      <c r="P661" s="13" t="inlineStr">
        <is>
          <t>Silty Clay Loam</t>
        </is>
      </c>
      <c r="Q661" s="13" t="inlineStr">
        <is>
          <t>Flat / Lowland</t>
        </is>
      </c>
      <c r="R661" s="14" t="n">
        <v>30</v>
      </c>
      <c r="S661" s="13" t="inlineStr">
        <is>
          <t>—</t>
        </is>
      </c>
      <c r="T661" s="15" t="n">
        <v>281.4</v>
      </c>
      <c r="U661" s="15" t="n"/>
      <c r="V661" s="15" t="n"/>
      <c r="W661" s="15" t="n"/>
      <c r="X661" s="15" t="n">
        <v>103.25</v>
      </c>
      <c r="Y661" s="15" t="n">
        <v>0</v>
      </c>
      <c r="Z661" s="16" t="n">
        <v>0</v>
      </c>
      <c r="AA661" s="17" t="inlineStr">
        <is>
          <t>Transplanting (Pindot) — optimal for clay-loam paddy fields</t>
        </is>
      </c>
      <c r="AB661" s="17" t="inlineStr">
        <is>
          <t>Wet Tillage (Puddling): 2 plowings + thorough harrowing under flooded condition</t>
        </is>
      </c>
      <c r="AC661" s="17" t="inlineStr">
        <is>
          <t>Continuous flooding 2–5 cm depth during vegetative stage; drain 2 weeks before harvest</t>
        </is>
      </c>
    </row>
    <row r="662" ht="21.75" customHeight="1" s="101">
      <c r="A662" s="6" t="inlineStr">
        <is>
          <t>Palay</t>
        </is>
      </c>
      <c r="B662" s="6" t="inlineStr">
        <is>
          <t>San Felipe Central</t>
        </is>
      </c>
      <c r="C662" s="6" t="inlineStr">
        <is>
          <t>October</t>
        </is>
      </c>
      <c r="D662" s="6" t="inlineStr">
        <is>
          <t>2022</t>
        </is>
      </c>
      <c r="E662" s="6" t="inlineStr">
        <is>
          <t>WS 2022</t>
        </is>
      </c>
      <c r="F662" s="6" t="inlineStr">
        <is>
          <t>Harvest</t>
        </is>
      </c>
      <c r="G662" s="7" t="n">
        <v>13.41</v>
      </c>
      <c r="H662" s="8" t="n">
        <v>26.64</v>
      </c>
      <c r="I662" s="8" t="n">
        <v>21.81</v>
      </c>
      <c r="J662" s="8" t="n">
        <v>31.98</v>
      </c>
      <c r="K662" s="8" t="n">
        <v>85.39</v>
      </c>
      <c r="L662" s="8" t="n">
        <v>98.09999999999999</v>
      </c>
      <c r="M662" s="8" t="n">
        <v>16.36</v>
      </c>
      <c r="N662" s="6" t="inlineStr">
        <is>
          <t>Type I – Tropical Monsoon (PAGASA)</t>
        </is>
      </c>
      <c r="O662" s="6" t="inlineStr">
        <is>
          <t>Wet</t>
        </is>
      </c>
      <c r="P662" s="6" t="inlineStr">
        <is>
          <t>Sandy Loam</t>
        </is>
      </c>
      <c r="Q662" s="6" t="inlineStr">
        <is>
          <t>Flat / Lowland</t>
        </is>
      </c>
      <c r="R662" s="9" t="n">
        <v>30</v>
      </c>
      <c r="S662" s="6" t="inlineStr">
        <is>
          <t>—</t>
        </is>
      </c>
      <c r="T662" s="10" t="n">
        <v>452.76</v>
      </c>
      <c r="U662" s="10" t="n"/>
      <c r="V662" s="10" t="n"/>
      <c r="W662" s="10" t="n"/>
      <c r="X662" s="10" t="n">
        <v>103.25</v>
      </c>
      <c r="Y662" s="10" t="n">
        <v>0</v>
      </c>
      <c r="Z662" s="11" t="n">
        <v>0</v>
      </c>
      <c r="AA662" s="12" t="inlineStr">
        <is>
          <t>Transplanting (Pindot) or Direct Seeding (Pinaghandaan)</t>
        </is>
      </c>
      <c r="AB662" s="12" t="inlineStr">
        <is>
          <t>Conventional Tillage: 2 plowings + 2 harrowings; soil workable when moist</t>
        </is>
      </c>
      <c r="AC662" s="12" t="inlineStr">
        <is>
          <t>Intermittent irrigation (Alternate Wetting and Drying — AWD); moderate retention</t>
        </is>
      </c>
    </row>
    <row r="663" ht="21.75" customHeight="1" s="101">
      <c r="A663" s="13" t="inlineStr">
        <is>
          <t>Palay</t>
        </is>
      </c>
      <c r="B663" s="13" t="inlineStr">
        <is>
          <t>San Felipe Sur</t>
        </is>
      </c>
      <c r="C663" s="13" t="inlineStr">
        <is>
          <t>October</t>
        </is>
      </c>
      <c r="D663" s="13" t="inlineStr">
        <is>
          <t>2022</t>
        </is>
      </c>
      <c r="E663" s="13" t="inlineStr">
        <is>
          <t>WS 2022</t>
        </is>
      </c>
      <c r="F663" s="13" t="inlineStr">
        <is>
          <t>Harvest</t>
        </is>
      </c>
      <c r="G663" s="7" t="n">
        <v>13.41</v>
      </c>
      <c r="H663" s="8" t="n">
        <v>26.64</v>
      </c>
      <c r="I663" s="8" t="n">
        <v>21.81</v>
      </c>
      <c r="J663" s="8" t="n">
        <v>31.98</v>
      </c>
      <c r="K663" s="8" t="n">
        <v>85.39</v>
      </c>
      <c r="L663" s="8" t="n">
        <v>98.09999999999999</v>
      </c>
      <c r="M663" s="8" t="n">
        <v>16.36</v>
      </c>
      <c r="N663" s="13" t="inlineStr">
        <is>
          <t>Type I – Tropical Monsoon (PAGASA)</t>
        </is>
      </c>
      <c r="O663" s="13" t="inlineStr">
        <is>
          <t>Wet</t>
        </is>
      </c>
      <c r="P663" s="13" t="inlineStr">
        <is>
          <t>Sandy Loam</t>
        </is>
      </c>
      <c r="Q663" s="13" t="inlineStr">
        <is>
          <t>Flat / Lowland</t>
        </is>
      </c>
      <c r="R663" s="14" t="n">
        <v>30</v>
      </c>
      <c r="S663" s="13" t="inlineStr">
        <is>
          <t>Tagamusing River</t>
        </is>
      </c>
      <c r="T663" s="15" t="n">
        <v>504</v>
      </c>
      <c r="U663" s="15" t="n"/>
      <c r="V663" s="15" t="n"/>
      <c r="W663" s="15" t="n"/>
      <c r="X663" s="15" t="n">
        <v>92.20999999999999</v>
      </c>
      <c r="Y663" s="15" t="n">
        <v>0</v>
      </c>
      <c r="Z663" s="16" t="n">
        <v>0</v>
      </c>
      <c r="AA663" s="17" t="inlineStr">
        <is>
          <t>Transplanting (Pindot) or Direct Seeding (Pinaghandaan)</t>
        </is>
      </c>
      <c r="AB663" s="17" t="inlineStr">
        <is>
          <t>Conventional Tillage: 2 plowings + 2 harrowings; soil workable when moist</t>
        </is>
      </c>
      <c r="AC663" s="17" t="inlineStr">
        <is>
          <t>Intermittent irrigation (Alternate Wetting and Drying — AWD); moderate retention</t>
        </is>
      </c>
    </row>
    <row r="664" ht="21.75" customHeight="1" s="101">
      <c r="A664" s="6" t="inlineStr">
        <is>
          <t>Palay</t>
        </is>
      </c>
      <c r="B664" s="6" t="inlineStr">
        <is>
          <t>Pasileng Sur</t>
        </is>
      </c>
      <c r="C664" s="6" t="inlineStr">
        <is>
          <t>October</t>
        </is>
      </c>
      <c r="D664" s="6" t="inlineStr">
        <is>
          <t>2022</t>
        </is>
      </c>
      <c r="E664" s="6" t="inlineStr">
        <is>
          <t>WS 2022</t>
        </is>
      </c>
      <c r="F664" s="6" t="inlineStr">
        <is>
          <t>Harvest</t>
        </is>
      </c>
      <c r="G664" s="7" t="n">
        <v>13.41</v>
      </c>
      <c r="H664" s="8" t="n">
        <v>26.64</v>
      </c>
      <c r="I664" s="8" t="n">
        <v>21.81</v>
      </c>
      <c r="J664" s="8" t="n">
        <v>31.98</v>
      </c>
      <c r="K664" s="8" t="n">
        <v>85.39</v>
      </c>
      <c r="L664" s="8" t="n">
        <v>98.09999999999999</v>
      </c>
      <c r="M664" s="8" t="n">
        <v>16.36</v>
      </c>
      <c r="N664" s="6" t="inlineStr">
        <is>
          <t>Type I – Tropical Monsoon (PAGASA)</t>
        </is>
      </c>
      <c r="O664" s="6" t="inlineStr">
        <is>
          <t>Wet</t>
        </is>
      </c>
      <c r="P664" s="6" t="inlineStr">
        <is>
          <t>Sandy Loam</t>
        </is>
      </c>
      <c r="Q664" s="6" t="inlineStr">
        <is>
          <t>Flat / Lowland</t>
        </is>
      </c>
      <c r="R664" s="9" t="n">
        <v>30</v>
      </c>
      <c r="S664" s="6" t="inlineStr">
        <is>
          <t>Tagamusing River</t>
        </is>
      </c>
      <c r="T664" s="10" t="n">
        <v>414.96</v>
      </c>
      <c r="U664" s="10" t="n"/>
      <c r="V664" s="10" t="n"/>
      <c r="W664" s="10" t="n"/>
      <c r="X664" s="10" t="n">
        <v>89.52</v>
      </c>
      <c r="Y664" s="10" t="n">
        <v>0</v>
      </c>
      <c r="Z664" s="11" t="n">
        <v>0</v>
      </c>
      <c r="AA664" s="12" t="inlineStr">
        <is>
          <t>Transplanting (Pindot) or Direct Seeding (Pinaghandaan)</t>
        </is>
      </c>
      <c r="AB664" s="12" t="inlineStr">
        <is>
          <t>Conventional Tillage: 2 plowings + 2 harrowings; soil workable when moist</t>
        </is>
      </c>
      <c r="AC664" s="12" t="inlineStr">
        <is>
          <t>Intermittent irrigation (Alternate Wetting and Drying — AWD); moderate retention</t>
        </is>
      </c>
    </row>
    <row r="665" ht="21.75" customHeight="1" s="101">
      <c r="A665" s="13" t="inlineStr">
        <is>
          <t>Palay</t>
        </is>
      </c>
      <c r="B665" s="13" t="inlineStr">
        <is>
          <t>Sta. Maria Norte</t>
        </is>
      </c>
      <c r="C665" s="13" t="inlineStr">
        <is>
          <t>October</t>
        </is>
      </c>
      <c r="D665" s="13" t="inlineStr">
        <is>
          <t>2022</t>
        </is>
      </c>
      <c r="E665" s="13" t="inlineStr">
        <is>
          <t>WS 2022</t>
        </is>
      </c>
      <c r="F665" s="13" t="inlineStr">
        <is>
          <t>Harvest</t>
        </is>
      </c>
      <c r="G665" s="7" t="n">
        <v>13.41</v>
      </c>
      <c r="H665" s="8" t="n">
        <v>26.64</v>
      </c>
      <c r="I665" s="8" t="n">
        <v>21.81</v>
      </c>
      <c r="J665" s="8" t="n">
        <v>31.98</v>
      </c>
      <c r="K665" s="8" t="n">
        <v>85.39</v>
      </c>
      <c r="L665" s="8" t="n">
        <v>98.09999999999999</v>
      </c>
      <c r="M665" s="8" t="n">
        <v>16.36</v>
      </c>
      <c r="N665" s="13" t="inlineStr">
        <is>
          <t>Type I – Tropical Monsoon (PAGASA)</t>
        </is>
      </c>
      <c r="O665" s="13" t="inlineStr">
        <is>
          <t>Wet</t>
        </is>
      </c>
      <c r="P665" s="13" t="inlineStr">
        <is>
          <t>Sandy Loam</t>
        </is>
      </c>
      <c r="Q665" s="13" t="inlineStr">
        <is>
          <t>Flat / Lowland</t>
        </is>
      </c>
      <c r="R665" s="14" t="n">
        <v>30</v>
      </c>
      <c r="S665" s="13" t="inlineStr">
        <is>
          <t>Tagamusing River</t>
        </is>
      </c>
      <c r="T665" s="15" t="n">
        <v>157.08</v>
      </c>
      <c r="U665" s="15" t="n"/>
      <c r="V665" s="15" t="n"/>
      <c r="W665" s="15" t="n"/>
      <c r="X665" s="15" t="n">
        <v>41.4</v>
      </c>
      <c r="Y665" s="15" t="n">
        <v>0</v>
      </c>
      <c r="Z665" s="16" t="n">
        <v>0</v>
      </c>
      <c r="AA665" s="17" t="inlineStr">
        <is>
          <t>Transplanting (Pindot) or Direct Seeding (Pinaghandaan)</t>
        </is>
      </c>
      <c r="AB665" s="17" t="inlineStr">
        <is>
          <t>Conventional Tillage: 2 plowings + 2 harrowings; soil workable when moist</t>
        </is>
      </c>
      <c r="AC665" s="17" t="inlineStr">
        <is>
          <t>Intermittent irrigation (Alternate Wetting and Drying — AWD); moderate retention</t>
        </is>
      </c>
    </row>
    <row r="666" ht="21.75" customHeight="1" s="101">
      <c r="A666" s="6" t="inlineStr">
        <is>
          <t>Palay</t>
        </is>
      </c>
      <c r="B666" s="6" t="inlineStr">
        <is>
          <t>Bugayong</t>
        </is>
      </c>
      <c r="C666" s="6" t="inlineStr">
        <is>
          <t>October</t>
        </is>
      </c>
      <c r="D666" s="6" t="inlineStr">
        <is>
          <t>2022</t>
        </is>
      </c>
      <c r="E666" s="6" t="inlineStr">
        <is>
          <t>WS 2022</t>
        </is>
      </c>
      <c r="F666" s="6" t="inlineStr">
        <is>
          <t>Harvest</t>
        </is>
      </c>
      <c r="G666" s="7" t="n">
        <v>13.41</v>
      </c>
      <c r="H666" s="8" t="n">
        <v>26.64</v>
      </c>
      <c r="I666" s="8" t="n">
        <v>21.81</v>
      </c>
      <c r="J666" s="8" t="n">
        <v>31.98</v>
      </c>
      <c r="K666" s="8" t="n">
        <v>85.39</v>
      </c>
      <c r="L666" s="8" t="n">
        <v>98.09999999999999</v>
      </c>
      <c r="M666" s="8" t="n">
        <v>16.36</v>
      </c>
      <c r="N666" s="6" t="inlineStr">
        <is>
          <t>Type I – Tropical Monsoon (PAGASA)</t>
        </is>
      </c>
      <c r="O666" s="6" t="inlineStr">
        <is>
          <t>Wet</t>
        </is>
      </c>
      <c r="P666" s="6" t="inlineStr">
        <is>
          <t>Sandy Loam / Silty Clay Loam</t>
        </is>
      </c>
      <c r="Q666" s="6" t="inlineStr">
        <is>
          <t>Flat / Lowland</t>
        </is>
      </c>
      <c r="R666" s="9" t="n">
        <v>30</v>
      </c>
      <c r="S666" s="6" t="inlineStr">
        <is>
          <t>Aloragat River</t>
        </is>
      </c>
      <c r="T666" s="10" t="n">
        <v>346.08</v>
      </c>
      <c r="U666" s="10" t="n"/>
      <c r="V666" s="10" t="n"/>
      <c r="W666" s="10" t="n"/>
      <c r="X666" s="10" t="n">
        <v>20.34</v>
      </c>
      <c r="Y666" s="10" t="n">
        <v>0</v>
      </c>
      <c r="Z666" s="11" t="n">
        <v>0</v>
      </c>
      <c r="AA666" s="12" t="inlineStr">
        <is>
          <t>Transplanting (Pindot) — recommended; Direct Seeding possible in dry season</t>
        </is>
      </c>
      <c r="AB666" s="12" t="inlineStr">
        <is>
          <t>Conventional Tillage: 2 plowings + harrowing; puddle thoroughly for transplanting</t>
        </is>
      </c>
      <c r="AC666" s="12" t="inlineStr">
        <is>
          <t>Intermittent to continuous flooding; manage according to drainage section present</t>
        </is>
      </c>
    </row>
    <row r="667" ht="21.75" customHeight="1" s="101">
      <c r="A667" s="13" t="inlineStr">
        <is>
          <t>Palay</t>
        </is>
      </c>
      <c r="B667" s="13" t="inlineStr">
        <is>
          <t>Santiago</t>
        </is>
      </c>
      <c r="C667" s="13" t="inlineStr">
        <is>
          <t>October</t>
        </is>
      </c>
      <c r="D667" s="13" t="inlineStr">
        <is>
          <t>2022</t>
        </is>
      </c>
      <c r="E667" s="13" t="inlineStr">
        <is>
          <t>WS 2022</t>
        </is>
      </c>
      <c r="F667" s="13" t="inlineStr">
        <is>
          <t>Harvest</t>
        </is>
      </c>
      <c r="G667" s="7" t="n">
        <v>13.41</v>
      </c>
      <c r="H667" s="8" t="n">
        <v>26.64</v>
      </c>
      <c r="I667" s="8" t="n">
        <v>21.81</v>
      </c>
      <c r="J667" s="8" t="n">
        <v>31.98</v>
      </c>
      <c r="K667" s="8" t="n">
        <v>85.39</v>
      </c>
      <c r="L667" s="8" t="n">
        <v>98.09999999999999</v>
      </c>
      <c r="M667" s="8" t="n">
        <v>16.36</v>
      </c>
      <c r="N667" s="13" t="inlineStr">
        <is>
          <t>Type I – Tropical Monsoon (PAGASA)</t>
        </is>
      </c>
      <c r="O667" s="13" t="inlineStr">
        <is>
          <t>Wet</t>
        </is>
      </c>
      <c r="P667" s="13" t="inlineStr">
        <is>
          <t>Silty Clay Loam</t>
        </is>
      </c>
      <c r="Q667" s="13" t="inlineStr">
        <is>
          <t>Flat / Lowland</t>
        </is>
      </c>
      <c r="R667" s="14" t="n">
        <v>30</v>
      </c>
      <c r="S667" s="13" t="inlineStr">
        <is>
          <t>—</t>
        </is>
      </c>
      <c r="T667" s="15" t="n">
        <v>283.08</v>
      </c>
      <c r="U667" s="15" t="n"/>
      <c r="V667" s="15" t="n"/>
      <c r="W667" s="15" t="n"/>
      <c r="X667" s="15" t="n">
        <v>38.3</v>
      </c>
      <c r="Y667" s="15" t="n">
        <v>0</v>
      </c>
      <c r="Z667" s="16" t="n">
        <v>0</v>
      </c>
      <c r="AA667" s="17" t="inlineStr">
        <is>
          <t>Transplanting (Pindot) — optimal for clay-loam paddy fields</t>
        </is>
      </c>
      <c r="AB667" s="17" t="inlineStr">
        <is>
          <t>Wet Tillage (Puddling): 2 plowings + thorough harrowing under flooded condition</t>
        </is>
      </c>
      <c r="AC667" s="17" t="inlineStr">
        <is>
          <t>Continuous flooding 2–5 cm depth during vegetative stage; drain 2 weeks before harvest</t>
        </is>
      </c>
    </row>
    <row r="668" ht="21.75" customHeight="1" s="101">
      <c r="A668" s="18" t="inlineStr">
        <is>
          <t>Corn</t>
        </is>
      </c>
      <c r="B668" s="18" t="inlineStr">
        <is>
          <t>Pasileng Norte</t>
        </is>
      </c>
      <c r="C668" s="18" t="inlineStr">
        <is>
          <t>November</t>
        </is>
      </c>
      <c r="D668" s="18" t="inlineStr">
        <is>
          <t>2020</t>
        </is>
      </c>
      <c r="E668" s="18" t="inlineStr">
        <is>
          <t>DS 2020-2021</t>
        </is>
      </c>
      <c r="F668" s="18" t="inlineStr">
        <is>
          <t>Planting</t>
        </is>
      </c>
      <c r="G668" s="7" t="n">
        <v>8.73</v>
      </c>
      <c r="H668" s="8" t="n">
        <v>25.81</v>
      </c>
      <c r="I668" s="8" t="n">
        <v>19.74</v>
      </c>
      <c r="J668" s="8" t="n">
        <v>31.57</v>
      </c>
      <c r="K668" s="8" t="n">
        <v>84.84</v>
      </c>
      <c r="L668" s="8" t="n">
        <v>98.31999999999999</v>
      </c>
      <c r="M668" s="8" t="n">
        <v>15.39</v>
      </c>
      <c r="N668" s="18" t="inlineStr">
        <is>
          <t>Type I – Tropical Monsoon (PAGASA)</t>
        </is>
      </c>
      <c r="O668" s="18" t="inlineStr">
        <is>
          <t>Dry (Cool)</t>
        </is>
      </c>
      <c r="P668" s="18" t="inlineStr">
        <is>
          <t>Sandy Loam</t>
        </is>
      </c>
      <c r="Q668" s="18" t="inlineStr">
        <is>
          <t>Flat / Lowland</t>
        </is>
      </c>
      <c r="R668" s="19" t="n">
        <v>30</v>
      </c>
      <c r="S668" s="18" t="inlineStr">
        <is>
          <t>Tagamusing River</t>
        </is>
      </c>
      <c r="T668" s="20" t="n">
        <v>140.28</v>
      </c>
      <c r="U668" s="20" t="n"/>
      <c r="V668" s="20" t="n"/>
      <c r="W668" s="20" t="n">
        <v>35.8</v>
      </c>
      <c r="X668" s="20" t="n"/>
      <c r="Y668" s="20" t="n"/>
      <c r="Z668" s="21" t="n"/>
      <c r="AA668" s="22" t="inlineStr">
        <is>
          <t>Direct Seeding (Hill Planting / Furrow Method)</t>
        </is>
      </c>
      <c r="AB668" s="22" t="inlineStr">
        <is>
          <t>Conventional Tillage: 1 deep plow (20–25 cm) + 1 harrowing; good tilth easily achieved</t>
        </is>
      </c>
      <c r="AC668" s="22" t="inlineStr">
        <is>
          <t>Furrow or sprinkler irrigation; AWD or weekly irrigation; good drainage natural</t>
        </is>
      </c>
    </row>
    <row r="669" ht="21.75" customHeight="1" s="101">
      <c r="A669" s="23" t="inlineStr">
        <is>
          <t>Corn</t>
        </is>
      </c>
      <c r="B669" s="23" t="inlineStr">
        <is>
          <t>Pasileng Norte</t>
        </is>
      </c>
      <c r="C669" s="23" t="inlineStr">
        <is>
          <t>March</t>
        </is>
      </c>
      <c r="D669" s="23" t="inlineStr">
        <is>
          <t>2021</t>
        </is>
      </c>
      <c r="E669" s="23" t="inlineStr">
        <is>
          <t>DS 2020-2021</t>
        </is>
      </c>
      <c r="F669" s="23" t="inlineStr">
        <is>
          <t>Harvest</t>
        </is>
      </c>
      <c r="G669" s="7" t="n">
        <v>2.28</v>
      </c>
      <c r="H669" s="8" t="n">
        <v>26.34</v>
      </c>
      <c r="I669" s="8" t="n">
        <v>18.92</v>
      </c>
      <c r="J669" s="8" t="n">
        <v>34.3</v>
      </c>
      <c r="K669" s="8" t="n">
        <v>78.14</v>
      </c>
      <c r="L669" s="8" t="n">
        <v>98.45999999999999</v>
      </c>
      <c r="M669" s="8" t="n">
        <v>21.32</v>
      </c>
      <c r="N669" s="23" t="inlineStr">
        <is>
          <t>Type I – Tropical Monsoon (PAGASA)</t>
        </is>
      </c>
      <c r="O669" s="23" t="inlineStr">
        <is>
          <t>Dry (Hot)</t>
        </is>
      </c>
      <c r="P669" s="23" t="inlineStr">
        <is>
          <t>Sandy Loam</t>
        </is>
      </c>
      <c r="Q669" s="23" t="inlineStr">
        <is>
          <t>Flat / Lowland</t>
        </is>
      </c>
      <c r="R669" s="24" t="n">
        <v>30</v>
      </c>
      <c r="S669" s="23" t="inlineStr">
        <is>
          <t>Tagamusing River</t>
        </is>
      </c>
      <c r="T669" s="25" t="n">
        <v>140.28</v>
      </c>
      <c r="U669" s="25" t="n"/>
      <c r="V669" s="25" t="n"/>
      <c r="W669" s="25" t="n"/>
      <c r="X669" s="25" t="n">
        <v>35.8</v>
      </c>
      <c r="Y669" s="25" t="n">
        <v>293.9</v>
      </c>
      <c r="Z669" s="26" t="n">
        <v>8.210000000000001</v>
      </c>
      <c r="AA669" s="17" t="inlineStr">
        <is>
          <t>Direct Seeding (Hill Planting / Furrow Method)</t>
        </is>
      </c>
      <c r="AB669" s="17" t="inlineStr">
        <is>
          <t>Conventional Tillage: 1 deep plow (20–25 cm) + 1 harrowing; good tilth easily achieved</t>
        </is>
      </c>
      <c r="AC669" s="17" t="inlineStr">
        <is>
          <t>Furrow or sprinkler irrigation; AWD or weekly irrigation; good drainage natural</t>
        </is>
      </c>
    </row>
    <row r="670" ht="21.75" customHeight="1" s="101">
      <c r="A670" s="18" t="inlineStr">
        <is>
          <t>Corn</t>
        </is>
      </c>
      <c r="B670" s="18" t="inlineStr">
        <is>
          <t>Tabuyoc</t>
        </is>
      </c>
      <c r="C670" s="18" t="inlineStr">
        <is>
          <t>November</t>
        </is>
      </c>
      <c r="D670" s="18" t="inlineStr">
        <is>
          <t>2020</t>
        </is>
      </c>
      <c r="E670" s="18" t="inlineStr">
        <is>
          <t>DS 2020-2021</t>
        </is>
      </c>
      <c r="F670" s="18" t="inlineStr">
        <is>
          <t>Planting</t>
        </is>
      </c>
      <c r="G670" s="7" t="n">
        <v>8.73</v>
      </c>
      <c r="H670" s="8" t="n">
        <v>25.81</v>
      </c>
      <c r="I670" s="8" t="n">
        <v>19.74</v>
      </c>
      <c r="J670" s="8" t="n">
        <v>31.57</v>
      </c>
      <c r="K670" s="8" t="n">
        <v>84.84</v>
      </c>
      <c r="L670" s="8" t="n">
        <v>98.31999999999999</v>
      </c>
      <c r="M670" s="8" t="n">
        <v>15.39</v>
      </c>
      <c r="N670" s="18" t="inlineStr">
        <is>
          <t>Type I – Tropical Monsoon (PAGASA)</t>
        </is>
      </c>
      <c r="O670" s="18" t="inlineStr">
        <is>
          <t>Dry (Cool)</t>
        </is>
      </c>
      <c r="P670" s="18" t="inlineStr">
        <is>
          <t>Silty Clay Loam</t>
        </is>
      </c>
      <c r="Q670" s="18" t="inlineStr">
        <is>
          <t>Flat / Lowland</t>
        </is>
      </c>
      <c r="R670" s="19" t="n">
        <v>30</v>
      </c>
      <c r="S670" s="18" t="inlineStr">
        <is>
          <t>—</t>
        </is>
      </c>
      <c r="T670" s="20" t="n">
        <v>277.2</v>
      </c>
      <c r="U670" s="20" t="n"/>
      <c r="V670" s="20" t="n"/>
      <c r="W670" s="20" t="n">
        <v>55.45</v>
      </c>
      <c r="X670" s="20" t="n"/>
      <c r="Y670" s="20" t="n"/>
      <c r="Z670" s="21" t="n"/>
      <c r="AA670" s="22" t="inlineStr">
        <is>
          <t>Direct Seeding (Furrow Method on Raised Beds)</t>
        </is>
      </c>
      <c r="AB670" s="22" t="inlineStr">
        <is>
          <t>Deep Tillage (25 cm): 1–2 plowings; form raised beds 20–25 cm high to prevent waterlogging</t>
        </is>
      </c>
      <c r="AC670" s="22" t="inlineStr">
        <is>
          <t>Furrow irrigation only (not flood); ensure bed drainage; drain excess after rain</t>
        </is>
      </c>
    </row>
    <row r="671" ht="21.75" customHeight="1" s="101">
      <c r="A671" s="23" t="inlineStr">
        <is>
          <t>Corn</t>
        </is>
      </c>
      <c r="B671" s="23" t="inlineStr">
        <is>
          <t>Tabuyoc</t>
        </is>
      </c>
      <c r="C671" s="23" t="inlineStr">
        <is>
          <t>March</t>
        </is>
      </c>
      <c r="D671" s="23" t="inlineStr">
        <is>
          <t>2021</t>
        </is>
      </c>
      <c r="E671" s="23" t="inlineStr">
        <is>
          <t>DS 2020-2021</t>
        </is>
      </c>
      <c r="F671" s="23" t="inlineStr">
        <is>
          <t>Harvest</t>
        </is>
      </c>
      <c r="G671" s="7" t="n">
        <v>2.28</v>
      </c>
      <c r="H671" s="8" t="n">
        <v>26.34</v>
      </c>
      <c r="I671" s="8" t="n">
        <v>18.92</v>
      </c>
      <c r="J671" s="8" t="n">
        <v>34.3</v>
      </c>
      <c r="K671" s="8" t="n">
        <v>78.14</v>
      </c>
      <c r="L671" s="8" t="n">
        <v>98.45999999999999</v>
      </c>
      <c r="M671" s="8" t="n">
        <v>21.32</v>
      </c>
      <c r="N671" s="23" t="inlineStr">
        <is>
          <t>Type I – Tropical Monsoon (PAGASA)</t>
        </is>
      </c>
      <c r="O671" s="23" t="inlineStr">
        <is>
          <t>Dry (Hot)</t>
        </is>
      </c>
      <c r="P671" s="23" t="inlineStr">
        <is>
          <t>Silty Clay Loam</t>
        </is>
      </c>
      <c r="Q671" s="23" t="inlineStr">
        <is>
          <t>Flat / Lowland</t>
        </is>
      </c>
      <c r="R671" s="24" t="n">
        <v>30</v>
      </c>
      <c r="S671" s="23" t="inlineStr">
        <is>
          <t>—</t>
        </is>
      </c>
      <c r="T671" s="25" t="n">
        <v>277.2</v>
      </c>
      <c r="U671" s="25" t="n"/>
      <c r="V671" s="25" t="n"/>
      <c r="W671" s="25" t="n"/>
      <c r="X671" s="25" t="n">
        <v>55.45</v>
      </c>
      <c r="Y671" s="25" t="n">
        <v>455.12</v>
      </c>
      <c r="Z671" s="26" t="n">
        <v>8.210000000000001</v>
      </c>
      <c r="AA671" s="17" t="inlineStr">
        <is>
          <t>Direct Seeding (Furrow Method on Raised Beds)</t>
        </is>
      </c>
      <c r="AB671" s="17" t="inlineStr">
        <is>
          <t>Deep Tillage (25 cm): 1–2 plowings; form raised beds 20–25 cm high to prevent waterlogging</t>
        </is>
      </c>
      <c r="AC671" s="17" t="inlineStr">
        <is>
          <t>Furrow irrigation only (not flood); ensure bed drainage; drain excess after rain</t>
        </is>
      </c>
    </row>
    <row r="672" ht="21.75" customHeight="1" s="101">
      <c r="A672" s="18" t="inlineStr">
        <is>
          <t>Corn</t>
        </is>
      </c>
      <c r="B672" s="18" t="inlineStr">
        <is>
          <t>Bued</t>
        </is>
      </c>
      <c r="C672" s="18" t="inlineStr">
        <is>
          <t>November</t>
        </is>
      </c>
      <c r="D672" s="18" t="inlineStr">
        <is>
          <t>2020</t>
        </is>
      </c>
      <c r="E672" s="18" t="inlineStr">
        <is>
          <t>DS 2020-2021</t>
        </is>
      </c>
      <c r="F672" s="18" t="inlineStr">
        <is>
          <t>Planting</t>
        </is>
      </c>
      <c r="G672" s="7" t="n">
        <v>8.73</v>
      </c>
      <c r="H672" s="8" t="n">
        <v>25.81</v>
      </c>
      <c r="I672" s="8" t="n">
        <v>19.74</v>
      </c>
      <c r="J672" s="8" t="n">
        <v>31.57</v>
      </c>
      <c r="K672" s="8" t="n">
        <v>84.84</v>
      </c>
      <c r="L672" s="8" t="n">
        <v>98.31999999999999</v>
      </c>
      <c r="M672" s="8" t="n">
        <v>15.39</v>
      </c>
      <c r="N672" s="18" t="inlineStr">
        <is>
          <t>Type I – Tropical Monsoon (PAGASA)</t>
        </is>
      </c>
      <c r="O672" s="18" t="inlineStr">
        <is>
          <t>Dry (Cool)</t>
        </is>
      </c>
      <c r="P672" s="18" t="inlineStr">
        <is>
          <t>Silty Clay Loam</t>
        </is>
      </c>
      <c r="Q672" s="18" t="inlineStr">
        <is>
          <t>Flat / Lowland</t>
        </is>
      </c>
      <c r="R672" s="19" t="n">
        <v>30</v>
      </c>
      <c r="S672" s="18" t="inlineStr">
        <is>
          <t>Tagamusing River</t>
        </is>
      </c>
      <c r="T672" s="20" t="n">
        <v>210.84</v>
      </c>
      <c r="U672" s="20" t="n"/>
      <c r="V672" s="20" t="n"/>
      <c r="W672" s="20" t="n">
        <v>41.88</v>
      </c>
      <c r="X672" s="20" t="n"/>
      <c r="Y672" s="20" t="n"/>
      <c r="Z672" s="21" t="n"/>
      <c r="AA672" s="22" t="inlineStr">
        <is>
          <t>Direct Seeding (Furrow Method on Raised Beds)</t>
        </is>
      </c>
      <c r="AB672" s="22" t="inlineStr">
        <is>
          <t>Deep Tillage (25 cm): 1–2 plowings; form raised beds 20–25 cm high to prevent waterlogging</t>
        </is>
      </c>
      <c r="AC672" s="22" t="inlineStr">
        <is>
          <t>Furrow irrigation only (not flood); ensure bed drainage; drain excess after rain</t>
        </is>
      </c>
    </row>
    <row r="673" ht="21.75" customHeight="1" s="101">
      <c r="A673" s="23" t="inlineStr">
        <is>
          <t>Corn</t>
        </is>
      </c>
      <c r="B673" s="23" t="inlineStr">
        <is>
          <t>Bued</t>
        </is>
      </c>
      <c r="C673" s="23" t="inlineStr">
        <is>
          <t>March</t>
        </is>
      </c>
      <c r="D673" s="23" t="inlineStr">
        <is>
          <t>2021</t>
        </is>
      </c>
      <c r="E673" s="23" t="inlineStr">
        <is>
          <t>DS 2020-2021</t>
        </is>
      </c>
      <c r="F673" s="23" t="inlineStr">
        <is>
          <t>Harvest</t>
        </is>
      </c>
      <c r="G673" s="7" t="n">
        <v>2.28</v>
      </c>
      <c r="H673" s="8" t="n">
        <v>26.34</v>
      </c>
      <c r="I673" s="8" t="n">
        <v>18.92</v>
      </c>
      <c r="J673" s="8" t="n">
        <v>34.3</v>
      </c>
      <c r="K673" s="8" t="n">
        <v>78.14</v>
      </c>
      <c r="L673" s="8" t="n">
        <v>98.45999999999999</v>
      </c>
      <c r="M673" s="8" t="n">
        <v>21.32</v>
      </c>
      <c r="N673" s="23" t="inlineStr">
        <is>
          <t>Type I – Tropical Monsoon (PAGASA)</t>
        </is>
      </c>
      <c r="O673" s="23" t="inlineStr">
        <is>
          <t>Dry (Hot)</t>
        </is>
      </c>
      <c r="P673" s="23" t="inlineStr">
        <is>
          <t>Silty Clay Loam</t>
        </is>
      </c>
      <c r="Q673" s="23" t="inlineStr">
        <is>
          <t>Flat / Lowland</t>
        </is>
      </c>
      <c r="R673" s="24" t="n">
        <v>30</v>
      </c>
      <c r="S673" s="23" t="inlineStr">
        <is>
          <t>Tagamusing River</t>
        </is>
      </c>
      <c r="T673" s="25" t="n">
        <v>210.84</v>
      </c>
      <c r="U673" s="25" t="n"/>
      <c r="V673" s="25" t="n"/>
      <c r="W673" s="25" t="n"/>
      <c r="X673" s="25" t="n">
        <v>41.88</v>
      </c>
      <c r="Y673" s="25" t="n">
        <v>343.79</v>
      </c>
      <c r="Z673" s="26" t="n">
        <v>8.210000000000001</v>
      </c>
      <c r="AA673" s="17" t="inlineStr">
        <is>
          <t>Direct Seeding (Furrow Method on Raised Beds)</t>
        </is>
      </c>
      <c r="AB673" s="17" t="inlineStr">
        <is>
          <t>Deep Tillage (25 cm): 1–2 plowings; form raised beds 20–25 cm high to prevent waterlogging</t>
        </is>
      </c>
      <c r="AC673" s="17" t="inlineStr">
        <is>
          <t>Furrow irrigation only (not flood); ensure bed drainage; drain excess after rain</t>
        </is>
      </c>
    </row>
    <row r="674" ht="21.75" customHeight="1" s="101">
      <c r="A674" s="18" t="inlineStr">
        <is>
          <t>Corn</t>
        </is>
      </c>
      <c r="B674" s="18" t="inlineStr">
        <is>
          <t>Dumayat</t>
        </is>
      </c>
      <c r="C674" s="18" t="inlineStr">
        <is>
          <t>November</t>
        </is>
      </c>
      <c r="D674" s="18" t="inlineStr">
        <is>
          <t>2020</t>
        </is>
      </c>
      <c r="E674" s="18" t="inlineStr">
        <is>
          <t>DS 2020-2021</t>
        </is>
      </c>
      <c r="F674" s="18" t="inlineStr">
        <is>
          <t>Planting</t>
        </is>
      </c>
      <c r="G674" s="7" t="n">
        <v>8.73</v>
      </c>
      <c r="H674" s="8" t="n">
        <v>25.81</v>
      </c>
      <c r="I674" s="8" t="n">
        <v>19.74</v>
      </c>
      <c r="J674" s="8" t="n">
        <v>31.57</v>
      </c>
      <c r="K674" s="8" t="n">
        <v>84.84</v>
      </c>
      <c r="L674" s="8" t="n">
        <v>98.31999999999999</v>
      </c>
      <c r="M674" s="8" t="n">
        <v>15.39</v>
      </c>
      <c r="N674" s="18" t="inlineStr">
        <is>
          <t>Type I – Tropical Monsoon (PAGASA)</t>
        </is>
      </c>
      <c r="O674" s="18" t="inlineStr">
        <is>
          <t>Dry (Cool)</t>
        </is>
      </c>
      <c r="P674" s="18" t="inlineStr">
        <is>
          <t>Silty Clay Loam</t>
        </is>
      </c>
      <c r="Q674" s="18" t="inlineStr">
        <is>
          <t>Flat / Lowland</t>
        </is>
      </c>
      <c r="R674" s="19" t="n">
        <v>30</v>
      </c>
      <c r="S674" s="18" t="inlineStr">
        <is>
          <t>—</t>
        </is>
      </c>
      <c r="T674" s="20" t="n">
        <v>266.28</v>
      </c>
      <c r="U674" s="20" t="n"/>
      <c r="V674" s="20" t="n"/>
      <c r="W674" s="20" t="n">
        <v>32.69</v>
      </c>
      <c r="X674" s="20" t="n"/>
      <c r="Y674" s="20" t="n"/>
      <c r="Z674" s="21" t="n"/>
      <c r="AA674" s="22" t="inlineStr">
        <is>
          <t>Direct Seeding (Furrow Method on Raised Beds)</t>
        </is>
      </c>
      <c r="AB674" s="22" t="inlineStr">
        <is>
          <t>Deep Tillage (25 cm): 1–2 plowings; form raised beds 20–25 cm high to prevent waterlogging</t>
        </is>
      </c>
      <c r="AC674" s="22" t="inlineStr">
        <is>
          <t>Furrow irrigation only (not flood); ensure bed drainage; drain excess after rain</t>
        </is>
      </c>
    </row>
    <row r="675" ht="21.75" customHeight="1" s="101">
      <c r="A675" s="23" t="inlineStr">
        <is>
          <t>Corn</t>
        </is>
      </c>
      <c r="B675" s="23" t="inlineStr">
        <is>
          <t>Dumayat</t>
        </is>
      </c>
      <c r="C675" s="23" t="inlineStr">
        <is>
          <t>March</t>
        </is>
      </c>
      <c r="D675" s="23" t="inlineStr">
        <is>
          <t>2021</t>
        </is>
      </c>
      <c r="E675" s="23" t="inlineStr">
        <is>
          <t>DS 2020-2021</t>
        </is>
      </c>
      <c r="F675" s="23" t="inlineStr">
        <is>
          <t>Harvest</t>
        </is>
      </c>
      <c r="G675" s="7" t="n">
        <v>2.28</v>
      </c>
      <c r="H675" s="8" t="n">
        <v>26.34</v>
      </c>
      <c r="I675" s="8" t="n">
        <v>18.92</v>
      </c>
      <c r="J675" s="8" t="n">
        <v>34.3</v>
      </c>
      <c r="K675" s="8" t="n">
        <v>78.14</v>
      </c>
      <c r="L675" s="8" t="n">
        <v>98.45999999999999</v>
      </c>
      <c r="M675" s="8" t="n">
        <v>21.32</v>
      </c>
      <c r="N675" s="23" t="inlineStr">
        <is>
          <t>Type I – Tropical Monsoon (PAGASA)</t>
        </is>
      </c>
      <c r="O675" s="23" t="inlineStr">
        <is>
          <t>Dry (Hot)</t>
        </is>
      </c>
      <c r="P675" s="23" t="inlineStr">
        <is>
          <t>Silty Clay Loam</t>
        </is>
      </c>
      <c r="Q675" s="23" t="inlineStr">
        <is>
          <t>Flat / Lowland</t>
        </is>
      </c>
      <c r="R675" s="24" t="n">
        <v>30</v>
      </c>
      <c r="S675" s="23" t="inlineStr">
        <is>
          <t>—</t>
        </is>
      </c>
      <c r="T675" s="25" t="n">
        <v>266.28</v>
      </c>
      <c r="U675" s="25" t="n"/>
      <c r="V675" s="25" t="n"/>
      <c r="W675" s="25" t="n"/>
      <c r="X675" s="25" t="n">
        <v>32.69</v>
      </c>
      <c r="Y675" s="25" t="n">
        <v>268.36</v>
      </c>
      <c r="Z675" s="26" t="n">
        <v>8.210000000000001</v>
      </c>
      <c r="AA675" s="17" t="inlineStr">
        <is>
          <t>Direct Seeding (Furrow Method on Raised Beds)</t>
        </is>
      </c>
      <c r="AB675" s="17" t="inlineStr">
        <is>
          <t>Deep Tillage (25 cm): 1–2 plowings; form raised beds 20–25 cm high to prevent waterlogging</t>
        </is>
      </c>
      <c r="AC675" s="17" t="inlineStr">
        <is>
          <t>Furrow irrigation only (not flood); ensure bed drainage; drain excess after rain</t>
        </is>
      </c>
    </row>
    <row r="676" ht="21.75" customHeight="1" s="101">
      <c r="A676" s="18" t="inlineStr">
        <is>
          <t>Corn</t>
        </is>
      </c>
      <c r="B676" s="18" t="inlineStr">
        <is>
          <t>Camanggaan</t>
        </is>
      </c>
      <c r="C676" s="18" t="inlineStr">
        <is>
          <t>November</t>
        </is>
      </c>
      <c r="D676" s="18" t="inlineStr">
        <is>
          <t>2020</t>
        </is>
      </c>
      <c r="E676" s="18" t="inlineStr">
        <is>
          <t>DS 2020-2021</t>
        </is>
      </c>
      <c r="F676" s="18" t="inlineStr">
        <is>
          <t>Planting</t>
        </is>
      </c>
      <c r="G676" s="7" t="n">
        <v>8.73</v>
      </c>
      <c r="H676" s="8" t="n">
        <v>25.81</v>
      </c>
      <c r="I676" s="8" t="n">
        <v>19.74</v>
      </c>
      <c r="J676" s="8" t="n">
        <v>31.57</v>
      </c>
      <c r="K676" s="8" t="n">
        <v>84.84</v>
      </c>
      <c r="L676" s="8" t="n">
        <v>98.31999999999999</v>
      </c>
      <c r="M676" s="8" t="n">
        <v>15.39</v>
      </c>
      <c r="N676" s="18" t="inlineStr">
        <is>
          <t>Type I – Tropical Monsoon (PAGASA)</t>
        </is>
      </c>
      <c r="O676" s="18" t="inlineStr">
        <is>
          <t>Dry (Cool)</t>
        </is>
      </c>
      <c r="P676" s="18" t="inlineStr">
        <is>
          <t>Sandy Loam</t>
        </is>
      </c>
      <c r="Q676" s="18" t="inlineStr">
        <is>
          <t>Flat / Lowland</t>
        </is>
      </c>
      <c r="R676" s="19" t="n">
        <v>30</v>
      </c>
      <c r="S676" s="18" t="inlineStr">
        <is>
          <t>—</t>
        </is>
      </c>
      <c r="T676" s="20" t="n">
        <v>244.44</v>
      </c>
      <c r="U676" s="20" t="n"/>
      <c r="V676" s="20" t="n"/>
      <c r="W676" s="20" t="n">
        <v>24.2</v>
      </c>
      <c r="X676" s="20" t="n"/>
      <c r="Y676" s="20" t="n"/>
      <c r="Z676" s="21" t="n"/>
      <c r="AA676" s="22" t="inlineStr">
        <is>
          <t>Direct Seeding (Hill Planting / Furrow Method)</t>
        </is>
      </c>
      <c r="AB676" s="22" t="inlineStr">
        <is>
          <t>Conventional Tillage: 1 deep plow (20–25 cm) + 1 harrowing; good tilth easily achieved</t>
        </is>
      </c>
      <c r="AC676" s="22" t="inlineStr">
        <is>
          <t>Furrow or sprinkler irrigation; AWD or weekly irrigation; good drainage natural</t>
        </is>
      </c>
    </row>
    <row r="677" ht="21.75" customHeight="1" s="101">
      <c r="A677" s="23" t="inlineStr">
        <is>
          <t>Corn</t>
        </is>
      </c>
      <c r="B677" s="23" t="inlineStr">
        <is>
          <t>Camanggaan</t>
        </is>
      </c>
      <c r="C677" s="23" t="inlineStr">
        <is>
          <t>March</t>
        </is>
      </c>
      <c r="D677" s="23" t="inlineStr">
        <is>
          <t>2021</t>
        </is>
      </c>
      <c r="E677" s="23" t="inlineStr">
        <is>
          <t>DS 2020-2021</t>
        </is>
      </c>
      <c r="F677" s="23" t="inlineStr">
        <is>
          <t>Harvest</t>
        </is>
      </c>
      <c r="G677" s="7" t="n">
        <v>2.28</v>
      </c>
      <c r="H677" s="8" t="n">
        <v>26.34</v>
      </c>
      <c r="I677" s="8" t="n">
        <v>18.92</v>
      </c>
      <c r="J677" s="8" t="n">
        <v>34.3</v>
      </c>
      <c r="K677" s="8" t="n">
        <v>78.14</v>
      </c>
      <c r="L677" s="8" t="n">
        <v>98.45999999999999</v>
      </c>
      <c r="M677" s="8" t="n">
        <v>21.32</v>
      </c>
      <c r="N677" s="23" t="inlineStr">
        <is>
          <t>Type I – Tropical Monsoon (PAGASA)</t>
        </is>
      </c>
      <c r="O677" s="23" t="inlineStr">
        <is>
          <t>Dry (Hot)</t>
        </is>
      </c>
      <c r="P677" s="23" t="inlineStr">
        <is>
          <t>Sandy Loam</t>
        </is>
      </c>
      <c r="Q677" s="23" t="inlineStr">
        <is>
          <t>Flat / Lowland</t>
        </is>
      </c>
      <c r="R677" s="24" t="n">
        <v>30</v>
      </c>
      <c r="S677" s="23" t="inlineStr">
        <is>
          <t>—</t>
        </is>
      </c>
      <c r="T677" s="25" t="n">
        <v>244.44</v>
      </c>
      <c r="U677" s="25" t="n"/>
      <c r="V677" s="25" t="n"/>
      <c r="W677" s="25" t="n"/>
      <c r="X677" s="25" t="n">
        <v>24.2</v>
      </c>
      <c r="Y677" s="25" t="n">
        <v>198.64</v>
      </c>
      <c r="Z677" s="26" t="n">
        <v>8.210000000000001</v>
      </c>
      <c r="AA677" s="17" t="inlineStr">
        <is>
          <t>Direct Seeding (Hill Planting / Furrow Method)</t>
        </is>
      </c>
      <c r="AB677" s="17" t="inlineStr">
        <is>
          <t>Conventional Tillage: 1 deep plow (20–25 cm) + 1 harrowing; good tilth easily achieved</t>
        </is>
      </c>
      <c r="AC677" s="17" t="inlineStr">
        <is>
          <t>Furrow or sprinkler irrigation; AWD or weekly irrigation; good drainage natural</t>
        </is>
      </c>
    </row>
    <row r="678" ht="21.75" customHeight="1" s="101">
      <c r="A678" s="18" t="inlineStr">
        <is>
          <t>Corn</t>
        </is>
      </c>
      <c r="B678" s="18" t="inlineStr">
        <is>
          <t>Vacante</t>
        </is>
      </c>
      <c r="C678" s="18" t="inlineStr">
        <is>
          <t>November</t>
        </is>
      </c>
      <c r="D678" s="18" t="inlineStr">
        <is>
          <t>2020</t>
        </is>
      </c>
      <c r="E678" s="18" t="inlineStr">
        <is>
          <t>DS 2020-2021</t>
        </is>
      </c>
      <c r="F678" s="18" t="inlineStr">
        <is>
          <t>Planting</t>
        </is>
      </c>
      <c r="G678" s="7" t="n">
        <v>8.73</v>
      </c>
      <c r="H678" s="8" t="n">
        <v>25.81</v>
      </c>
      <c r="I678" s="8" t="n">
        <v>19.74</v>
      </c>
      <c r="J678" s="8" t="n">
        <v>31.57</v>
      </c>
      <c r="K678" s="8" t="n">
        <v>84.84</v>
      </c>
      <c r="L678" s="8" t="n">
        <v>98.31999999999999</v>
      </c>
      <c r="M678" s="8" t="n">
        <v>15.39</v>
      </c>
      <c r="N678" s="18" t="inlineStr">
        <is>
          <t>Type I – Tropical Monsoon (PAGASA)</t>
        </is>
      </c>
      <c r="O678" s="18" t="inlineStr">
        <is>
          <t>Dry (Cool)</t>
        </is>
      </c>
      <c r="P678" s="18" t="inlineStr">
        <is>
          <t>Silty Clay Loam</t>
        </is>
      </c>
      <c r="Q678" s="18" t="inlineStr">
        <is>
          <t>Flat / Lowland</t>
        </is>
      </c>
      <c r="R678" s="19" t="n">
        <v>30</v>
      </c>
      <c r="S678" s="18" t="inlineStr">
        <is>
          <t>Aloragat River</t>
        </is>
      </c>
      <c r="T678" s="20" t="n">
        <v>484.68</v>
      </c>
      <c r="U678" s="20" t="n"/>
      <c r="V678" s="20" t="n"/>
      <c r="W678" s="20" t="n">
        <v>46.69</v>
      </c>
      <c r="X678" s="20" t="n"/>
      <c r="Y678" s="20" t="n"/>
      <c r="Z678" s="21" t="n"/>
      <c r="AA678" s="22" t="inlineStr">
        <is>
          <t>Direct Seeding (Furrow Method on Raised Beds)</t>
        </is>
      </c>
      <c r="AB678" s="22" t="inlineStr">
        <is>
          <t>Deep Tillage (25 cm): 1–2 plowings; form raised beds 20–25 cm high to prevent waterlogging</t>
        </is>
      </c>
      <c r="AC678" s="22" t="inlineStr">
        <is>
          <t>Furrow irrigation only (not flood); ensure bed drainage; drain excess after rain</t>
        </is>
      </c>
    </row>
    <row r="679" ht="21.75" customHeight="1" s="101">
      <c r="A679" s="23" t="inlineStr">
        <is>
          <t>Corn</t>
        </is>
      </c>
      <c r="B679" s="23" t="inlineStr">
        <is>
          <t>Vacante</t>
        </is>
      </c>
      <c r="C679" s="23" t="inlineStr">
        <is>
          <t>March</t>
        </is>
      </c>
      <c r="D679" s="23" t="inlineStr">
        <is>
          <t>2021</t>
        </is>
      </c>
      <c r="E679" s="23" t="inlineStr">
        <is>
          <t>DS 2020-2021</t>
        </is>
      </c>
      <c r="F679" s="23" t="inlineStr">
        <is>
          <t>Harvest</t>
        </is>
      </c>
      <c r="G679" s="7" t="n">
        <v>2.28</v>
      </c>
      <c r="H679" s="8" t="n">
        <v>26.34</v>
      </c>
      <c r="I679" s="8" t="n">
        <v>18.92</v>
      </c>
      <c r="J679" s="8" t="n">
        <v>34.3</v>
      </c>
      <c r="K679" s="8" t="n">
        <v>78.14</v>
      </c>
      <c r="L679" s="8" t="n">
        <v>98.45999999999999</v>
      </c>
      <c r="M679" s="8" t="n">
        <v>21.32</v>
      </c>
      <c r="N679" s="23" t="inlineStr">
        <is>
          <t>Type I – Tropical Monsoon (PAGASA)</t>
        </is>
      </c>
      <c r="O679" s="23" t="inlineStr">
        <is>
          <t>Dry (Hot)</t>
        </is>
      </c>
      <c r="P679" s="23" t="inlineStr">
        <is>
          <t>Silty Clay Loam</t>
        </is>
      </c>
      <c r="Q679" s="23" t="inlineStr">
        <is>
          <t>Flat / Lowland</t>
        </is>
      </c>
      <c r="R679" s="24" t="n">
        <v>30</v>
      </c>
      <c r="S679" s="23" t="inlineStr">
        <is>
          <t>Aloragat River</t>
        </is>
      </c>
      <c r="T679" s="25" t="n">
        <v>484.68</v>
      </c>
      <c r="U679" s="25" t="n"/>
      <c r="V679" s="25" t="n"/>
      <c r="W679" s="25" t="n"/>
      <c r="X679" s="25" t="n">
        <v>46.69</v>
      </c>
      <c r="Y679" s="25" t="n">
        <v>383.22</v>
      </c>
      <c r="Z679" s="26" t="n">
        <v>8.210000000000001</v>
      </c>
      <c r="AA679" s="17" t="inlineStr">
        <is>
          <t>Direct Seeding (Furrow Method on Raised Beds)</t>
        </is>
      </c>
      <c r="AB679" s="17" t="inlineStr">
        <is>
          <t>Deep Tillage (25 cm): 1–2 plowings; form raised beds 20–25 cm high to prevent waterlogging</t>
        </is>
      </c>
      <c r="AC679" s="17" t="inlineStr">
        <is>
          <t>Furrow irrigation only (not flood); ensure bed drainage; drain excess after rain</t>
        </is>
      </c>
    </row>
    <row r="680" ht="21.75" customHeight="1" s="101">
      <c r="A680" s="18" t="inlineStr">
        <is>
          <t>Corn</t>
        </is>
      </c>
      <c r="B680" s="18" t="inlineStr">
        <is>
          <t>Sta. Catalina</t>
        </is>
      </c>
      <c r="C680" s="18" t="inlineStr">
        <is>
          <t>November</t>
        </is>
      </c>
      <c r="D680" s="18" t="inlineStr">
        <is>
          <t>2020</t>
        </is>
      </c>
      <c r="E680" s="18" t="inlineStr">
        <is>
          <t>DS 2020-2021</t>
        </is>
      </c>
      <c r="F680" s="18" t="inlineStr">
        <is>
          <t>Planting</t>
        </is>
      </c>
      <c r="G680" s="7" t="n">
        <v>8.73</v>
      </c>
      <c r="H680" s="8" t="n">
        <v>25.81</v>
      </c>
      <c r="I680" s="8" t="n">
        <v>19.74</v>
      </c>
      <c r="J680" s="8" t="n">
        <v>31.57</v>
      </c>
      <c r="K680" s="8" t="n">
        <v>84.84</v>
      </c>
      <c r="L680" s="8" t="n">
        <v>98.31999999999999</v>
      </c>
      <c r="M680" s="8" t="n">
        <v>15.39</v>
      </c>
      <c r="N680" s="18" t="inlineStr">
        <is>
          <t>Type I – Tropical Monsoon (PAGASA)</t>
        </is>
      </c>
      <c r="O680" s="18" t="inlineStr">
        <is>
          <t>Dry (Cool)</t>
        </is>
      </c>
      <c r="P680" s="18" t="inlineStr">
        <is>
          <t>Fine Sand / Sandy Loam</t>
        </is>
      </c>
      <c r="Q680" s="18" t="inlineStr">
        <is>
          <t>Moderately Sloping / Highland</t>
        </is>
      </c>
      <c r="R680" s="19" t="n">
        <v>90</v>
      </c>
      <c r="S680" s="18" t="inlineStr">
        <is>
          <t>—</t>
        </is>
      </c>
      <c r="T680" s="20" t="n">
        <v>709.8</v>
      </c>
      <c r="U680" s="20" t="n"/>
      <c r="V680" s="20" t="n"/>
      <c r="W680" s="20" t="n">
        <v>79.44</v>
      </c>
      <c r="X680" s="20" t="n"/>
      <c r="Y680" s="20" t="n"/>
      <c r="Z680" s="21" t="n"/>
      <c r="AA680" s="22" t="inlineStr">
        <is>
          <t>Direct Seeding (Hills or Furrow Method)</t>
        </is>
      </c>
      <c r="AB680" s="22" t="inlineStr">
        <is>
          <t>Minimum Tillage; deep ripping to break hardpan; avoid over-disturbance</t>
        </is>
      </c>
      <c r="AC680" s="22" t="inlineStr">
        <is>
          <t>Furrow irrigation; frequent light watering; mulch to retain soil moisture</t>
        </is>
      </c>
    </row>
    <row r="681" ht="21.75" customHeight="1" s="101">
      <c r="A681" s="23" t="inlineStr">
        <is>
          <t>Corn</t>
        </is>
      </c>
      <c r="B681" s="23" t="inlineStr">
        <is>
          <t>Sta. Catalina</t>
        </is>
      </c>
      <c r="C681" s="23" t="inlineStr">
        <is>
          <t>March</t>
        </is>
      </c>
      <c r="D681" s="23" t="inlineStr">
        <is>
          <t>2021</t>
        </is>
      </c>
      <c r="E681" s="23" t="inlineStr">
        <is>
          <t>DS 2020-2021</t>
        </is>
      </c>
      <c r="F681" s="23" t="inlineStr">
        <is>
          <t>Harvest</t>
        </is>
      </c>
      <c r="G681" s="7" t="n">
        <v>2.28</v>
      </c>
      <c r="H681" s="8" t="n">
        <v>26.34</v>
      </c>
      <c r="I681" s="8" t="n">
        <v>18.92</v>
      </c>
      <c r="J681" s="8" t="n">
        <v>34.3</v>
      </c>
      <c r="K681" s="8" t="n">
        <v>78.14</v>
      </c>
      <c r="L681" s="8" t="n">
        <v>98.45999999999999</v>
      </c>
      <c r="M681" s="8" t="n">
        <v>21.32</v>
      </c>
      <c r="N681" s="23" t="inlineStr">
        <is>
          <t>Type I – Tropical Monsoon (PAGASA)</t>
        </is>
      </c>
      <c r="O681" s="23" t="inlineStr">
        <is>
          <t>Dry (Hot)</t>
        </is>
      </c>
      <c r="P681" s="23" t="inlineStr">
        <is>
          <t>Fine Sand / Sandy Loam</t>
        </is>
      </c>
      <c r="Q681" s="23" t="inlineStr">
        <is>
          <t>Moderately Sloping / Highland</t>
        </is>
      </c>
      <c r="R681" s="24" t="n">
        <v>90</v>
      </c>
      <c r="S681" s="23" t="inlineStr">
        <is>
          <t>—</t>
        </is>
      </c>
      <c r="T681" s="25" t="n">
        <v>709.8</v>
      </c>
      <c r="U681" s="25" t="n"/>
      <c r="V681" s="25" t="n"/>
      <c r="W681" s="25" t="n"/>
      <c r="X681" s="25" t="n">
        <v>79.44</v>
      </c>
      <c r="Y681" s="25" t="n">
        <v>652.05</v>
      </c>
      <c r="Z681" s="26" t="n">
        <v>8.210000000000001</v>
      </c>
      <c r="AA681" s="17" t="inlineStr">
        <is>
          <t>Direct Seeding (Hills or Furrow Method)</t>
        </is>
      </c>
      <c r="AB681" s="17" t="inlineStr">
        <is>
          <t>Minimum Tillage; deep ripping to break hardpan; avoid over-disturbance</t>
        </is>
      </c>
      <c r="AC681" s="17" t="inlineStr">
        <is>
          <t>Furrow irrigation; frequent light watering; mulch to retain soil moisture</t>
        </is>
      </c>
    </row>
    <row r="682" ht="21.75" customHeight="1" s="101">
      <c r="A682" s="18" t="inlineStr">
        <is>
          <t>Corn</t>
        </is>
      </c>
      <c r="B682" s="18" t="inlineStr">
        <is>
          <t>Moreno</t>
        </is>
      </c>
      <c r="C682" s="18" t="inlineStr">
        <is>
          <t>November</t>
        </is>
      </c>
      <c r="D682" s="18" t="inlineStr">
        <is>
          <t>2020</t>
        </is>
      </c>
      <c r="E682" s="18" t="inlineStr">
        <is>
          <t>DS 2020-2021</t>
        </is>
      </c>
      <c r="F682" s="18" t="inlineStr">
        <is>
          <t>Planting</t>
        </is>
      </c>
      <c r="G682" s="7" t="n">
        <v>8.73</v>
      </c>
      <c r="H682" s="8" t="n">
        <v>25.81</v>
      </c>
      <c r="I682" s="8" t="n">
        <v>19.74</v>
      </c>
      <c r="J682" s="8" t="n">
        <v>31.57</v>
      </c>
      <c r="K682" s="8" t="n">
        <v>84.84</v>
      </c>
      <c r="L682" s="8" t="n">
        <v>98.31999999999999</v>
      </c>
      <c r="M682" s="8" t="n">
        <v>15.39</v>
      </c>
      <c r="N682" s="18" t="inlineStr">
        <is>
          <t>Type I – Tropical Monsoon (PAGASA)</t>
        </is>
      </c>
      <c r="O682" s="18" t="inlineStr">
        <is>
          <t>Dry (Cool)</t>
        </is>
      </c>
      <c r="P682" s="18" t="inlineStr">
        <is>
          <t>Sandy Loam</t>
        </is>
      </c>
      <c r="Q682" s="18" t="inlineStr">
        <is>
          <t>Moderately Sloping / Highland</t>
        </is>
      </c>
      <c r="R682" s="19" t="n">
        <v>90</v>
      </c>
      <c r="S682" s="18" t="inlineStr">
        <is>
          <t>Alibeng River</t>
        </is>
      </c>
      <c r="T682" s="20" t="n">
        <v>641.76</v>
      </c>
      <c r="U682" s="20" t="n"/>
      <c r="V682" s="20" t="n"/>
      <c r="W682" s="20" t="n">
        <v>56.91</v>
      </c>
      <c r="X682" s="20" t="n"/>
      <c r="Y682" s="20" t="n"/>
      <c r="Z682" s="21" t="n"/>
      <c r="AA682" s="22" t="inlineStr">
        <is>
          <t>Direct Seeding (Hill Planting / Furrow Method)</t>
        </is>
      </c>
      <c r="AB682" s="22" t="inlineStr">
        <is>
          <t>Conventional Tillage: 1 deep plow (20–25 cm) + 1 harrowing; good tilth easily achieved</t>
        </is>
      </c>
      <c r="AC682" s="22" t="inlineStr">
        <is>
          <t>Furrow or sprinkler irrigation; AWD or weekly irrigation; good drainage natural</t>
        </is>
      </c>
    </row>
    <row r="683" ht="21.75" customHeight="1" s="101">
      <c r="A683" s="23" t="inlineStr">
        <is>
          <t>Corn</t>
        </is>
      </c>
      <c r="B683" s="23" t="inlineStr">
        <is>
          <t>Moreno</t>
        </is>
      </c>
      <c r="C683" s="23" t="inlineStr">
        <is>
          <t>March</t>
        </is>
      </c>
      <c r="D683" s="23" t="inlineStr">
        <is>
          <t>2021</t>
        </is>
      </c>
      <c r="E683" s="23" t="inlineStr">
        <is>
          <t>DS 2020-2021</t>
        </is>
      </c>
      <c r="F683" s="23" t="inlineStr">
        <is>
          <t>Harvest</t>
        </is>
      </c>
      <c r="G683" s="7" t="n">
        <v>2.28</v>
      </c>
      <c r="H683" s="8" t="n">
        <v>26.34</v>
      </c>
      <c r="I683" s="8" t="n">
        <v>18.92</v>
      </c>
      <c r="J683" s="8" t="n">
        <v>34.3</v>
      </c>
      <c r="K683" s="8" t="n">
        <v>78.14</v>
      </c>
      <c r="L683" s="8" t="n">
        <v>98.45999999999999</v>
      </c>
      <c r="M683" s="8" t="n">
        <v>21.32</v>
      </c>
      <c r="N683" s="23" t="inlineStr">
        <is>
          <t>Type I – Tropical Monsoon (PAGASA)</t>
        </is>
      </c>
      <c r="O683" s="23" t="inlineStr">
        <is>
          <t>Dry (Hot)</t>
        </is>
      </c>
      <c r="P683" s="23" t="inlineStr">
        <is>
          <t>Sandy Loam</t>
        </is>
      </c>
      <c r="Q683" s="23" t="inlineStr">
        <is>
          <t>Moderately Sloping / Highland</t>
        </is>
      </c>
      <c r="R683" s="24" t="n">
        <v>90</v>
      </c>
      <c r="S683" s="23" t="inlineStr">
        <is>
          <t>Alibeng River</t>
        </is>
      </c>
      <c r="T683" s="25" t="n">
        <v>641.76</v>
      </c>
      <c r="U683" s="25" t="n"/>
      <c r="V683" s="25" t="n"/>
      <c r="W683" s="25" t="n"/>
      <c r="X683" s="25" t="n">
        <v>56.91</v>
      </c>
      <c r="Y683" s="25" t="n">
        <v>467.12</v>
      </c>
      <c r="Z683" s="26" t="n">
        <v>8.210000000000001</v>
      </c>
      <c r="AA683" s="17" t="inlineStr">
        <is>
          <t>Direct Seeding (Hill Planting / Furrow Method)</t>
        </is>
      </c>
      <c r="AB683" s="17" t="inlineStr">
        <is>
          <t>Conventional Tillage: 1 deep plow (20–25 cm) + 1 harrowing; good tilth easily achieved</t>
        </is>
      </c>
      <c r="AC683" s="17" t="inlineStr">
        <is>
          <t>Furrow or sprinkler irrigation; AWD or weekly irrigation; good drainage natural</t>
        </is>
      </c>
    </row>
    <row r="684" ht="21.75" customHeight="1" s="101">
      <c r="A684" s="18" t="inlineStr">
        <is>
          <t>Corn</t>
        </is>
      </c>
      <c r="B684" s="18" t="inlineStr">
        <is>
          <t>Cili</t>
        </is>
      </c>
      <c r="C684" s="18" t="inlineStr">
        <is>
          <t>November</t>
        </is>
      </c>
      <c r="D684" s="18" t="inlineStr">
        <is>
          <t>2020</t>
        </is>
      </c>
      <c r="E684" s="18" t="inlineStr">
        <is>
          <t>DS 2020-2021</t>
        </is>
      </c>
      <c r="F684" s="18" t="inlineStr">
        <is>
          <t>Planting</t>
        </is>
      </c>
      <c r="G684" s="7" t="n">
        <v>8.73</v>
      </c>
      <c r="H684" s="8" t="n">
        <v>25.81</v>
      </c>
      <c r="I684" s="8" t="n">
        <v>19.74</v>
      </c>
      <c r="J684" s="8" t="n">
        <v>31.57</v>
      </c>
      <c r="K684" s="8" t="n">
        <v>84.84</v>
      </c>
      <c r="L684" s="8" t="n">
        <v>98.31999999999999</v>
      </c>
      <c r="M684" s="8" t="n">
        <v>15.39</v>
      </c>
      <c r="N684" s="18" t="inlineStr">
        <is>
          <t>Type I – Tropical Monsoon (PAGASA)</t>
        </is>
      </c>
      <c r="O684" s="18" t="inlineStr">
        <is>
          <t>Dry (Cool)</t>
        </is>
      </c>
      <c r="P684" s="18" t="inlineStr">
        <is>
          <t>Silty Clay Loam</t>
        </is>
      </c>
      <c r="Q684" s="18" t="inlineStr">
        <is>
          <t>Flat / Lowland</t>
        </is>
      </c>
      <c r="R684" s="19" t="n">
        <v>30</v>
      </c>
      <c r="S684" s="18" t="inlineStr">
        <is>
          <t>Alibeng River</t>
        </is>
      </c>
      <c r="T684" s="20" t="n">
        <v>264.6</v>
      </c>
      <c r="U684" s="20" t="n"/>
      <c r="V684" s="20" t="n"/>
      <c r="W684" s="20" t="n">
        <v>53.13</v>
      </c>
      <c r="X684" s="20" t="n"/>
      <c r="Y684" s="20" t="n"/>
      <c r="Z684" s="21" t="n"/>
      <c r="AA684" s="22" t="inlineStr">
        <is>
          <t>Direct Seeding (Furrow Method on Raised Beds)</t>
        </is>
      </c>
      <c r="AB684" s="22" t="inlineStr">
        <is>
          <t>Deep Tillage (25 cm): 1–2 plowings; form raised beds 20–25 cm high to prevent waterlogging</t>
        </is>
      </c>
      <c r="AC684" s="22" t="inlineStr">
        <is>
          <t>Furrow irrigation only (not flood); ensure bed drainage; drain excess after rain</t>
        </is>
      </c>
    </row>
    <row r="685" ht="21.75" customHeight="1" s="101">
      <c r="A685" s="23" t="inlineStr">
        <is>
          <t>Corn</t>
        </is>
      </c>
      <c r="B685" s="23" t="inlineStr">
        <is>
          <t>Cili</t>
        </is>
      </c>
      <c r="C685" s="23" t="inlineStr">
        <is>
          <t>March</t>
        </is>
      </c>
      <c r="D685" s="23" t="inlineStr">
        <is>
          <t>2021</t>
        </is>
      </c>
      <c r="E685" s="23" t="inlineStr">
        <is>
          <t>DS 2020-2021</t>
        </is>
      </c>
      <c r="F685" s="23" t="inlineStr">
        <is>
          <t>Harvest</t>
        </is>
      </c>
      <c r="G685" s="7" t="n">
        <v>2.28</v>
      </c>
      <c r="H685" s="8" t="n">
        <v>26.34</v>
      </c>
      <c r="I685" s="8" t="n">
        <v>18.92</v>
      </c>
      <c r="J685" s="8" t="n">
        <v>34.3</v>
      </c>
      <c r="K685" s="8" t="n">
        <v>78.14</v>
      </c>
      <c r="L685" s="8" t="n">
        <v>98.45999999999999</v>
      </c>
      <c r="M685" s="8" t="n">
        <v>21.32</v>
      </c>
      <c r="N685" s="23" t="inlineStr">
        <is>
          <t>Type I – Tropical Monsoon (PAGASA)</t>
        </is>
      </c>
      <c r="O685" s="23" t="inlineStr">
        <is>
          <t>Dry (Hot)</t>
        </is>
      </c>
      <c r="P685" s="23" t="inlineStr">
        <is>
          <t>Silty Clay Loam</t>
        </is>
      </c>
      <c r="Q685" s="23" t="inlineStr">
        <is>
          <t>Flat / Lowland</t>
        </is>
      </c>
      <c r="R685" s="24" t="n">
        <v>30</v>
      </c>
      <c r="S685" s="23" t="inlineStr">
        <is>
          <t>Alibeng River</t>
        </is>
      </c>
      <c r="T685" s="25" t="n">
        <v>264.6</v>
      </c>
      <c r="U685" s="25" t="n"/>
      <c r="V685" s="25" t="n"/>
      <c r="W685" s="25" t="n"/>
      <c r="X685" s="25" t="n">
        <v>53.13</v>
      </c>
      <c r="Y685" s="25" t="n">
        <v>436.13</v>
      </c>
      <c r="Z685" s="26" t="n">
        <v>8.210000000000001</v>
      </c>
      <c r="AA685" s="17" t="inlineStr">
        <is>
          <t>Direct Seeding (Furrow Method on Raised Beds)</t>
        </is>
      </c>
      <c r="AB685" s="17" t="inlineStr">
        <is>
          <t>Deep Tillage (25 cm): 1–2 plowings; form raised beds 20–25 cm high to prevent waterlogging</t>
        </is>
      </c>
      <c r="AC685" s="17" t="inlineStr">
        <is>
          <t>Furrow irrigation only (not flood); ensure bed drainage; drain excess after rain</t>
        </is>
      </c>
    </row>
    <row r="686" ht="21.75" customHeight="1" s="101">
      <c r="A686" s="18" t="inlineStr">
        <is>
          <t>Corn</t>
        </is>
      </c>
      <c r="B686" s="18" t="inlineStr">
        <is>
          <t>Linmansangan</t>
        </is>
      </c>
      <c r="C686" s="18" t="inlineStr">
        <is>
          <t>November</t>
        </is>
      </c>
      <c r="D686" s="18" t="inlineStr">
        <is>
          <t>2020</t>
        </is>
      </c>
      <c r="E686" s="18" t="inlineStr">
        <is>
          <t>DS 2020-2021</t>
        </is>
      </c>
      <c r="F686" s="18" t="inlineStr">
        <is>
          <t>Planting</t>
        </is>
      </c>
      <c r="G686" s="7" t="n">
        <v>8.73</v>
      </c>
      <c r="H686" s="8" t="n">
        <v>25.81</v>
      </c>
      <c r="I686" s="8" t="n">
        <v>19.74</v>
      </c>
      <c r="J686" s="8" t="n">
        <v>31.57</v>
      </c>
      <c r="K686" s="8" t="n">
        <v>84.84</v>
      </c>
      <c r="L686" s="8" t="n">
        <v>98.31999999999999</v>
      </c>
      <c r="M686" s="8" t="n">
        <v>15.39</v>
      </c>
      <c r="N686" s="18" t="inlineStr">
        <is>
          <t>Type I – Tropical Monsoon (PAGASA)</t>
        </is>
      </c>
      <c r="O686" s="18" t="inlineStr">
        <is>
          <t>Dry (Cool)</t>
        </is>
      </c>
      <c r="P686" s="18" t="inlineStr">
        <is>
          <t>Silty Clay Loam</t>
        </is>
      </c>
      <c r="Q686" s="18" t="inlineStr">
        <is>
          <t>Flat / Lowland</t>
        </is>
      </c>
      <c r="R686" s="19" t="n">
        <v>30</v>
      </c>
      <c r="S686" s="18" t="inlineStr">
        <is>
          <t>—</t>
        </is>
      </c>
      <c r="T686" s="20" t="n">
        <v>492.24</v>
      </c>
      <c r="U686" s="20" t="n"/>
      <c r="V686" s="20" t="n"/>
      <c r="W686" s="20" t="n">
        <v>79.8</v>
      </c>
      <c r="X686" s="20" t="n"/>
      <c r="Y686" s="20" t="n"/>
      <c r="Z686" s="21" t="n"/>
      <c r="AA686" s="22" t="inlineStr">
        <is>
          <t>Direct Seeding (Furrow Method on Raised Beds)</t>
        </is>
      </c>
      <c r="AB686" s="22" t="inlineStr">
        <is>
          <t>Deep Tillage (25 cm): 1–2 plowings; form raised beds 20–25 cm high to prevent waterlogging</t>
        </is>
      </c>
      <c r="AC686" s="22" t="inlineStr">
        <is>
          <t>Furrow irrigation only (not flood); ensure bed drainage; drain excess after rain</t>
        </is>
      </c>
    </row>
    <row r="687" ht="21.75" customHeight="1" s="101">
      <c r="A687" s="23" t="inlineStr">
        <is>
          <t>Corn</t>
        </is>
      </c>
      <c r="B687" s="23" t="inlineStr">
        <is>
          <t>Linmansangan</t>
        </is>
      </c>
      <c r="C687" s="23" t="inlineStr">
        <is>
          <t>March</t>
        </is>
      </c>
      <c r="D687" s="23" t="inlineStr">
        <is>
          <t>2021</t>
        </is>
      </c>
      <c r="E687" s="23" t="inlineStr">
        <is>
          <t>DS 2020-2021</t>
        </is>
      </c>
      <c r="F687" s="23" t="inlineStr">
        <is>
          <t>Harvest</t>
        </is>
      </c>
      <c r="G687" s="7" t="n">
        <v>2.28</v>
      </c>
      <c r="H687" s="8" t="n">
        <v>26.34</v>
      </c>
      <c r="I687" s="8" t="n">
        <v>18.92</v>
      </c>
      <c r="J687" s="8" t="n">
        <v>34.3</v>
      </c>
      <c r="K687" s="8" t="n">
        <v>78.14</v>
      </c>
      <c r="L687" s="8" t="n">
        <v>98.45999999999999</v>
      </c>
      <c r="M687" s="8" t="n">
        <v>21.32</v>
      </c>
      <c r="N687" s="23" t="inlineStr">
        <is>
          <t>Type I – Tropical Monsoon (PAGASA)</t>
        </is>
      </c>
      <c r="O687" s="23" t="inlineStr">
        <is>
          <t>Dry (Hot)</t>
        </is>
      </c>
      <c r="P687" s="23" t="inlineStr">
        <is>
          <t>Silty Clay Loam</t>
        </is>
      </c>
      <c r="Q687" s="23" t="inlineStr">
        <is>
          <t>Flat / Lowland</t>
        </is>
      </c>
      <c r="R687" s="24" t="n">
        <v>30</v>
      </c>
      <c r="S687" s="23" t="inlineStr">
        <is>
          <t>—</t>
        </is>
      </c>
      <c r="T687" s="25" t="n">
        <v>492.24</v>
      </c>
      <c r="U687" s="25" t="n"/>
      <c r="V687" s="25" t="n"/>
      <c r="W687" s="25" t="n"/>
      <c r="X687" s="25" t="n">
        <v>79.8</v>
      </c>
      <c r="Y687" s="25" t="n">
        <v>655.03</v>
      </c>
      <c r="Z687" s="26" t="n">
        <v>8.210000000000001</v>
      </c>
      <c r="AA687" s="17" t="inlineStr">
        <is>
          <t>Direct Seeding (Furrow Method on Raised Beds)</t>
        </is>
      </c>
      <c r="AB687" s="17" t="inlineStr">
        <is>
          <t>Deep Tillage (25 cm): 1–2 plowings; form raised beds 20–25 cm high to prevent waterlogging</t>
        </is>
      </c>
      <c r="AC687" s="17" t="inlineStr">
        <is>
          <t>Furrow irrigation only (not flood); ensure bed drainage; drain excess after rain</t>
        </is>
      </c>
    </row>
    <row r="688" ht="21.75" customHeight="1" s="101">
      <c r="A688" s="18" t="inlineStr">
        <is>
          <t>Corn</t>
        </is>
      </c>
      <c r="B688" s="18" t="inlineStr">
        <is>
          <t>Sumabnit</t>
        </is>
      </c>
      <c r="C688" s="18" t="inlineStr">
        <is>
          <t>November</t>
        </is>
      </c>
      <c r="D688" s="18" t="inlineStr">
        <is>
          <t>2020</t>
        </is>
      </c>
      <c r="E688" s="18" t="inlineStr">
        <is>
          <t>DS 2020-2021</t>
        </is>
      </c>
      <c r="F688" s="18" t="inlineStr">
        <is>
          <t>Planting</t>
        </is>
      </c>
      <c r="G688" s="7" t="n">
        <v>8.73</v>
      </c>
      <c r="H688" s="8" t="n">
        <v>25.81</v>
      </c>
      <c r="I688" s="8" t="n">
        <v>19.74</v>
      </c>
      <c r="J688" s="8" t="n">
        <v>31.57</v>
      </c>
      <c r="K688" s="8" t="n">
        <v>84.84</v>
      </c>
      <c r="L688" s="8" t="n">
        <v>98.31999999999999</v>
      </c>
      <c r="M688" s="8" t="n">
        <v>15.39</v>
      </c>
      <c r="N688" s="18" t="inlineStr">
        <is>
          <t>Type I – Tropical Monsoon (PAGASA)</t>
        </is>
      </c>
      <c r="O688" s="18" t="inlineStr">
        <is>
          <t>Dry (Cool)</t>
        </is>
      </c>
      <c r="P688" s="18" t="inlineStr">
        <is>
          <t>Silty Clay Loam / Fine Sandy Loam</t>
        </is>
      </c>
      <c r="Q688" s="18" t="inlineStr">
        <is>
          <t>Flat / Lowland</t>
        </is>
      </c>
      <c r="R688" s="19" t="n">
        <v>30</v>
      </c>
      <c r="S688" s="18" t="inlineStr">
        <is>
          <t>Tagamusing River</t>
        </is>
      </c>
      <c r="T688" s="20" t="n">
        <v>406.56</v>
      </c>
      <c r="U688" s="20" t="n"/>
      <c r="V688" s="20" t="n"/>
      <c r="W688" s="20" t="n">
        <v>71.84999999999999</v>
      </c>
      <c r="X688" s="20" t="n"/>
      <c r="Y688" s="20" t="n"/>
      <c r="Z688" s="21" t="n"/>
      <c r="AA688" s="22" t="inlineStr">
        <is>
          <t>Direct Seeding (Hills or Furrow Method)</t>
        </is>
      </c>
      <c r="AB688" s="22" t="inlineStr">
        <is>
          <t>Minimum Tillage; deep ripping to break hardpan; avoid over-disturbance</t>
        </is>
      </c>
      <c r="AC688" s="22" t="inlineStr">
        <is>
          <t>Furrow irrigation; frequent light watering; mulch to retain soil moisture</t>
        </is>
      </c>
    </row>
    <row r="689" ht="21.75" customHeight="1" s="101">
      <c r="A689" s="23" t="inlineStr">
        <is>
          <t>Corn</t>
        </is>
      </c>
      <c r="B689" s="23" t="inlineStr">
        <is>
          <t>Sumabnit</t>
        </is>
      </c>
      <c r="C689" s="23" t="inlineStr">
        <is>
          <t>March</t>
        </is>
      </c>
      <c r="D689" s="23" t="inlineStr">
        <is>
          <t>2021</t>
        </is>
      </c>
      <c r="E689" s="23" t="inlineStr">
        <is>
          <t>DS 2020-2021</t>
        </is>
      </c>
      <c r="F689" s="23" t="inlineStr">
        <is>
          <t>Harvest</t>
        </is>
      </c>
      <c r="G689" s="7" t="n">
        <v>2.28</v>
      </c>
      <c r="H689" s="8" t="n">
        <v>26.34</v>
      </c>
      <c r="I689" s="8" t="n">
        <v>18.92</v>
      </c>
      <c r="J689" s="8" t="n">
        <v>34.3</v>
      </c>
      <c r="K689" s="8" t="n">
        <v>78.14</v>
      </c>
      <c r="L689" s="8" t="n">
        <v>98.45999999999999</v>
      </c>
      <c r="M689" s="8" t="n">
        <v>21.32</v>
      </c>
      <c r="N689" s="23" t="inlineStr">
        <is>
          <t>Type I – Tropical Monsoon (PAGASA)</t>
        </is>
      </c>
      <c r="O689" s="23" t="inlineStr">
        <is>
          <t>Dry (Hot)</t>
        </is>
      </c>
      <c r="P689" s="23" t="inlineStr">
        <is>
          <t>Silty Clay Loam / Fine Sandy Loam</t>
        </is>
      </c>
      <c r="Q689" s="23" t="inlineStr">
        <is>
          <t>Flat / Lowland</t>
        </is>
      </c>
      <c r="R689" s="24" t="n">
        <v>30</v>
      </c>
      <c r="S689" s="23" t="inlineStr">
        <is>
          <t>Tagamusing River</t>
        </is>
      </c>
      <c r="T689" s="25" t="n">
        <v>406.56</v>
      </c>
      <c r="U689" s="25" t="n"/>
      <c r="V689" s="25" t="n"/>
      <c r="W689" s="25" t="n"/>
      <c r="X689" s="25" t="n">
        <v>71.84999999999999</v>
      </c>
      <c r="Y689" s="25" t="n">
        <v>589.8099999999999</v>
      </c>
      <c r="Z689" s="26" t="n">
        <v>8.210000000000001</v>
      </c>
      <c r="AA689" s="17" t="inlineStr">
        <is>
          <t>Direct Seeding (Hills or Furrow Method)</t>
        </is>
      </c>
      <c r="AB689" s="17" t="inlineStr">
        <is>
          <t>Minimum Tillage; deep ripping to break hardpan; avoid over-disturbance</t>
        </is>
      </c>
      <c r="AC689" s="17" t="inlineStr">
        <is>
          <t>Furrow irrigation; frequent light watering; mulch to retain soil moisture</t>
        </is>
      </c>
    </row>
    <row r="690" ht="21.75" customHeight="1" s="101">
      <c r="A690" s="18" t="inlineStr">
        <is>
          <t>Corn</t>
        </is>
      </c>
      <c r="B690" s="18" t="inlineStr">
        <is>
          <t>Capas</t>
        </is>
      </c>
      <c r="C690" s="18" t="inlineStr">
        <is>
          <t>November</t>
        </is>
      </c>
      <c r="D690" s="18" t="inlineStr">
        <is>
          <t>2020</t>
        </is>
      </c>
      <c r="E690" s="18" t="inlineStr">
        <is>
          <t>DS 2020-2021</t>
        </is>
      </c>
      <c r="F690" s="18" t="inlineStr">
        <is>
          <t>Planting</t>
        </is>
      </c>
      <c r="G690" s="7" t="n">
        <v>8.73</v>
      </c>
      <c r="H690" s="8" t="n">
        <v>25.81</v>
      </c>
      <c r="I690" s="8" t="n">
        <v>19.74</v>
      </c>
      <c r="J690" s="8" t="n">
        <v>31.57</v>
      </c>
      <c r="K690" s="8" t="n">
        <v>84.84</v>
      </c>
      <c r="L690" s="8" t="n">
        <v>98.31999999999999</v>
      </c>
      <c r="M690" s="8" t="n">
        <v>15.39</v>
      </c>
      <c r="N690" s="18" t="inlineStr">
        <is>
          <t>Type I – Tropical Monsoon (PAGASA)</t>
        </is>
      </c>
      <c r="O690" s="18" t="inlineStr">
        <is>
          <t>Dry (Cool)</t>
        </is>
      </c>
      <c r="P690" s="18" t="inlineStr">
        <is>
          <t>Sandy Loam</t>
        </is>
      </c>
      <c r="Q690" s="18" t="inlineStr">
        <is>
          <t>Flat / Lowland</t>
        </is>
      </c>
      <c r="R690" s="19" t="n">
        <v>30</v>
      </c>
      <c r="S690" s="18" t="inlineStr">
        <is>
          <t>—</t>
        </is>
      </c>
      <c r="T690" s="20" t="n">
        <v>377.16</v>
      </c>
      <c r="U690" s="20" t="n"/>
      <c r="V690" s="20" t="n"/>
      <c r="W690" s="20" t="n">
        <v>101.05</v>
      </c>
      <c r="X690" s="20" t="n"/>
      <c r="Y690" s="20" t="n"/>
      <c r="Z690" s="21" t="n"/>
      <c r="AA690" s="22" t="inlineStr">
        <is>
          <t>Direct Seeding (Hill Planting / Furrow Method)</t>
        </is>
      </c>
      <c r="AB690" s="22" t="inlineStr">
        <is>
          <t>Conventional Tillage: 1 deep plow (20–25 cm) + 1 harrowing; good tilth easily achieved</t>
        </is>
      </c>
      <c r="AC690" s="22" t="inlineStr">
        <is>
          <t>Furrow or sprinkler irrigation; AWD or weekly irrigation; good drainage natural</t>
        </is>
      </c>
    </row>
    <row r="691" ht="21.75" customHeight="1" s="101">
      <c r="A691" s="23" t="inlineStr">
        <is>
          <t>Corn</t>
        </is>
      </c>
      <c r="B691" s="23" t="inlineStr">
        <is>
          <t>Capas</t>
        </is>
      </c>
      <c r="C691" s="23" t="inlineStr">
        <is>
          <t>March</t>
        </is>
      </c>
      <c r="D691" s="23" t="inlineStr">
        <is>
          <t>2021</t>
        </is>
      </c>
      <c r="E691" s="23" t="inlineStr">
        <is>
          <t>DS 2020-2021</t>
        </is>
      </c>
      <c r="F691" s="23" t="inlineStr">
        <is>
          <t>Harvest</t>
        </is>
      </c>
      <c r="G691" s="7" t="n">
        <v>2.28</v>
      </c>
      <c r="H691" s="8" t="n">
        <v>26.34</v>
      </c>
      <c r="I691" s="8" t="n">
        <v>18.92</v>
      </c>
      <c r="J691" s="8" t="n">
        <v>34.3</v>
      </c>
      <c r="K691" s="8" t="n">
        <v>78.14</v>
      </c>
      <c r="L691" s="8" t="n">
        <v>98.45999999999999</v>
      </c>
      <c r="M691" s="8" t="n">
        <v>21.32</v>
      </c>
      <c r="N691" s="23" t="inlineStr">
        <is>
          <t>Type I – Tropical Monsoon (PAGASA)</t>
        </is>
      </c>
      <c r="O691" s="23" t="inlineStr">
        <is>
          <t>Dry (Hot)</t>
        </is>
      </c>
      <c r="P691" s="23" t="inlineStr">
        <is>
          <t>Sandy Loam</t>
        </is>
      </c>
      <c r="Q691" s="23" t="inlineStr">
        <is>
          <t>Flat / Lowland</t>
        </is>
      </c>
      <c r="R691" s="24" t="n">
        <v>30</v>
      </c>
      <c r="S691" s="23" t="inlineStr">
        <is>
          <t>—</t>
        </is>
      </c>
      <c r="T691" s="25" t="n">
        <v>377.16</v>
      </c>
      <c r="U691" s="25" t="n"/>
      <c r="V691" s="25" t="n"/>
      <c r="W691" s="25" t="n"/>
      <c r="X691" s="25" t="n">
        <v>101.05</v>
      </c>
      <c r="Y691" s="25" t="n">
        <v>829.49</v>
      </c>
      <c r="Z691" s="26" t="n">
        <v>8.210000000000001</v>
      </c>
      <c r="AA691" s="17" t="inlineStr">
        <is>
          <t>Direct Seeding (Hill Planting / Furrow Method)</t>
        </is>
      </c>
      <c r="AB691" s="17" t="inlineStr">
        <is>
          <t>Conventional Tillage: 1 deep plow (20–25 cm) + 1 harrowing; good tilth easily achieved</t>
        </is>
      </c>
      <c r="AC691" s="17" t="inlineStr">
        <is>
          <t>Furrow or sprinkler irrigation; AWD or weekly irrigation; good drainage natural</t>
        </is>
      </c>
    </row>
    <row r="692" ht="21.75" customHeight="1" s="101">
      <c r="A692" s="18" t="inlineStr">
        <is>
          <t>Corn</t>
        </is>
      </c>
      <c r="B692" s="18" t="inlineStr">
        <is>
          <t>Mangkasuy</t>
        </is>
      </c>
      <c r="C692" s="18" t="inlineStr">
        <is>
          <t>November</t>
        </is>
      </c>
      <c r="D692" s="18" t="inlineStr">
        <is>
          <t>2020</t>
        </is>
      </c>
      <c r="E692" s="18" t="inlineStr">
        <is>
          <t>DS 2020-2021</t>
        </is>
      </c>
      <c r="F692" s="18" t="inlineStr">
        <is>
          <t>Planting</t>
        </is>
      </c>
      <c r="G692" s="7" t="n">
        <v>8.73</v>
      </c>
      <c r="H692" s="8" t="n">
        <v>25.81</v>
      </c>
      <c r="I692" s="8" t="n">
        <v>19.74</v>
      </c>
      <c r="J692" s="8" t="n">
        <v>31.57</v>
      </c>
      <c r="K692" s="8" t="n">
        <v>84.84</v>
      </c>
      <c r="L692" s="8" t="n">
        <v>98.31999999999999</v>
      </c>
      <c r="M692" s="8" t="n">
        <v>15.39</v>
      </c>
      <c r="N692" s="18" t="inlineStr">
        <is>
          <t>Type I – Tropical Monsoon (PAGASA)</t>
        </is>
      </c>
      <c r="O692" s="18" t="inlineStr">
        <is>
          <t>Dry (Cool)</t>
        </is>
      </c>
      <c r="P692" s="18" t="inlineStr">
        <is>
          <t>Sandy Loam</t>
        </is>
      </c>
      <c r="Q692" s="18" t="inlineStr">
        <is>
          <t>Flat / Lowland</t>
        </is>
      </c>
      <c r="R692" s="19" t="n">
        <v>30</v>
      </c>
      <c r="S692" s="18" t="inlineStr">
        <is>
          <t>Tagamusing River</t>
        </is>
      </c>
      <c r="T692" s="20" t="n">
        <v>802.2</v>
      </c>
      <c r="U692" s="20" t="n"/>
      <c r="V692" s="20" t="n"/>
      <c r="W692" s="20" t="n">
        <v>90.86</v>
      </c>
      <c r="X692" s="20" t="n"/>
      <c r="Y692" s="20" t="n"/>
      <c r="Z692" s="21" t="n"/>
      <c r="AA692" s="22" t="inlineStr">
        <is>
          <t>Direct Seeding (Hill Planting / Furrow Method)</t>
        </is>
      </c>
      <c r="AB692" s="22" t="inlineStr">
        <is>
          <t>Conventional Tillage: 1 deep plow (20–25 cm) + 1 harrowing; good tilth easily achieved</t>
        </is>
      </c>
      <c r="AC692" s="22" t="inlineStr">
        <is>
          <t>Furrow or sprinkler irrigation; AWD or weekly irrigation; good drainage natural</t>
        </is>
      </c>
    </row>
    <row r="693" ht="21.75" customHeight="1" s="101">
      <c r="A693" s="23" t="inlineStr">
        <is>
          <t>Corn</t>
        </is>
      </c>
      <c r="B693" s="23" t="inlineStr">
        <is>
          <t>Mangkasuy</t>
        </is>
      </c>
      <c r="C693" s="23" t="inlineStr">
        <is>
          <t>March</t>
        </is>
      </c>
      <c r="D693" s="23" t="inlineStr">
        <is>
          <t>2021</t>
        </is>
      </c>
      <c r="E693" s="23" t="inlineStr">
        <is>
          <t>DS 2020-2021</t>
        </is>
      </c>
      <c r="F693" s="23" t="inlineStr">
        <is>
          <t>Harvest</t>
        </is>
      </c>
      <c r="G693" s="7" t="n">
        <v>2.28</v>
      </c>
      <c r="H693" s="8" t="n">
        <v>26.34</v>
      </c>
      <c r="I693" s="8" t="n">
        <v>18.92</v>
      </c>
      <c r="J693" s="8" t="n">
        <v>34.3</v>
      </c>
      <c r="K693" s="8" t="n">
        <v>78.14</v>
      </c>
      <c r="L693" s="8" t="n">
        <v>98.45999999999999</v>
      </c>
      <c r="M693" s="8" t="n">
        <v>21.32</v>
      </c>
      <c r="N693" s="23" t="inlineStr">
        <is>
          <t>Type I – Tropical Monsoon (PAGASA)</t>
        </is>
      </c>
      <c r="O693" s="23" t="inlineStr">
        <is>
          <t>Dry (Hot)</t>
        </is>
      </c>
      <c r="P693" s="23" t="inlineStr">
        <is>
          <t>Sandy Loam</t>
        </is>
      </c>
      <c r="Q693" s="23" t="inlineStr">
        <is>
          <t>Flat / Lowland</t>
        </is>
      </c>
      <c r="R693" s="24" t="n">
        <v>30</v>
      </c>
      <c r="S693" s="23" t="inlineStr">
        <is>
          <t>Tagamusing River</t>
        </is>
      </c>
      <c r="T693" s="25" t="n">
        <v>802.2</v>
      </c>
      <c r="U693" s="25" t="n"/>
      <c r="V693" s="25" t="n"/>
      <c r="W693" s="25" t="n"/>
      <c r="X693" s="25" t="n">
        <v>90.86</v>
      </c>
      <c r="Y693" s="25" t="n">
        <v>745.83</v>
      </c>
      <c r="Z693" s="26" t="n">
        <v>8.210000000000001</v>
      </c>
      <c r="AA693" s="17" t="inlineStr">
        <is>
          <t>Direct Seeding (Hill Planting / Furrow Method)</t>
        </is>
      </c>
      <c r="AB693" s="17" t="inlineStr">
        <is>
          <t>Conventional Tillage: 1 deep plow (20–25 cm) + 1 harrowing; good tilth easily achieved</t>
        </is>
      </c>
      <c r="AC693" s="17" t="inlineStr">
        <is>
          <t>Furrow or sprinkler irrigation; AWD or weekly irrigation; good drainage natural</t>
        </is>
      </c>
    </row>
    <row r="694" ht="21.75" customHeight="1" s="101">
      <c r="A694" s="18" t="inlineStr">
        <is>
          <t>Corn</t>
        </is>
      </c>
      <c r="B694" s="18" t="inlineStr">
        <is>
          <t>San Pablo</t>
        </is>
      </c>
      <c r="C694" s="18" t="inlineStr">
        <is>
          <t>November</t>
        </is>
      </c>
      <c r="D694" s="18" t="inlineStr">
        <is>
          <t>2020</t>
        </is>
      </c>
      <c r="E694" s="18" t="inlineStr">
        <is>
          <t>DS 2020-2021</t>
        </is>
      </c>
      <c r="F694" s="18" t="inlineStr">
        <is>
          <t>Planting</t>
        </is>
      </c>
      <c r="G694" s="7" t="n">
        <v>8.73</v>
      </c>
      <c r="H694" s="8" t="n">
        <v>25.81</v>
      </c>
      <c r="I694" s="8" t="n">
        <v>19.74</v>
      </c>
      <c r="J694" s="8" t="n">
        <v>31.57</v>
      </c>
      <c r="K694" s="8" t="n">
        <v>84.84</v>
      </c>
      <c r="L694" s="8" t="n">
        <v>98.31999999999999</v>
      </c>
      <c r="M694" s="8" t="n">
        <v>15.39</v>
      </c>
      <c r="N694" s="18" t="inlineStr">
        <is>
          <t>Type I – Tropical Monsoon (PAGASA)</t>
        </is>
      </c>
      <c r="O694" s="18" t="inlineStr">
        <is>
          <t>Dry (Cool)</t>
        </is>
      </c>
      <c r="P694" s="18" t="inlineStr">
        <is>
          <t>Sandy Loam</t>
        </is>
      </c>
      <c r="Q694" s="18" t="inlineStr">
        <is>
          <t>Flat / Lowland</t>
        </is>
      </c>
      <c r="R694" s="19" t="n">
        <v>30</v>
      </c>
      <c r="S694" s="18" t="inlineStr">
        <is>
          <t>San Pablo Creek</t>
        </is>
      </c>
      <c r="T694" s="20" t="n">
        <v>215.04</v>
      </c>
      <c r="U694" s="20" t="n"/>
      <c r="V694" s="20" t="n"/>
      <c r="W694" s="20" t="n">
        <v>52.35</v>
      </c>
      <c r="X694" s="20" t="n"/>
      <c r="Y694" s="20" t="n"/>
      <c r="Z694" s="21" t="n"/>
      <c r="AA694" s="22" t="inlineStr">
        <is>
          <t>Direct Seeding (Hill Planting / Furrow Method)</t>
        </is>
      </c>
      <c r="AB694" s="22" t="inlineStr">
        <is>
          <t>Conventional Tillage: 1 deep plow (20–25 cm) + 1 harrowing; good tilth easily achieved</t>
        </is>
      </c>
      <c r="AC694" s="22" t="inlineStr">
        <is>
          <t>Furrow or sprinkler irrigation; AWD or weekly irrigation; good drainage natural</t>
        </is>
      </c>
    </row>
    <row r="695" ht="21.75" customHeight="1" s="101">
      <c r="A695" s="23" t="inlineStr">
        <is>
          <t>Corn</t>
        </is>
      </c>
      <c r="B695" s="23" t="inlineStr">
        <is>
          <t>San Pablo</t>
        </is>
      </c>
      <c r="C695" s="23" t="inlineStr">
        <is>
          <t>March</t>
        </is>
      </c>
      <c r="D695" s="23" t="inlineStr">
        <is>
          <t>2021</t>
        </is>
      </c>
      <c r="E695" s="23" t="inlineStr">
        <is>
          <t>DS 2020-2021</t>
        </is>
      </c>
      <c r="F695" s="23" t="inlineStr">
        <is>
          <t>Harvest</t>
        </is>
      </c>
      <c r="G695" s="7" t="n">
        <v>2.28</v>
      </c>
      <c r="H695" s="8" t="n">
        <v>26.34</v>
      </c>
      <c r="I695" s="8" t="n">
        <v>18.92</v>
      </c>
      <c r="J695" s="8" t="n">
        <v>34.3</v>
      </c>
      <c r="K695" s="8" t="n">
        <v>78.14</v>
      </c>
      <c r="L695" s="8" t="n">
        <v>98.45999999999999</v>
      </c>
      <c r="M695" s="8" t="n">
        <v>21.32</v>
      </c>
      <c r="N695" s="23" t="inlineStr">
        <is>
          <t>Type I – Tropical Monsoon (PAGASA)</t>
        </is>
      </c>
      <c r="O695" s="23" t="inlineStr">
        <is>
          <t>Dry (Hot)</t>
        </is>
      </c>
      <c r="P695" s="23" t="inlineStr">
        <is>
          <t>Sandy Loam</t>
        </is>
      </c>
      <c r="Q695" s="23" t="inlineStr">
        <is>
          <t>Flat / Lowland</t>
        </is>
      </c>
      <c r="R695" s="24" t="n">
        <v>30</v>
      </c>
      <c r="S695" s="23" t="inlineStr">
        <is>
          <t>San Pablo Creek</t>
        </is>
      </c>
      <c r="T695" s="25" t="n">
        <v>215.04</v>
      </c>
      <c r="U695" s="25" t="n"/>
      <c r="V695" s="25" t="n"/>
      <c r="W695" s="25" t="n"/>
      <c r="X695" s="25" t="n">
        <v>52.35</v>
      </c>
      <c r="Y695" s="25" t="n">
        <v>429.72</v>
      </c>
      <c r="Z695" s="26" t="n">
        <v>8.210000000000001</v>
      </c>
      <c r="AA695" s="17" t="inlineStr">
        <is>
          <t>Direct Seeding (Hill Planting / Furrow Method)</t>
        </is>
      </c>
      <c r="AB695" s="17" t="inlineStr">
        <is>
          <t>Conventional Tillage: 1 deep plow (20–25 cm) + 1 harrowing; good tilth easily achieved</t>
        </is>
      </c>
      <c r="AC695" s="17" t="inlineStr">
        <is>
          <t>Furrow or sprinkler irrigation; AWD or weekly irrigation; good drainage natural</t>
        </is>
      </c>
    </row>
    <row r="696" ht="21.75" customHeight="1" s="101">
      <c r="A696" s="18" t="inlineStr">
        <is>
          <t>Corn</t>
        </is>
      </c>
      <c r="B696" s="18" t="inlineStr">
        <is>
          <t>Balangobong</t>
        </is>
      </c>
      <c r="C696" s="18" t="inlineStr">
        <is>
          <t>November</t>
        </is>
      </c>
      <c r="D696" s="18" t="inlineStr">
        <is>
          <t>2020</t>
        </is>
      </c>
      <c r="E696" s="18" t="inlineStr">
        <is>
          <t>DS 2020-2021</t>
        </is>
      </c>
      <c r="F696" s="18" t="inlineStr">
        <is>
          <t>Planting</t>
        </is>
      </c>
      <c r="G696" s="7" t="n">
        <v>8.73</v>
      </c>
      <c r="H696" s="8" t="n">
        <v>25.81</v>
      </c>
      <c r="I696" s="8" t="n">
        <v>19.74</v>
      </c>
      <c r="J696" s="8" t="n">
        <v>31.57</v>
      </c>
      <c r="K696" s="8" t="n">
        <v>84.84</v>
      </c>
      <c r="L696" s="8" t="n">
        <v>98.31999999999999</v>
      </c>
      <c r="M696" s="8" t="n">
        <v>15.39</v>
      </c>
      <c r="N696" s="18" t="inlineStr">
        <is>
          <t>Type I – Tropical Monsoon (PAGASA)</t>
        </is>
      </c>
      <c r="O696" s="18" t="inlineStr">
        <is>
          <t>Dry (Cool)</t>
        </is>
      </c>
      <c r="P696" s="18" t="inlineStr">
        <is>
          <t>Silty Clay Loam</t>
        </is>
      </c>
      <c r="Q696" s="18" t="inlineStr">
        <is>
          <t>Flat / Lowland</t>
        </is>
      </c>
      <c r="R696" s="19" t="n">
        <v>30</v>
      </c>
      <c r="S696" s="18" t="inlineStr">
        <is>
          <t>—</t>
        </is>
      </c>
      <c r="T696" s="20" t="n">
        <v>281.4</v>
      </c>
      <c r="U696" s="20" t="n"/>
      <c r="V696" s="20" t="n"/>
      <c r="W696" s="20" t="n">
        <v>52.38</v>
      </c>
      <c r="X696" s="20" t="n"/>
      <c r="Y696" s="20" t="n"/>
      <c r="Z696" s="21" t="n"/>
      <c r="AA696" s="22" t="inlineStr">
        <is>
          <t>Direct Seeding (Furrow Method on Raised Beds)</t>
        </is>
      </c>
      <c r="AB696" s="22" t="inlineStr">
        <is>
          <t>Deep Tillage (25 cm): 1–2 plowings; form raised beds 20–25 cm high to prevent waterlogging</t>
        </is>
      </c>
      <c r="AC696" s="22" t="inlineStr">
        <is>
          <t>Furrow irrigation only (not flood); ensure bed drainage; drain excess after rain</t>
        </is>
      </c>
    </row>
    <row r="697" ht="21.75" customHeight="1" s="101">
      <c r="A697" s="23" t="inlineStr">
        <is>
          <t>Corn</t>
        </is>
      </c>
      <c r="B697" s="23" t="inlineStr">
        <is>
          <t>Balangobong</t>
        </is>
      </c>
      <c r="C697" s="23" t="inlineStr">
        <is>
          <t>March</t>
        </is>
      </c>
      <c r="D697" s="23" t="inlineStr">
        <is>
          <t>2021</t>
        </is>
      </c>
      <c r="E697" s="23" t="inlineStr">
        <is>
          <t>DS 2020-2021</t>
        </is>
      </c>
      <c r="F697" s="23" t="inlineStr">
        <is>
          <t>Harvest</t>
        </is>
      </c>
      <c r="G697" s="7" t="n">
        <v>2.28</v>
      </c>
      <c r="H697" s="8" t="n">
        <v>26.34</v>
      </c>
      <c r="I697" s="8" t="n">
        <v>18.92</v>
      </c>
      <c r="J697" s="8" t="n">
        <v>34.3</v>
      </c>
      <c r="K697" s="8" t="n">
        <v>78.14</v>
      </c>
      <c r="L697" s="8" t="n">
        <v>98.45999999999999</v>
      </c>
      <c r="M697" s="8" t="n">
        <v>21.32</v>
      </c>
      <c r="N697" s="23" t="inlineStr">
        <is>
          <t>Type I – Tropical Monsoon (PAGASA)</t>
        </is>
      </c>
      <c r="O697" s="23" t="inlineStr">
        <is>
          <t>Dry (Hot)</t>
        </is>
      </c>
      <c r="P697" s="23" t="inlineStr">
        <is>
          <t>Silty Clay Loam</t>
        </is>
      </c>
      <c r="Q697" s="23" t="inlineStr">
        <is>
          <t>Flat / Lowland</t>
        </is>
      </c>
      <c r="R697" s="24" t="n">
        <v>30</v>
      </c>
      <c r="S697" s="23" t="inlineStr">
        <is>
          <t>—</t>
        </is>
      </c>
      <c r="T697" s="25" t="n">
        <v>281.4</v>
      </c>
      <c r="U697" s="25" t="n"/>
      <c r="V697" s="25" t="n"/>
      <c r="W697" s="25" t="n"/>
      <c r="X697" s="25" t="n">
        <v>52.38</v>
      </c>
      <c r="Y697" s="25" t="n">
        <v>429.95</v>
      </c>
      <c r="Z697" s="26" t="n">
        <v>8.210000000000001</v>
      </c>
      <c r="AA697" s="17" t="inlineStr">
        <is>
          <t>Direct Seeding (Furrow Method on Raised Beds)</t>
        </is>
      </c>
      <c r="AB697" s="17" t="inlineStr">
        <is>
          <t>Deep Tillage (25 cm): 1–2 plowings; form raised beds 20–25 cm high to prevent waterlogging</t>
        </is>
      </c>
      <c r="AC697" s="17" t="inlineStr">
        <is>
          <t>Furrow irrigation only (not flood); ensure bed drainage; drain excess after rain</t>
        </is>
      </c>
    </row>
    <row r="698" ht="21.75" customHeight="1" s="101">
      <c r="A698" s="18" t="inlineStr">
        <is>
          <t>Corn</t>
        </is>
      </c>
      <c r="B698" s="18" t="inlineStr">
        <is>
          <t>San Felipe Central</t>
        </is>
      </c>
      <c r="C698" s="18" t="inlineStr">
        <is>
          <t>November</t>
        </is>
      </c>
      <c r="D698" s="18" t="inlineStr">
        <is>
          <t>2020</t>
        </is>
      </c>
      <c r="E698" s="18" t="inlineStr">
        <is>
          <t>DS 2020-2021</t>
        </is>
      </c>
      <c r="F698" s="18" t="inlineStr">
        <is>
          <t>Planting</t>
        </is>
      </c>
      <c r="G698" s="7" t="n">
        <v>8.73</v>
      </c>
      <c r="H698" s="8" t="n">
        <v>25.81</v>
      </c>
      <c r="I698" s="8" t="n">
        <v>19.74</v>
      </c>
      <c r="J698" s="8" t="n">
        <v>31.57</v>
      </c>
      <c r="K698" s="8" t="n">
        <v>84.84</v>
      </c>
      <c r="L698" s="8" t="n">
        <v>98.31999999999999</v>
      </c>
      <c r="M698" s="8" t="n">
        <v>15.39</v>
      </c>
      <c r="N698" s="18" t="inlineStr">
        <is>
          <t>Type I – Tropical Monsoon (PAGASA)</t>
        </is>
      </c>
      <c r="O698" s="18" t="inlineStr">
        <is>
          <t>Dry (Cool)</t>
        </is>
      </c>
      <c r="P698" s="18" t="inlineStr">
        <is>
          <t>Sandy Loam</t>
        </is>
      </c>
      <c r="Q698" s="18" t="inlineStr">
        <is>
          <t>Flat / Lowland</t>
        </is>
      </c>
      <c r="R698" s="19" t="n">
        <v>30</v>
      </c>
      <c r="S698" s="18" t="inlineStr">
        <is>
          <t>—</t>
        </is>
      </c>
      <c r="T698" s="20" t="n">
        <v>452.76</v>
      </c>
      <c r="U698" s="20" t="n"/>
      <c r="V698" s="20" t="n"/>
      <c r="W698" s="20" t="n">
        <v>65.3</v>
      </c>
      <c r="X698" s="20" t="n"/>
      <c r="Y698" s="20" t="n"/>
      <c r="Z698" s="21" t="n"/>
      <c r="AA698" s="22" t="inlineStr">
        <is>
          <t>Direct Seeding (Hill Planting / Furrow Method)</t>
        </is>
      </c>
      <c r="AB698" s="22" t="inlineStr">
        <is>
          <t>Conventional Tillage: 1 deep plow (20–25 cm) + 1 harrowing; good tilth easily achieved</t>
        </is>
      </c>
      <c r="AC698" s="22" t="inlineStr">
        <is>
          <t>Furrow or sprinkler irrigation; AWD or weekly irrigation; good drainage natural</t>
        </is>
      </c>
    </row>
    <row r="699" ht="21.75" customHeight="1" s="101">
      <c r="A699" s="23" t="inlineStr">
        <is>
          <t>Corn</t>
        </is>
      </c>
      <c r="B699" s="23" t="inlineStr">
        <is>
          <t>San Felipe Central</t>
        </is>
      </c>
      <c r="C699" s="23" t="inlineStr">
        <is>
          <t>March</t>
        </is>
      </c>
      <c r="D699" s="23" t="inlineStr">
        <is>
          <t>2021</t>
        </is>
      </c>
      <c r="E699" s="23" t="inlineStr">
        <is>
          <t>DS 2020-2021</t>
        </is>
      </c>
      <c r="F699" s="23" t="inlineStr">
        <is>
          <t>Harvest</t>
        </is>
      </c>
      <c r="G699" s="7" t="n">
        <v>2.28</v>
      </c>
      <c r="H699" s="8" t="n">
        <v>26.34</v>
      </c>
      <c r="I699" s="8" t="n">
        <v>18.92</v>
      </c>
      <c r="J699" s="8" t="n">
        <v>34.3</v>
      </c>
      <c r="K699" s="8" t="n">
        <v>78.14</v>
      </c>
      <c r="L699" s="8" t="n">
        <v>98.45999999999999</v>
      </c>
      <c r="M699" s="8" t="n">
        <v>21.32</v>
      </c>
      <c r="N699" s="23" t="inlineStr">
        <is>
          <t>Type I – Tropical Monsoon (PAGASA)</t>
        </is>
      </c>
      <c r="O699" s="23" t="inlineStr">
        <is>
          <t>Dry (Hot)</t>
        </is>
      </c>
      <c r="P699" s="23" t="inlineStr">
        <is>
          <t>Sandy Loam</t>
        </is>
      </c>
      <c r="Q699" s="23" t="inlineStr">
        <is>
          <t>Flat / Lowland</t>
        </is>
      </c>
      <c r="R699" s="24" t="n">
        <v>30</v>
      </c>
      <c r="S699" s="23" t="inlineStr">
        <is>
          <t>—</t>
        </is>
      </c>
      <c r="T699" s="25" t="n">
        <v>452.76</v>
      </c>
      <c r="U699" s="25" t="n"/>
      <c r="V699" s="25" t="n"/>
      <c r="W699" s="25" t="n"/>
      <c r="X699" s="25" t="n">
        <v>65.3</v>
      </c>
      <c r="Y699" s="25" t="n">
        <v>536.03</v>
      </c>
      <c r="Z699" s="26" t="n">
        <v>8.210000000000001</v>
      </c>
      <c r="AA699" s="17" t="inlineStr">
        <is>
          <t>Direct Seeding (Hill Planting / Furrow Method)</t>
        </is>
      </c>
      <c r="AB699" s="17" t="inlineStr">
        <is>
          <t>Conventional Tillage: 1 deep plow (20–25 cm) + 1 harrowing; good tilth easily achieved</t>
        </is>
      </c>
      <c r="AC699" s="17" t="inlineStr">
        <is>
          <t>Furrow or sprinkler irrigation; AWD or weekly irrigation; good drainage natural</t>
        </is>
      </c>
    </row>
    <row r="700" ht="21.75" customHeight="1" s="101">
      <c r="A700" s="18" t="inlineStr">
        <is>
          <t>Corn</t>
        </is>
      </c>
      <c r="B700" s="18" t="inlineStr">
        <is>
          <t>San Felipe Sur</t>
        </is>
      </c>
      <c r="C700" s="18" t="inlineStr">
        <is>
          <t>November</t>
        </is>
      </c>
      <c r="D700" s="18" t="inlineStr">
        <is>
          <t>2020</t>
        </is>
      </c>
      <c r="E700" s="18" t="inlineStr">
        <is>
          <t>DS 2020-2021</t>
        </is>
      </c>
      <c r="F700" s="18" t="inlineStr">
        <is>
          <t>Planting</t>
        </is>
      </c>
      <c r="G700" s="7" t="n">
        <v>8.73</v>
      </c>
      <c r="H700" s="8" t="n">
        <v>25.81</v>
      </c>
      <c r="I700" s="8" t="n">
        <v>19.74</v>
      </c>
      <c r="J700" s="8" t="n">
        <v>31.57</v>
      </c>
      <c r="K700" s="8" t="n">
        <v>84.84</v>
      </c>
      <c r="L700" s="8" t="n">
        <v>98.31999999999999</v>
      </c>
      <c r="M700" s="8" t="n">
        <v>15.39</v>
      </c>
      <c r="N700" s="18" t="inlineStr">
        <is>
          <t>Type I – Tropical Monsoon (PAGASA)</t>
        </is>
      </c>
      <c r="O700" s="18" t="inlineStr">
        <is>
          <t>Dry (Cool)</t>
        </is>
      </c>
      <c r="P700" s="18" t="inlineStr">
        <is>
          <t>Sandy Loam</t>
        </is>
      </c>
      <c r="Q700" s="18" t="inlineStr">
        <is>
          <t>Flat / Lowland</t>
        </is>
      </c>
      <c r="R700" s="19" t="n">
        <v>30</v>
      </c>
      <c r="S700" s="18" t="inlineStr">
        <is>
          <t>Tagamusing River</t>
        </is>
      </c>
      <c r="T700" s="20" t="n">
        <v>504</v>
      </c>
      <c r="U700" s="20" t="n"/>
      <c r="V700" s="20" t="n"/>
      <c r="W700" s="20" t="n">
        <v>67.7</v>
      </c>
      <c r="X700" s="20" t="n"/>
      <c r="Y700" s="20" t="n"/>
      <c r="Z700" s="21" t="n"/>
      <c r="AA700" s="22" t="inlineStr">
        <is>
          <t>Direct Seeding (Hill Planting / Furrow Method)</t>
        </is>
      </c>
      <c r="AB700" s="22" t="inlineStr">
        <is>
          <t>Conventional Tillage: 1 deep plow (20–25 cm) + 1 harrowing; good tilth easily achieved</t>
        </is>
      </c>
      <c r="AC700" s="22" t="inlineStr">
        <is>
          <t>Furrow or sprinkler irrigation; AWD or weekly irrigation; good drainage natural</t>
        </is>
      </c>
    </row>
    <row r="701" ht="21.75" customHeight="1" s="101">
      <c r="A701" s="23" t="inlineStr">
        <is>
          <t>Corn</t>
        </is>
      </c>
      <c r="B701" s="23" t="inlineStr">
        <is>
          <t>San Felipe Sur</t>
        </is>
      </c>
      <c r="C701" s="23" t="inlineStr">
        <is>
          <t>March</t>
        </is>
      </c>
      <c r="D701" s="23" t="inlineStr">
        <is>
          <t>2021</t>
        </is>
      </c>
      <c r="E701" s="23" t="inlineStr">
        <is>
          <t>DS 2020-2021</t>
        </is>
      </c>
      <c r="F701" s="23" t="inlineStr">
        <is>
          <t>Harvest</t>
        </is>
      </c>
      <c r="G701" s="7" t="n">
        <v>2.28</v>
      </c>
      <c r="H701" s="8" t="n">
        <v>26.34</v>
      </c>
      <c r="I701" s="8" t="n">
        <v>18.92</v>
      </c>
      <c r="J701" s="8" t="n">
        <v>34.3</v>
      </c>
      <c r="K701" s="8" t="n">
        <v>78.14</v>
      </c>
      <c r="L701" s="8" t="n">
        <v>98.45999999999999</v>
      </c>
      <c r="M701" s="8" t="n">
        <v>21.32</v>
      </c>
      <c r="N701" s="23" t="inlineStr">
        <is>
          <t>Type I – Tropical Monsoon (PAGASA)</t>
        </is>
      </c>
      <c r="O701" s="23" t="inlineStr">
        <is>
          <t>Dry (Hot)</t>
        </is>
      </c>
      <c r="P701" s="23" t="inlineStr">
        <is>
          <t>Sandy Loam</t>
        </is>
      </c>
      <c r="Q701" s="23" t="inlineStr">
        <is>
          <t>Flat / Lowland</t>
        </is>
      </c>
      <c r="R701" s="24" t="n">
        <v>30</v>
      </c>
      <c r="S701" s="23" t="inlineStr">
        <is>
          <t>Tagamusing River</t>
        </is>
      </c>
      <c r="T701" s="25" t="n">
        <v>504</v>
      </c>
      <c r="U701" s="25" t="n"/>
      <c r="V701" s="25" t="n"/>
      <c r="W701" s="25" t="n"/>
      <c r="X701" s="25" t="n">
        <v>67.7</v>
      </c>
      <c r="Y701" s="25" t="n">
        <v>555.73</v>
      </c>
      <c r="Z701" s="26" t="n">
        <v>8.210000000000001</v>
      </c>
      <c r="AA701" s="17" t="inlineStr">
        <is>
          <t>Direct Seeding (Hill Planting / Furrow Method)</t>
        </is>
      </c>
      <c r="AB701" s="17" t="inlineStr">
        <is>
          <t>Conventional Tillage: 1 deep plow (20–25 cm) + 1 harrowing; good tilth easily achieved</t>
        </is>
      </c>
      <c r="AC701" s="17" t="inlineStr">
        <is>
          <t>Furrow or sprinkler irrigation; AWD or weekly irrigation; good drainage natural</t>
        </is>
      </c>
    </row>
    <row r="702" ht="21.75" customHeight="1" s="101">
      <c r="A702" s="18" t="inlineStr">
        <is>
          <t>Corn</t>
        </is>
      </c>
      <c r="B702" s="18" t="inlineStr">
        <is>
          <t>Pasileng Sur</t>
        </is>
      </c>
      <c r="C702" s="18" t="inlineStr">
        <is>
          <t>November</t>
        </is>
      </c>
      <c r="D702" s="18" t="inlineStr">
        <is>
          <t>2020</t>
        </is>
      </c>
      <c r="E702" s="18" t="inlineStr">
        <is>
          <t>DS 2020-2021</t>
        </is>
      </c>
      <c r="F702" s="18" t="inlineStr">
        <is>
          <t>Planting</t>
        </is>
      </c>
      <c r="G702" s="7" t="n">
        <v>8.73</v>
      </c>
      <c r="H702" s="8" t="n">
        <v>25.81</v>
      </c>
      <c r="I702" s="8" t="n">
        <v>19.74</v>
      </c>
      <c r="J702" s="8" t="n">
        <v>31.57</v>
      </c>
      <c r="K702" s="8" t="n">
        <v>84.84</v>
      </c>
      <c r="L702" s="8" t="n">
        <v>98.31999999999999</v>
      </c>
      <c r="M702" s="8" t="n">
        <v>15.39</v>
      </c>
      <c r="N702" s="18" t="inlineStr">
        <is>
          <t>Type I – Tropical Monsoon (PAGASA)</t>
        </is>
      </c>
      <c r="O702" s="18" t="inlineStr">
        <is>
          <t>Dry (Cool)</t>
        </is>
      </c>
      <c r="P702" s="18" t="inlineStr">
        <is>
          <t>Sandy Loam</t>
        </is>
      </c>
      <c r="Q702" s="18" t="inlineStr">
        <is>
          <t>Flat / Lowland</t>
        </is>
      </c>
      <c r="R702" s="19" t="n">
        <v>30</v>
      </c>
      <c r="S702" s="18" t="inlineStr">
        <is>
          <t>Tagamusing River</t>
        </is>
      </c>
      <c r="T702" s="20" t="n">
        <v>414.96</v>
      </c>
      <c r="U702" s="20" t="n"/>
      <c r="V702" s="20" t="n"/>
      <c r="W702" s="20" t="n">
        <v>68.68000000000001</v>
      </c>
      <c r="X702" s="20" t="n"/>
      <c r="Y702" s="20" t="n"/>
      <c r="Z702" s="21" t="n"/>
      <c r="AA702" s="22" t="inlineStr">
        <is>
          <t>Direct Seeding (Hill Planting / Furrow Method)</t>
        </is>
      </c>
      <c r="AB702" s="22" t="inlineStr">
        <is>
          <t>Conventional Tillage: 1 deep plow (20–25 cm) + 1 harrowing; good tilth easily achieved</t>
        </is>
      </c>
      <c r="AC702" s="22" t="inlineStr">
        <is>
          <t>Furrow or sprinkler irrigation; AWD or weekly irrigation; good drainage natural</t>
        </is>
      </c>
    </row>
    <row r="703" ht="21.75" customHeight="1" s="101">
      <c r="A703" s="23" t="inlineStr">
        <is>
          <t>Corn</t>
        </is>
      </c>
      <c r="B703" s="23" t="inlineStr">
        <is>
          <t>Pasileng Sur</t>
        </is>
      </c>
      <c r="C703" s="23" t="inlineStr">
        <is>
          <t>March</t>
        </is>
      </c>
      <c r="D703" s="23" t="inlineStr">
        <is>
          <t>2021</t>
        </is>
      </c>
      <c r="E703" s="23" t="inlineStr">
        <is>
          <t>DS 2020-2021</t>
        </is>
      </c>
      <c r="F703" s="23" t="inlineStr">
        <is>
          <t>Harvest</t>
        </is>
      </c>
      <c r="G703" s="7" t="n">
        <v>2.28</v>
      </c>
      <c r="H703" s="8" t="n">
        <v>26.34</v>
      </c>
      <c r="I703" s="8" t="n">
        <v>18.92</v>
      </c>
      <c r="J703" s="8" t="n">
        <v>34.3</v>
      </c>
      <c r="K703" s="8" t="n">
        <v>78.14</v>
      </c>
      <c r="L703" s="8" t="n">
        <v>98.45999999999999</v>
      </c>
      <c r="M703" s="8" t="n">
        <v>21.32</v>
      </c>
      <c r="N703" s="23" t="inlineStr">
        <is>
          <t>Type I – Tropical Monsoon (PAGASA)</t>
        </is>
      </c>
      <c r="O703" s="23" t="inlineStr">
        <is>
          <t>Dry (Hot)</t>
        </is>
      </c>
      <c r="P703" s="23" t="inlineStr">
        <is>
          <t>Sandy Loam</t>
        </is>
      </c>
      <c r="Q703" s="23" t="inlineStr">
        <is>
          <t>Flat / Lowland</t>
        </is>
      </c>
      <c r="R703" s="24" t="n">
        <v>30</v>
      </c>
      <c r="S703" s="23" t="inlineStr">
        <is>
          <t>Tagamusing River</t>
        </is>
      </c>
      <c r="T703" s="25" t="n">
        <v>414.96</v>
      </c>
      <c r="U703" s="25" t="n"/>
      <c r="V703" s="25" t="n"/>
      <c r="W703" s="25" t="n"/>
      <c r="X703" s="25" t="n">
        <v>68.68000000000001</v>
      </c>
      <c r="Y703" s="25" t="n">
        <v>563.72</v>
      </c>
      <c r="Z703" s="26" t="n">
        <v>8.210000000000001</v>
      </c>
      <c r="AA703" s="17" t="inlineStr">
        <is>
          <t>Direct Seeding (Hill Planting / Furrow Method)</t>
        </is>
      </c>
      <c r="AB703" s="17" t="inlineStr">
        <is>
          <t>Conventional Tillage: 1 deep plow (20–25 cm) + 1 harrowing; good tilth easily achieved</t>
        </is>
      </c>
      <c r="AC703" s="17" t="inlineStr">
        <is>
          <t>Furrow or sprinkler irrigation; AWD or weekly irrigation; good drainage natural</t>
        </is>
      </c>
    </row>
    <row r="704" ht="21.75" customHeight="1" s="101">
      <c r="A704" s="18" t="inlineStr">
        <is>
          <t>Corn</t>
        </is>
      </c>
      <c r="B704" s="18" t="inlineStr">
        <is>
          <t>Sta. Maria Norte</t>
        </is>
      </c>
      <c r="C704" s="18" t="inlineStr">
        <is>
          <t>November</t>
        </is>
      </c>
      <c r="D704" s="18" t="inlineStr">
        <is>
          <t>2020</t>
        </is>
      </c>
      <c r="E704" s="18" t="inlineStr">
        <is>
          <t>DS 2020-2021</t>
        </is>
      </c>
      <c r="F704" s="18" t="inlineStr">
        <is>
          <t>Planting</t>
        </is>
      </c>
      <c r="G704" s="7" t="n">
        <v>8.73</v>
      </c>
      <c r="H704" s="8" t="n">
        <v>25.81</v>
      </c>
      <c r="I704" s="8" t="n">
        <v>19.74</v>
      </c>
      <c r="J704" s="8" t="n">
        <v>31.57</v>
      </c>
      <c r="K704" s="8" t="n">
        <v>84.84</v>
      </c>
      <c r="L704" s="8" t="n">
        <v>98.31999999999999</v>
      </c>
      <c r="M704" s="8" t="n">
        <v>15.39</v>
      </c>
      <c r="N704" s="18" t="inlineStr">
        <is>
          <t>Type I – Tropical Monsoon (PAGASA)</t>
        </is>
      </c>
      <c r="O704" s="18" t="inlineStr">
        <is>
          <t>Dry (Cool)</t>
        </is>
      </c>
      <c r="P704" s="18" t="inlineStr">
        <is>
          <t>Sandy Loam</t>
        </is>
      </c>
      <c r="Q704" s="18" t="inlineStr">
        <is>
          <t>Flat / Lowland</t>
        </is>
      </c>
      <c r="R704" s="19" t="n">
        <v>30</v>
      </c>
      <c r="S704" s="18" t="inlineStr">
        <is>
          <t>Tagamusing River</t>
        </is>
      </c>
      <c r="T704" s="20" t="n">
        <v>157.08</v>
      </c>
      <c r="U704" s="20" t="n"/>
      <c r="V704" s="20" t="n"/>
      <c r="W704" s="20" t="n">
        <v>23.3</v>
      </c>
      <c r="X704" s="20" t="n"/>
      <c r="Y704" s="20" t="n"/>
      <c r="Z704" s="21" t="n"/>
      <c r="AA704" s="22" t="inlineStr">
        <is>
          <t>Direct Seeding (Hill Planting / Furrow Method)</t>
        </is>
      </c>
      <c r="AB704" s="22" t="inlineStr">
        <is>
          <t>Conventional Tillage: 1 deep plow (20–25 cm) + 1 harrowing; good tilth easily achieved</t>
        </is>
      </c>
      <c r="AC704" s="22" t="inlineStr">
        <is>
          <t>Furrow or sprinkler irrigation; AWD or weekly irrigation; good drainage natural</t>
        </is>
      </c>
    </row>
    <row r="705" ht="21.75" customHeight="1" s="101">
      <c r="A705" s="23" t="inlineStr">
        <is>
          <t>Corn</t>
        </is>
      </c>
      <c r="B705" s="23" t="inlineStr">
        <is>
          <t>Sta. Maria Norte</t>
        </is>
      </c>
      <c r="C705" s="23" t="inlineStr">
        <is>
          <t>March</t>
        </is>
      </c>
      <c r="D705" s="23" t="inlineStr">
        <is>
          <t>2021</t>
        </is>
      </c>
      <c r="E705" s="23" t="inlineStr">
        <is>
          <t>DS 2020-2021</t>
        </is>
      </c>
      <c r="F705" s="23" t="inlineStr">
        <is>
          <t>Harvest</t>
        </is>
      </c>
      <c r="G705" s="7" t="n">
        <v>2.28</v>
      </c>
      <c r="H705" s="8" t="n">
        <v>26.34</v>
      </c>
      <c r="I705" s="8" t="n">
        <v>18.92</v>
      </c>
      <c r="J705" s="8" t="n">
        <v>34.3</v>
      </c>
      <c r="K705" s="8" t="n">
        <v>78.14</v>
      </c>
      <c r="L705" s="8" t="n">
        <v>98.45999999999999</v>
      </c>
      <c r="M705" s="8" t="n">
        <v>21.32</v>
      </c>
      <c r="N705" s="23" t="inlineStr">
        <is>
          <t>Type I – Tropical Monsoon (PAGASA)</t>
        </is>
      </c>
      <c r="O705" s="23" t="inlineStr">
        <is>
          <t>Dry (Hot)</t>
        </is>
      </c>
      <c r="P705" s="23" t="inlineStr">
        <is>
          <t>Sandy Loam</t>
        </is>
      </c>
      <c r="Q705" s="23" t="inlineStr">
        <is>
          <t>Flat / Lowland</t>
        </is>
      </c>
      <c r="R705" s="24" t="n">
        <v>30</v>
      </c>
      <c r="S705" s="23" t="inlineStr">
        <is>
          <t>Tagamusing River</t>
        </is>
      </c>
      <c r="T705" s="25" t="n">
        <v>157.08</v>
      </c>
      <c r="U705" s="25" t="n"/>
      <c r="V705" s="25" t="n"/>
      <c r="W705" s="25" t="n"/>
      <c r="X705" s="25" t="n">
        <v>23.3</v>
      </c>
      <c r="Y705" s="25" t="n">
        <v>191.25</v>
      </c>
      <c r="Z705" s="26" t="n">
        <v>8.210000000000001</v>
      </c>
      <c r="AA705" s="17" t="inlineStr">
        <is>
          <t>Direct Seeding (Hill Planting / Furrow Method)</t>
        </is>
      </c>
      <c r="AB705" s="17" t="inlineStr">
        <is>
          <t>Conventional Tillage: 1 deep plow (20–25 cm) + 1 harrowing; good tilth easily achieved</t>
        </is>
      </c>
      <c r="AC705" s="17" t="inlineStr">
        <is>
          <t>Furrow or sprinkler irrigation; AWD or weekly irrigation; good drainage natural</t>
        </is>
      </c>
    </row>
    <row r="706" ht="21.75" customHeight="1" s="101">
      <c r="A706" s="18" t="inlineStr">
        <is>
          <t>Corn</t>
        </is>
      </c>
      <c r="B706" s="18" t="inlineStr">
        <is>
          <t>Bugayong</t>
        </is>
      </c>
      <c r="C706" s="18" t="inlineStr">
        <is>
          <t>November</t>
        </is>
      </c>
      <c r="D706" s="18" t="inlineStr">
        <is>
          <t>2020</t>
        </is>
      </c>
      <c r="E706" s="18" t="inlineStr">
        <is>
          <t>DS 2020-2021</t>
        </is>
      </c>
      <c r="F706" s="18" t="inlineStr">
        <is>
          <t>Planting</t>
        </is>
      </c>
      <c r="G706" s="7" t="n">
        <v>8.73</v>
      </c>
      <c r="H706" s="8" t="n">
        <v>25.81</v>
      </c>
      <c r="I706" s="8" t="n">
        <v>19.74</v>
      </c>
      <c r="J706" s="8" t="n">
        <v>31.57</v>
      </c>
      <c r="K706" s="8" t="n">
        <v>84.84</v>
      </c>
      <c r="L706" s="8" t="n">
        <v>98.31999999999999</v>
      </c>
      <c r="M706" s="8" t="n">
        <v>15.39</v>
      </c>
      <c r="N706" s="18" t="inlineStr">
        <is>
          <t>Type I – Tropical Monsoon (PAGASA)</t>
        </is>
      </c>
      <c r="O706" s="18" t="inlineStr">
        <is>
          <t>Dry (Cool)</t>
        </is>
      </c>
      <c r="P706" s="18" t="inlineStr">
        <is>
          <t>Sandy Loam / Silty Clay Loam</t>
        </is>
      </c>
      <c r="Q706" s="18" t="inlineStr">
        <is>
          <t>Flat / Lowland</t>
        </is>
      </c>
      <c r="R706" s="19" t="n">
        <v>30</v>
      </c>
      <c r="S706" s="18" t="inlineStr">
        <is>
          <t>Aloragat River</t>
        </is>
      </c>
      <c r="T706" s="20" t="n">
        <v>346.08</v>
      </c>
      <c r="U706" s="20" t="n"/>
      <c r="V706" s="20" t="n"/>
      <c r="W706" s="20" t="n">
        <v>20.95</v>
      </c>
      <c r="X706" s="20" t="n"/>
      <c r="Y706" s="20" t="n"/>
      <c r="Z706" s="21" t="n"/>
      <c r="AA706" s="22" t="inlineStr">
        <is>
          <t>Direct Seeding (Furrow or Hill Method)</t>
        </is>
      </c>
      <c r="AB706" s="22" t="inlineStr">
        <is>
          <t>Conventional Tillage: 1 deep plow + harrowing; ensure good drainage channels</t>
        </is>
      </c>
      <c r="AC706" s="22" t="inlineStr">
        <is>
          <t>Furrow irrigation; avoid waterlogging — clay fraction retains excess moisture</t>
        </is>
      </c>
    </row>
    <row r="707" ht="21.75" customHeight="1" s="101">
      <c r="A707" s="23" t="inlineStr">
        <is>
          <t>Corn</t>
        </is>
      </c>
      <c r="B707" s="23" t="inlineStr">
        <is>
          <t>Bugayong</t>
        </is>
      </c>
      <c r="C707" s="23" t="inlineStr">
        <is>
          <t>March</t>
        </is>
      </c>
      <c r="D707" s="23" t="inlineStr">
        <is>
          <t>2021</t>
        </is>
      </c>
      <c r="E707" s="23" t="inlineStr">
        <is>
          <t>DS 2020-2021</t>
        </is>
      </c>
      <c r="F707" s="23" t="inlineStr">
        <is>
          <t>Harvest</t>
        </is>
      </c>
      <c r="G707" s="7" t="n">
        <v>2.28</v>
      </c>
      <c r="H707" s="8" t="n">
        <v>26.34</v>
      </c>
      <c r="I707" s="8" t="n">
        <v>18.92</v>
      </c>
      <c r="J707" s="8" t="n">
        <v>34.3</v>
      </c>
      <c r="K707" s="8" t="n">
        <v>78.14</v>
      </c>
      <c r="L707" s="8" t="n">
        <v>98.45999999999999</v>
      </c>
      <c r="M707" s="8" t="n">
        <v>21.32</v>
      </c>
      <c r="N707" s="23" t="inlineStr">
        <is>
          <t>Type I – Tropical Monsoon (PAGASA)</t>
        </is>
      </c>
      <c r="O707" s="23" t="inlineStr">
        <is>
          <t>Dry (Hot)</t>
        </is>
      </c>
      <c r="P707" s="23" t="inlineStr">
        <is>
          <t>Sandy Loam / Silty Clay Loam</t>
        </is>
      </c>
      <c r="Q707" s="23" t="inlineStr">
        <is>
          <t>Flat / Lowland</t>
        </is>
      </c>
      <c r="R707" s="24" t="n">
        <v>30</v>
      </c>
      <c r="S707" s="23" t="inlineStr">
        <is>
          <t>Aloragat River</t>
        </is>
      </c>
      <c r="T707" s="25" t="n">
        <v>346.08</v>
      </c>
      <c r="U707" s="25" t="n"/>
      <c r="V707" s="25" t="n"/>
      <c r="W707" s="25" t="n"/>
      <c r="X707" s="25" t="n">
        <v>20.95</v>
      </c>
      <c r="Y707" s="25" t="n">
        <v>171.96</v>
      </c>
      <c r="Z707" s="26" t="n">
        <v>8.210000000000001</v>
      </c>
      <c r="AA707" s="17" t="inlineStr">
        <is>
          <t>Direct Seeding (Furrow or Hill Method)</t>
        </is>
      </c>
      <c r="AB707" s="17" t="inlineStr">
        <is>
          <t>Conventional Tillage: 1 deep plow + harrowing; ensure good drainage channels</t>
        </is>
      </c>
      <c r="AC707" s="17" t="inlineStr">
        <is>
          <t>Furrow irrigation; avoid waterlogging — clay fraction retains excess moisture</t>
        </is>
      </c>
    </row>
    <row r="708" ht="21.75" customHeight="1" s="101">
      <c r="A708" s="18" t="inlineStr">
        <is>
          <t>Corn</t>
        </is>
      </c>
      <c r="B708" s="18" t="inlineStr">
        <is>
          <t>Santiago</t>
        </is>
      </c>
      <c r="C708" s="18" t="inlineStr">
        <is>
          <t>November</t>
        </is>
      </c>
      <c r="D708" s="18" t="inlineStr">
        <is>
          <t>2020</t>
        </is>
      </c>
      <c r="E708" s="18" t="inlineStr">
        <is>
          <t>DS 2020-2021</t>
        </is>
      </c>
      <c r="F708" s="18" t="inlineStr">
        <is>
          <t>Planting</t>
        </is>
      </c>
      <c r="G708" s="7" t="n">
        <v>8.73</v>
      </c>
      <c r="H708" s="8" t="n">
        <v>25.81</v>
      </c>
      <c r="I708" s="8" t="n">
        <v>19.74</v>
      </c>
      <c r="J708" s="8" t="n">
        <v>31.57</v>
      </c>
      <c r="K708" s="8" t="n">
        <v>84.84</v>
      </c>
      <c r="L708" s="8" t="n">
        <v>98.31999999999999</v>
      </c>
      <c r="M708" s="8" t="n">
        <v>15.39</v>
      </c>
      <c r="N708" s="18" t="inlineStr">
        <is>
          <t>Type I – Tropical Monsoon (PAGASA)</t>
        </is>
      </c>
      <c r="O708" s="18" t="inlineStr">
        <is>
          <t>Dry (Cool)</t>
        </is>
      </c>
      <c r="P708" s="18" t="inlineStr">
        <is>
          <t>Silty Clay Loam</t>
        </is>
      </c>
      <c r="Q708" s="18" t="inlineStr">
        <is>
          <t>Flat / Lowland</t>
        </is>
      </c>
      <c r="R708" s="19" t="n">
        <v>30</v>
      </c>
      <c r="S708" s="18" t="inlineStr">
        <is>
          <t>—</t>
        </is>
      </c>
      <c r="T708" s="20" t="n">
        <v>283.08</v>
      </c>
      <c r="U708" s="20" t="n"/>
      <c r="V708" s="20" t="n"/>
      <c r="W708" s="20" t="n">
        <v>69.48</v>
      </c>
      <c r="X708" s="20" t="n"/>
      <c r="Y708" s="20" t="n"/>
      <c r="Z708" s="21" t="n"/>
      <c r="AA708" s="22" t="inlineStr">
        <is>
          <t>Direct Seeding (Furrow Method on Raised Beds)</t>
        </is>
      </c>
      <c r="AB708" s="22" t="inlineStr">
        <is>
          <t>Deep Tillage (25 cm): 1–2 plowings; form raised beds 20–25 cm high to prevent waterlogging</t>
        </is>
      </c>
      <c r="AC708" s="22" t="inlineStr">
        <is>
          <t>Furrow irrigation only (not flood); ensure bed drainage; drain excess after rain</t>
        </is>
      </c>
    </row>
    <row r="709" ht="21.75" customHeight="1" s="101">
      <c r="A709" s="23" t="inlineStr">
        <is>
          <t>Corn</t>
        </is>
      </c>
      <c r="B709" s="23" t="inlineStr">
        <is>
          <t>Santiago</t>
        </is>
      </c>
      <c r="C709" s="23" t="inlineStr">
        <is>
          <t>March</t>
        </is>
      </c>
      <c r="D709" s="23" t="inlineStr">
        <is>
          <t>2021</t>
        </is>
      </c>
      <c r="E709" s="23" t="inlineStr">
        <is>
          <t>DS 2020-2021</t>
        </is>
      </c>
      <c r="F709" s="23" t="inlineStr">
        <is>
          <t>Harvest</t>
        </is>
      </c>
      <c r="G709" s="7" t="n">
        <v>2.28</v>
      </c>
      <c r="H709" s="8" t="n">
        <v>26.34</v>
      </c>
      <c r="I709" s="8" t="n">
        <v>18.92</v>
      </c>
      <c r="J709" s="8" t="n">
        <v>34.3</v>
      </c>
      <c r="K709" s="8" t="n">
        <v>78.14</v>
      </c>
      <c r="L709" s="8" t="n">
        <v>98.45999999999999</v>
      </c>
      <c r="M709" s="8" t="n">
        <v>21.32</v>
      </c>
      <c r="N709" s="23" t="inlineStr">
        <is>
          <t>Type I – Tropical Monsoon (PAGASA)</t>
        </is>
      </c>
      <c r="O709" s="23" t="inlineStr">
        <is>
          <t>Dry (Hot)</t>
        </is>
      </c>
      <c r="P709" s="23" t="inlineStr">
        <is>
          <t>Silty Clay Loam</t>
        </is>
      </c>
      <c r="Q709" s="23" t="inlineStr">
        <is>
          <t>Flat / Lowland</t>
        </is>
      </c>
      <c r="R709" s="24" t="n">
        <v>30</v>
      </c>
      <c r="S709" s="23" t="inlineStr">
        <is>
          <t>—</t>
        </is>
      </c>
      <c r="T709" s="25" t="n">
        <v>283.08</v>
      </c>
      <c r="U709" s="25" t="n"/>
      <c r="V709" s="25" t="n"/>
      <c r="W709" s="25" t="n"/>
      <c r="X709" s="25" t="n">
        <v>69.48</v>
      </c>
      <c r="Y709" s="25" t="n">
        <v>570.26</v>
      </c>
      <c r="Z709" s="26" t="n">
        <v>8.210000000000001</v>
      </c>
      <c r="AA709" s="17" t="inlineStr">
        <is>
          <t>Direct Seeding (Furrow Method on Raised Beds)</t>
        </is>
      </c>
      <c r="AB709" s="17" t="inlineStr">
        <is>
          <t>Deep Tillage (25 cm): 1–2 plowings; form raised beds 20–25 cm high to prevent waterlogging</t>
        </is>
      </c>
      <c r="AC709" s="17" t="inlineStr">
        <is>
          <t>Furrow irrigation only (not flood); ensure bed drainage; drain excess after rain</t>
        </is>
      </c>
    </row>
    <row r="710" ht="21.75" customHeight="1" s="101">
      <c r="A710" s="18" t="inlineStr">
        <is>
          <t>Corn</t>
        </is>
      </c>
      <c r="B710" s="18" t="inlineStr">
        <is>
          <t>Pasileng Norte</t>
        </is>
      </c>
      <c r="C710" s="18" t="inlineStr">
        <is>
          <t>November</t>
        </is>
      </c>
      <c r="D710" s="18" t="inlineStr">
        <is>
          <t>2021</t>
        </is>
      </c>
      <c r="E710" s="18" t="inlineStr">
        <is>
          <t>DS 2021-2022</t>
        </is>
      </c>
      <c r="F710" s="18" t="inlineStr">
        <is>
          <t>Planting</t>
        </is>
      </c>
      <c r="G710" s="7" t="n">
        <v>3.47</v>
      </c>
      <c r="H710" s="8" t="n">
        <v>26.41</v>
      </c>
      <c r="I710" s="8" t="n">
        <v>19.95</v>
      </c>
      <c r="J710" s="8" t="n">
        <v>31.91</v>
      </c>
      <c r="K710" s="8" t="n">
        <v>82.55</v>
      </c>
      <c r="L710" s="8" t="n">
        <v>98.34</v>
      </c>
      <c r="M710" s="8" t="n">
        <v>17.76</v>
      </c>
      <c r="N710" s="18" t="inlineStr">
        <is>
          <t>Type I – Tropical Monsoon (PAGASA)</t>
        </is>
      </c>
      <c r="O710" s="18" t="inlineStr">
        <is>
          <t>Dry (Cool)</t>
        </is>
      </c>
      <c r="P710" s="18" t="inlineStr">
        <is>
          <t>Sandy Loam</t>
        </is>
      </c>
      <c r="Q710" s="18" t="inlineStr">
        <is>
          <t>Flat / Lowland</t>
        </is>
      </c>
      <c r="R710" s="19" t="n">
        <v>30</v>
      </c>
      <c r="S710" s="18" t="inlineStr">
        <is>
          <t>Tagamusing River</t>
        </is>
      </c>
      <c r="T710" s="20" t="n">
        <v>140.28</v>
      </c>
      <c r="U710" s="20" t="n"/>
      <c r="V710" s="20" t="n"/>
      <c r="W710" s="20" t="n">
        <v>36.55</v>
      </c>
      <c r="X710" s="20" t="n"/>
      <c r="Y710" s="20" t="n"/>
      <c r="Z710" s="21" t="n"/>
      <c r="AA710" s="22" t="inlineStr">
        <is>
          <t>Direct Seeding (Hill Planting / Furrow Method)</t>
        </is>
      </c>
      <c r="AB710" s="22" t="inlineStr">
        <is>
          <t>Conventional Tillage: 1 deep plow (20–25 cm) + 1 harrowing; good tilth easily achieved</t>
        </is>
      </c>
      <c r="AC710" s="22" t="inlineStr">
        <is>
          <t>Furrow or sprinkler irrigation; AWD or weekly irrigation; good drainage natural</t>
        </is>
      </c>
    </row>
    <row r="711" ht="21.75" customHeight="1" s="101">
      <c r="A711" s="23" t="inlineStr">
        <is>
          <t>Corn</t>
        </is>
      </c>
      <c r="B711" s="23" t="inlineStr">
        <is>
          <t>Pasileng Norte</t>
        </is>
      </c>
      <c r="C711" s="23" t="inlineStr">
        <is>
          <t>March</t>
        </is>
      </c>
      <c r="D711" s="23" t="inlineStr">
        <is>
          <t>2022</t>
        </is>
      </c>
      <c r="E711" s="23" t="inlineStr">
        <is>
          <t>DS 2021-2022</t>
        </is>
      </c>
      <c r="F711" s="23" t="inlineStr">
        <is>
          <t>Harvest</t>
        </is>
      </c>
      <c r="G711" s="7" t="n">
        <v>2</v>
      </c>
      <c r="H711" s="8" t="n">
        <v>27.04</v>
      </c>
      <c r="I711" s="8" t="n">
        <v>19.32</v>
      </c>
      <c r="J711" s="8" t="n">
        <v>35.27</v>
      </c>
      <c r="K711" s="8" t="n">
        <v>75.42</v>
      </c>
      <c r="L711" s="8" t="n">
        <v>98.36</v>
      </c>
      <c r="M711" s="8" t="n">
        <v>22.13</v>
      </c>
      <c r="N711" s="23" t="inlineStr">
        <is>
          <t>Type I – Tropical Monsoon (PAGASA)</t>
        </is>
      </c>
      <c r="O711" s="23" t="inlineStr">
        <is>
          <t>Dry (Hot)</t>
        </is>
      </c>
      <c r="P711" s="23" t="inlineStr">
        <is>
          <t>Sandy Loam</t>
        </is>
      </c>
      <c r="Q711" s="23" t="inlineStr">
        <is>
          <t>Flat / Lowland</t>
        </is>
      </c>
      <c r="R711" s="24" t="n">
        <v>30</v>
      </c>
      <c r="S711" s="23" t="inlineStr">
        <is>
          <t>Tagamusing River</t>
        </is>
      </c>
      <c r="T711" s="25" t="n">
        <v>140.28</v>
      </c>
      <c r="U711" s="25" t="n"/>
      <c r="V711" s="25" t="n"/>
      <c r="W711" s="25" t="n"/>
      <c r="X711" s="25" t="n">
        <v>36.55</v>
      </c>
      <c r="Y711" s="25" t="n">
        <v>272.06</v>
      </c>
      <c r="Z711" s="26" t="n">
        <v>7.44</v>
      </c>
      <c r="AA711" s="17" t="inlineStr">
        <is>
          <t>Direct Seeding (Hill Planting / Furrow Method)</t>
        </is>
      </c>
      <c r="AB711" s="17" t="inlineStr">
        <is>
          <t>Conventional Tillage: 1 deep plow (20–25 cm) + 1 harrowing; good tilth easily achieved</t>
        </is>
      </c>
      <c r="AC711" s="17" t="inlineStr">
        <is>
          <t>Furrow or sprinkler irrigation; AWD or weekly irrigation; good drainage natural</t>
        </is>
      </c>
    </row>
    <row r="712" ht="21.75" customHeight="1" s="101">
      <c r="A712" s="18" t="inlineStr">
        <is>
          <t>Corn</t>
        </is>
      </c>
      <c r="B712" s="18" t="inlineStr">
        <is>
          <t>Tabuyoc</t>
        </is>
      </c>
      <c r="C712" s="18" t="inlineStr">
        <is>
          <t>November</t>
        </is>
      </c>
      <c r="D712" s="18" t="inlineStr">
        <is>
          <t>2021</t>
        </is>
      </c>
      <c r="E712" s="18" t="inlineStr">
        <is>
          <t>DS 2021-2022</t>
        </is>
      </c>
      <c r="F712" s="18" t="inlineStr">
        <is>
          <t>Planting</t>
        </is>
      </c>
      <c r="G712" s="7" t="n">
        <v>3.47</v>
      </c>
      <c r="H712" s="8" t="n">
        <v>26.41</v>
      </c>
      <c r="I712" s="8" t="n">
        <v>19.95</v>
      </c>
      <c r="J712" s="8" t="n">
        <v>31.91</v>
      </c>
      <c r="K712" s="8" t="n">
        <v>82.55</v>
      </c>
      <c r="L712" s="8" t="n">
        <v>98.34</v>
      </c>
      <c r="M712" s="8" t="n">
        <v>17.76</v>
      </c>
      <c r="N712" s="18" t="inlineStr">
        <is>
          <t>Type I – Tropical Monsoon (PAGASA)</t>
        </is>
      </c>
      <c r="O712" s="18" t="inlineStr">
        <is>
          <t>Dry (Cool)</t>
        </is>
      </c>
      <c r="P712" s="18" t="inlineStr">
        <is>
          <t>Silty Clay Loam</t>
        </is>
      </c>
      <c r="Q712" s="18" t="inlineStr">
        <is>
          <t>Flat / Lowland</t>
        </is>
      </c>
      <c r="R712" s="19" t="n">
        <v>30</v>
      </c>
      <c r="S712" s="18" t="inlineStr">
        <is>
          <t>—</t>
        </is>
      </c>
      <c r="T712" s="20" t="n">
        <v>277.2</v>
      </c>
      <c r="U712" s="20" t="n"/>
      <c r="V712" s="20" t="n"/>
      <c r="W712" s="20" t="n">
        <v>56.61</v>
      </c>
      <c r="X712" s="20" t="n"/>
      <c r="Y712" s="20" t="n"/>
      <c r="Z712" s="21" t="n"/>
      <c r="AA712" s="22" t="inlineStr">
        <is>
          <t>Direct Seeding (Furrow Method on Raised Beds)</t>
        </is>
      </c>
      <c r="AB712" s="22" t="inlineStr">
        <is>
          <t>Deep Tillage (25 cm): 1–2 plowings; form raised beds 20–25 cm high to prevent waterlogging</t>
        </is>
      </c>
      <c r="AC712" s="22" t="inlineStr">
        <is>
          <t>Furrow irrigation only (not flood); ensure bed drainage; drain excess after rain</t>
        </is>
      </c>
    </row>
    <row r="713" ht="21.75" customHeight="1" s="101">
      <c r="A713" s="23" t="inlineStr">
        <is>
          <t>Corn</t>
        </is>
      </c>
      <c r="B713" s="23" t="inlineStr">
        <is>
          <t>Tabuyoc</t>
        </is>
      </c>
      <c r="C713" s="23" t="inlineStr">
        <is>
          <t>March</t>
        </is>
      </c>
      <c r="D713" s="23" t="inlineStr">
        <is>
          <t>2022</t>
        </is>
      </c>
      <c r="E713" s="23" t="inlineStr">
        <is>
          <t>DS 2021-2022</t>
        </is>
      </c>
      <c r="F713" s="23" t="inlineStr">
        <is>
          <t>Harvest</t>
        </is>
      </c>
      <c r="G713" s="7" t="n">
        <v>2</v>
      </c>
      <c r="H713" s="8" t="n">
        <v>27.04</v>
      </c>
      <c r="I713" s="8" t="n">
        <v>19.32</v>
      </c>
      <c r="J713" s="8" t="n">
        <v>35.27</v>
      </c>
      <c r="K713" s="8" t="n">
        <v>75.42</v>
      </c>
      <c r="L713" s="8" t="n">
        <v>98.36</v>
      </c>
      <c r="M713" s="8" t="n">
        <v>22.13</v>
      </c>
      <c r="N713" s="23" t="inlineStr">
        <is>
          <t>Type I – Tropical Monsoon (PAGASA)</t>
        </is>
      </c>
      <c r="O713" s="23" t="inlineStr">
        <is>
          <t>Dry (Hot)</t>
        </is>
      </c>
      <c r="P713" s="23" t="inlineStr">
        <is>
          <t>Silty Clay Loam</t>
        </is>
      </c>
      <c r="Q713" s="23" t="inlineStr">
        <is>
          <t>Flat / Lowland</t>
        </is>
      </c>
      <c r="R713" s="24" t="n">
        <v>30</v>
      </c>
      <c r="S713" s="23" t="inlineStr">
        <is>
          <t>—</t>
        </is>
      </c>
      <c r="T713" s="25" t="n">
        <v>277.2</v>
      </c>
      <c r="U713" s="25" t="n"/>
      <c r="V713" s="25" t="n"/>
      <c r="W713" s="25" t="n"/>
      <c r="X713" s="25" t="n">
        <v>56.61</v>
      </c>
      <c r="Y713" s="25" t="n">
        <v>421.31</v>
      </c>
      <c r="Z713" s="26" t="n">
        <v>7.44</v>
      </c>
      <c r="AA713" s="17" t="inlineStr">
        <is>
          <t>Direct Seeding (Furrow Method on Raised Beds)</t>
        </is>
      </c>
      <c r="AB713" s="17" t="inlineStr">
        <is>
          <t>Deep Tillage (25 cm): 1–2 plowings; form raised beds 20–25 cm high to prevent waterlogging</t>
        </is>
      </c>
      <c r="AC713" s="17" t="inlineStr">
        <is>
          <t>Furrow irrigation only (not flood); ensure bed drainage; drain excess after rain</t>
        </is>
      </c>
    </row>
    <row r="714" ht="21.75" customHeight="1" s="101">
      <c r="A714" s="18" t="inlineStr">
        <is>
          <t>Corn</t>
        </is>
      </c>
      <c r="B714" s="18" t="inlineStr">
        <is>
          <t>Bued</t>
        </is>
      </c>
      <c r="C714" s="18" t="inlineStr">
        <is>
          <t>November</t>
        </is>
      </c>
      <c r="D714" s="18" t="inlineStr">
        <is>
          <t>2021</t>
        </is>
      </c>
      <c r="E714" s="18" t="inlineStr">
        <is>
          <t>DS 2021-2022</t>
        </is>
      </c>
      <c r="F714" s="18" t="inlineStr">
        <is>
          <t>Planting</t>
        </is>
      </c>
      <c r="G714" s="7" t="n">
        <v>3.47</v>
      </c>
      <c r="H714" s="8" t="n">
        <v>26.41</v>
      </c>
      <c r="I714" s="8" t="n">
        <v>19.95</v>
      </c>
      <c r="J714" s="8" t="n">
        <v>31.91</v>
      </c>
      <c r="K714" s="8" t="n">
        <v>82.55</v>
      </c>
      <c r="L714" s="8" t="n">
        <v>98.34</v>
      </c>
      <c r="M714" s="8" t="n">
        <v>17.76</v>
      </c>
      <c r="N714" s="18" t="inlineStr">
        <is>
          <t>Type I – Tropical Monsoon (PAGASA)</t>
        </is>
      </c>
      <c r="O714" s="18" t="inlineStr">
        <is>
          <t>Dry (Cool)</t>
        </is>
      </c>
      <c r="P714" s="18" t="inlineStr">
        <is>
          <t>Silty Clay Loam</t>
        </is>
      </c>
      <c r="Q714" s="18" t="inlineStr">
        <is>
          <t>Flat / Lowland</t>
        </is>
      </c>
      <c r="R714" s="19" t="n">
        <v>30</v>
      </c>
      <c r="S714" s="18" t="inlineStr">
        <is>
          <t>Tagamusing River</t>
        </is>
      </c>
      <c r="T714" s="20" t="n">
        <v>210.84</v>
      </c>
      <c r="U714" s="20" t="n"/>
      <c r="V714" s="20" t="n"/>
      <c r="W714" s="20" t="n">
        <v>42.76</v>
      </c>
      <c r="X714" s="20" t="n"/>
      <c r="Y714" s="20" t="n"/>
      <c r="Z714" s="21" t="n"/>
      <c r="AA714" s="22" t="inlineStr">
        <is>
          <t>Direct Seeding (Furrow Method on Raised Beds)</t>
        </is>
      </c>
      <c r="AB714" s="22" t="inlineStr">
        <is>
          <t>Deep Tillage (25 cm): 1–2 plowings; form raised beds 20–25 cm high to prevent waterlogging</t>
        </is>
      </c>
      <c r="AC714" s="22" t="inlineStr">
        <is>
          <t>Furrow irrigation only (not flood); ensure bed drainage; drain excess after rain</t>
        </is>
      </c>
    </row>
    <row r="715" ht="21.75" customHeight="1" s="101">
      <c r="A715" s="23" t="inlineStr">
        <is>
          <t>Corn</t>
        </is>
      </c>
      <c r="B715" s="23" t="inlineStr">
        <is>
          <t>Bued</t>
        </is>
      </c>
      <c r="C715" s="23" t="inlineStr">
        <is>
          <t>March</t>
        </is>
      </c>
      <c r="D715" s="23" t="inlineStr">
        <is>
          <t>2022</t>
        </is>
      </c>
      <c r="E715" s="23" t="inlineStr">
        <is>
          <t>DS 2021-2022</t>
        </is>
      </c>
      <c r="F715" s="23" t="inlineStr">
        <is>
          <t>Harvest</t>
        </is>
      </c>
      <c r="G715" s="7" t="n">
        <v>2</v>
      </c>
      <c r="H715" s="8" t="n">
        <v>27.04</v>
      </c>
      <c r="I715" s="8" t="n">
        <v>19.32</v>
      </c>
      <c r="J715" s="8" t="n">
        <v>35.27</v>
      </c>
      <c r="K715" s="8" t="n">
        <v>75.42</v>
      </c>
      <c r="L715" s="8" t="n">
        <v>98.36</v>
      </c>
      <c r="M715" s="8" t="n">
        <v>22.13</v>
      </c>
      <c r="N715" s="23" t="inlineStr">
        <is>
          <t>Type I – Tropical Monsoon (PAGASA)</t>
        </is>
      </c>
      <c r="O715" s="23" t="inlineStr">
        <is>
          <t>Dry (Hot)</t>
        </is>
      </c>
      <c r="P715" s="23" t="inlineStr">
        <is>
          <t>Silty Clay Loam</t>
        </is>
      </c>
      <c r="Q715" s="23" t="inlineStr">
        <is>
          <t>Flat / Lowland</t>
        </is>
      </c>
      <c r="R715" s="24" t="n">
        <v>30</v>
      </c>
      <c r="S715" s="23" t="inlineStr">
        <is>
          <t>Tagamusing River</t>
        </is>
      </c>
      <c r="T715" s="25" t="n">
        <v>210.84</v>
      </c>
      <c r="U715" s="25" t="n"/>
      <c r="V715" s="25" t="n"/>
      <c r="W715" s="25" t="n"/>
      <c r="X715" s="25" t="n">
        <v>42.76</v>
      </c>
      <c r="Y715" s="25" t="n">
        <v>318.24</v>
      </c>
      <c r="Z715" s="26" t="n">
        <v>7.44</v>
      </c>
      <c r="AA715" s="17" t="inlineStr">
        <is>
          <t>Direct Seeding (Furrow Method on Raised Beds)</t>
        </is>
      </c>
      <c r="AB715" s="17" t="inlineStr">
        <is>
          <t>Deep Tillage (25 cm): 1–2 plowings; form raised beds 20–25 cm high to prevent waterlogging</t>
        </is>
      </c>
      <c r="AC715" s="17" t="inlineStr">
        <is>
          <t>Furrow irrigation only (not flood); ensure bed drainage; drain excess after rain</t>
        </is>
      </c>
    </row>
    <row r="716" ht="21.75" customHeight="1" s="101">
      <c r="A716" s="18" t="inlineStr">
        <is>
          <t>Corn</t>
        </is>
      </c>
      <c r="B716" s="18" t="inlineStr">
        <is>
          <t>Dumayat</t>
        </is>
      </c>
      <c r="C716" s="18" t="inlineStr">
        <is>
          <t>November</t>
        </is>
      </c>
      <c r="D716" s="18" t="inlineStr">
        <is>
          <t>2021</t>
        </is>
      </c>
      <c r="E716" s="18" t="inlineStr">
        <is>
          <t>DS 2021-2022</t>
        </is>
      </c>
      <c r="F716" s="18" t="inlineStr">
        <is>
          <t>Planting</t>
        </is>
      </c>
      <c r="G716" s="7" t="n">
        <v>3.47</v>
      </c>
      <c r="H716" s="8" t="n">
        <v>26.41</v>
      </c>
      <c r="I716" s="8" t="n">
        <v>19.95</v>
      </c>
      <c r="J716" s="8" t="n">
        <v>31.91</v>
      </c>
      <c r="K716" s="8" t="n">
        <v>82.55</v>
      </c>
      <c r="L716" s="8" t="n">
        <v>98.34</v>
      </c>
      <c r="M716" s="8" t="n">
        <v>17.76</v>
      </c>
      <c r="N716" s="18" t="inlineStr">
        <is>
          <t>Type I – Tropical Monsoon (PAGASA)</t>
        </is>
      </c>
      <c r="O716" s="18" t="inlineStr">
        <is>
          <t>Dry (Cool)</t>
        </is>
      </c>
      <c r="P716" s="18" t="inlineStr">
        <is>
          <t>Silty Clay Loam</t>
        </is>
      </c>
      <c r="Q716" s="18" t="inlineStr">
        <is>
          <t>Flat / Lowland</t>
        </is>
      </c>
      <c r="R716" s="19" t="n">
        <v>30</v>
      </c>
      <c r="S716" s="18" t="inlineStr">
        <is>
          <t>—</t>
        </is>
      </c>
      <c r="T716" s="20" t="n">
        <v>266.28</v>
      </c>
      <c r="U716" s="20" t="n"/>
      <c r="V716" s="20" t="n"/>
      <c r="W716" s="20" t="n">
        <v>33.38</v>
      </c>
      <c r="X716" s="20" t="n"/>
      <c r="Y716" s="20" t="n"/>
      <c r="Z716" s="21" t="n"/>
      <c r="AA716" s="22" t="inlineStr">
        <is>
          <t>Direct Seeding (Furrow Method on Raised Beds)</t>
        </is>
      </c>
      <c r="AB716" s="22" t="inlineStr">
        <is>
          <t>Deep Tillage (25 cm): 1–2 plowings; form raised beds 20–25 cm high to prevent waterlogging</t>
        </is>
      </c>
      <c r="AC716" s="22" t="inlineStr">
        <is>
          <t>Furrow irrigation only (not flood); ensure bed drainage; drain excess after rain</t>
        </is>
      </c>
    </row>
    <row r="717" ht="21.75" customHeight="1" s="101">
      <c r="A717" s="23" t="inlineStr">
        <is>
          <t>Corn</t>
        </is>
      </c>
      <c r="B717" s="23" t="inlineStr">
        <is>
          <t>Dumayat</t>
        </is>
      </c>
      <c r="C717" s="23" t="inlineStr">
        <is>
          <t>March</t>
        </is>
      </c>
      <c r="D717" s="23" t="inlineStr">
        <is>
          <t>2022</t>
        </is>
      </c>
      <c r="E717" s="23" t="inlineStr">
        <is>
          <t>DS 2021-2022</t>
        </is>
      </c>
      <c r="F717" s="23" t="inlineStr">
        <is>
          <t>Harvest</t>
        </is>
      </c>
      <c r="G717" s="7" t="n">
        <v>2</v>
      </c>
      <c r="H717" s="8" t="n">
        <v>27.04</v>
      </c>
      <c r="I717" s="8" t="n">
        <v>19.32</v>
      </c>
      <c r="J717" s="8" t="n">
        <v>35.27</v>
      </c>
      <c r="K717" s="8" t="n">
        <v>75.42</v>
      </c>
      <c r="L717" s="8" t="n">
        <v>98.36</v>
      </c>
      <c r="M717" s="8" t="n">
        <v>22.13</v>
      </c>
      <c r="N717" s="23" t="inlineStr">
        <is>
          <t>Type I – Tropical Monsoon (PAGASA)</t>
        </is>
      </c>
      <c r="O717" s="23" t="inlineStr">
        <is>
          <t>Dry (Hot)</t>
        </is>
      </c>
      <c r="P717" s="23" t="inlineStr">
        <is>
          <t>Silty Clay Loam</t>
        </is>
      </c>
      <c r="Q717" s="23" t="inlineStr">
        <is>
          <t>Flat / Lowland</t>
        </is>
      </c>
      <c r="R717" s="24" t="n">
        <v>30</v>
      </c>
      <c r="S717" s="23" t="inlineStr">
        <is>
          <t>—</t>
        </is>
      </c>
      <c r="T717" s="25" t="n">
        <v>266.28</v>
      </c>
      <c r="U717" s="25" t="n"/>
      <c r="V717" s="25" t="n"/>
      <c r="W717" s="25" t="n"/>
      <c r="X717" s="25" t="n">
        <v>33.38</v>
      </c>
      <c r="Y717" s="25" t="n">
        <v>248.42</v>
      </c>
      <c r="Z717" s="26" t="n">
        <v>7.44</v>
      </c>
      <c r="AA717" s="17" t="inlineStr">
        <is>
          <t>Direct Seeding (Furrow Method on Raised Beds)</t>
        </is>
      </c>
      <c r="AB717" s="17" t="inlineStr">
        <is>
          <t>Deep Tillage (25 cm): 1–2 plowings; form raised beds 20–25 cm high to prevent waterlogging</t>
        </is>
      </c>
      <c r="AC717" s="17" t="inlineStr">
        <is>
          <t>Furrow irrigation only (not flood); ensure bed drainage; drain excess after rain</t>
        </is>
      </c>
    </row>
    <row r="718" ht="21.75" customHeight="1" s="101">
      <c r="A718" s="18" t="inlineStr">
        <is>
          <t>Corn</t>
        </is>
      </c>
      <c r="B718" s="18" t="inlineStr">
        <is>
          <t>Camanggaan</t>
        </is>
      </c>
      <c r="C718" s="18" t="inlineStr">
        <is>
          <t>November</t>
        </is>
      </c>
      <c r="D718" s="18" t="inlineStr">
        <is>
          <t>2021</t>
        </is>
      </c>
      <c r="E718" s="18" t="inlineStr">
        <is>
          <t>DS 2021-2022</t>
        </is>
      </c>
      <c r="F718" s="18" t="inlineStr">
        <is>
          <t>Planting</t>
        </is>
      </c>
      <c r="G718" s="7" t="n">
        <v>3.47</v>
      </c>
      <c r="H718" s="8" t="n">
        <v>26.41</v>
      </c>
      <c r="I718" s="8" t="n">
        <v>19.95</v>
      </c>
      <c r="J718" s="8" t="n">
        <v>31.91</v>
      </c>
      <c r="K718" s="8" t="n">
        <v>82.55</v>
      </c>
      <c r="L718" s="8" t="n">
        <v>98.34</v>
      </c>
      <c r="M718" s="8" t="n">
        <v>17.76</v>
      </c>
      <c r="N718" s="18" t="inlineStr">
        <is>
          <t>Type I – Tropical Monsoon (PAGASA)</t>
        </is>
      </c>
      <c r="O718" s="18" t="inlineStr">
        <is>
          <t>Dry (Cool)</t>
        </is>
      </c>
      <c r="P718" s="18" t="inlineStr">
        <is>
          <t>Sandy Loam</t>
        </is>
      </c>
      <c r="Q718" s="18" t="inlineStr">
        <is>
          <t>Flat / Lowland</t>
        </is>
      </c>
      <c r="R718" s="19" t="n">
        <v>30</v>
      </c>
      <c r="S718" s="18" t="inlineStr">
        <is>
          <t>—</t>
        </is>
      </c>
      <c r="T718" s="20" t="n">
        <v>244.44</v>
      </c>
      <c r="U718" s="20" t="n"/>
      <c r="V718" s="20" t="n"/>
      <c r="W718" s="20" t="n">
        <v>24.71</v>
      </c>
      <c r="X718" s="20" t="n"/>
      <c r="Y718" s="20" t="n"/>
      <c r="Z718" s="21" t="n"/>
      <c r="AA718" s="22" t="inlineStr">
        <is>
          <t>Direct Seeding (Hill Planting / Furrow Method)</t>
        </is>
      </c>
      <c r="AB718" s="22" t="inlineStr">
        <is>
          <t>Conventional Tillage: 1 deep plow (20–25 cm) + 1 harrowing; good tilth easily achieved</t>
        </is>
      </c>
      <c r="AC718" s="22" t="inlineStr">
        <is>
          <t>Furrow or sprinkler irrigation; AWD or weekly irrigation; good drainage natural</t>
        </is>
      </c>
    </row>
    <row r="719" ht="21.75" customHeight="1" s="101">
      <c r="A719" s="23" t="inlineStr">
        <is>
          <t>Corn</t>
        </is>
      </c>
      <c r="B719" s="23" t="inlineStr">
        <is>
          <t>Camanggaan</t>
        </is>
      </c>
      <c r="C719" s="23" t="inlineStr">
        <is>
          <t>March</t>
        </is>
      </c>
      <c r="D719" s="23" t="inlineStr">
        <is>
          <t>2022</t>
        </is>
      </c>
      <c r="E719" s="23" t="inlineStr">
        <is>
          <t>DS 2021-2022</t>
        </is>
      </c>
      <c r="F719" s="23" t="inlineStr">
        <is>
          <t>Harvest</t>
        </is>
      </c>
      <c r="G719" s="7" t="n">
        <v>2</v>
      </c>
      <c r="H719" s="8" t="n">
        <v>27.04</v>
      </c>
      <c r="I719" s="8" t="n">
        <v>19.32</v>
      </c>
      <c r="J719" s="8" t="n">
        <v>35.27</v>
      </c>
      <c r="K719" s="8" t="n">
        <v>75.42</v>
      </c>
      <c r="L719" s="8" t="n">
        <v>98.36</v>
      </c>
      <c r="M719" s="8" t="n">
        <v>22.13</v>
      </c>
      <c r="N719" s="23" t="inlineStr">
        <is>
          <t>Type I – Tropical Monsoon (PAGASA)</t>
        </is>
      </c>
      <c r="O719" s="23" t="inlineStr">
        <is>
          <t>Dry (Hot)</t>
        </is>
      </c>
      <c r="P719" s="23" t="inlineStr">
        <is>
          <t>Sandy Loam</t>
        </is>
      </c>
      <c r="Q719" s="23" t="inlineStr">
        <is>
          <t>Flat / Lowland</t>
        </is>
      </c>
      <c r="R719" s="24" t="n">
        <v>30</v>
      </c>
      <c r="S719" s="23" t="inlineStr">
        <is>
          <t>—</t>
        </is>
      </c>
      <c r="T719" s="25" t="n">
        <v>244.44</v>
      </c>
      <c r="U719" s="25" t="n"/>
      <c r="V719" s="25" t="n"/>
      <c r="W719" s="25" t="n"/>
      <c r="X719" s="25" t="n">
        <v>24.71</v>
      </c>
      <c r="Y719" s="25" t="n">
        <v>183.88</v>
      </c>
      <c r="Z719" s="26" t="n">
        <v>7.44</v>
      </c>
      <c r="AA719" s="17" t="inlineStr">
        <is>
          <t>Direct Seeding (Hill Planting / Furrow Method)</t>
        </is>
      </c>
      <c r="AB719" s="17" t="inlineStr">
        <is>
          <t>Conventional Tillage: 1 deep plow (20–25 cm) + 1 harrowing; good tilth easily achieved</t>
        </is>
      </c>
      <c r="AC719" s="17" t="inlineStr">
        <is>
          <t>Furrow or sprinkler irrigation; AWD or weekly irrigation; good drainage natural</t>
        </is>
      </c>
    </row>
    <row r="720" ht="21.75" customHeight="1" s="101">
      <c r="A720" s="18" t="inlineStr">
        <is>
          <t>Corn</t>
        </is>
      </c>
      <c r="B720" s="18" t="inlineStr">
        <is>
          <t>Vacante</t>
        </is>
      </c>
      <c r="C720" s="18" t="inlineStr">
        <is>
          <t>November</t>
        </is>
      </c>
      <c r="D720" s="18" t="inlineStr">
        <is>
          <t>2021</t>
        </is>
      </c>
      <c r="E720" s="18" t="inlineStr">
        <is>
          <t>DS 2021-2022</t>
        </is>
      </c>
      <c r="F720" s="18" t="inlineStr">
        <is>
          <t>Planting</t>
        </is>
      </c>
      <c r="G720" s="7" t="n">
        <v>3.47</v>
      </c>
      <c r="H720" s="8" t="n">
        <v>26.41</v>
      </c>
      <c r="I720" s="8" t="n">
        <v>19.95</v>
      </c>
      <c r="J720" s="8" t="n">
        <v>31.91</v>
      </c>
      <c r="K720" s="8" t="n">
        <v>82.55</v>
      </c>
      <c r="L720" s="8" t="n">
        <v>98.34</v>
      </c>
      <c r="M720" s="8" t="n">
        <v>17.76</v>
      </c>
      <c r="N720" s="18" t="inlineStr">
        <is>
          <t>Type I – Tropical Monsoon (PAGASA)</t>
        </is>
      </c>
      <c r="O720" s="18" t="inlineStr">
        <is>
          <t>Dry (Cool)</t>
        </is>
      </c>
      <c r="P720" s="18" t="inlineStr">
        <is>
          <t>Silty Clay Loam</t>
        </is>
      </c>
      <c r="Q720" s="18" t="inlineStr">
        <is>
          <t>Flat / Lowland</t>
        </is>
      </c>
      <c r="R720" s="19" t="n">
        <v>30</v>
      </c>
      <c r="S720" s="18" t="inlineStr">
        <is>
          <t>Aloragat River</t>
        </is>
      </c>
      <c r="T720" s="20" t="n">
        <v>484.68</v>
      </c>
      <c r="U720" s="20" t="n"/>
      <c r="V720" s="20" t="n"/>
      <c r="W720" s="20" t="n">
        <v>47.66</v>
      </c>
      <c r="X720" s="20" t="n"/>
      <c r="Y720" s="20" t="n"/>
      <c r="Z720" s="21" t="n"/>
      <c r="AA720" s="22" t="inlineStr">
        <is>
          <t>Direct Seeding (Furrow Method on Raised Beds)</t>
        </is>
      </c>
      <c r="AB720" s="22" t="inlineStr">
        <is>
          <t>Deep Tillage (25 cm): 1–2 plowings; form raised beds 20–25 cm high to prevent waterlogging</t>
        </is>
      </c>
      <c r="AC720" s="22" t="inlineStr">
        <is>
          <t>Furrow irrigation only (not flood); ensure bed drainage; drain excess after rain</t>
        </is>
      </c>
    </row>
    <row r="721" ht="21.75" customHeight="1" s="101">
      <c r="A721" s="23" t="inlineStr">
        <is>
          <t>Corn</t>
        </is>
      </c>
      <c r="B721" s="23" t="inlineStr">
        <is>
          <t>Vacante</t>
        </is>
      </c>
      <c r="C721" s="23" t="inlineStr">
        <is>
          <t>March</t>
        </is>
      </c>
      <c r="D721" s="23" t="inlineStr">
        <is>
          <t>2022</t>
        </is>
      </c>
      <c r="E721" s="23" t="inlineStr">
        <is>
          <t>DS 2021-2022</t>
        </is>
      </c>
      <c r="F721" s="23" t="inlineStr">
        <is>
          <t>Harvest</t>
        </is>
      </c>
      <c r="G721" s="7" t="n">
        <v>2</v>
      </c>
      <c r="H721" s="8" t="n">
        <v>27.04</v>
      </c>
      <c r="I721" s="8" t="n">
        <v>19.32</v>
      </c>
      <c r="J721" s="8" t="n">
        <v>35.27</v>
      </c>
      <c r="K721" s="8" t="n">
        <v>75.42</v>
      </c>
      <c r="L721" s="8" t="n">
        <v>98.36</v>
      </c>
      <c r="M721" s="8" t="n">
        <v>22.13</v>
      </c>
      <c r="N721" s="23" t="inlineStr">
        <is>
          <t>Type I – Tropical Monsoon (PAGASA)</t>
        </is>
      </c>
      <c r="O721" s="23" t="inlineStr">
        <is>
          <t>Dry (Hot)</t>
        </is>
      </c>
      <c r="P721" s="23" t="inlineStr">
        <is>
          <t>Silty Clay Loam</t>
        </is>
      </c>
      <c r="Q721" s="23" t="inlineStr">
        <is>
          <t>Flat / Lowland</t>
        </is>
      </c>
      <c r="R721" s="24" t="n">
        <v>30</v>
      </c>
      <c r="S721" s="23" t="inlineStr">
        <is>
          <t>Aloragat River</t>
        </is>
      </c>
      <c r="T721" s="25" t="n">
        <v>484.68</v>
      </c>
      <c r="U721" s="25" t="n"/>
      <c r="V721" s="25" t="n"/>
      <c r="W721" s="25" t="n"/>
      <c r="X721" s="25" t="n">
        <v>47.66</v>
      </c>
      <c r="Y721" s="25" t="n">
        <v>354.75</v>
      </c>
      <c r="Z721" s="26" t="n">
        <v>7.44</v>
      </c>
      <c r="AA721" s="17" t="inlineStr">
        <is>
          <t>Direct Seeding (Furrow Method on Raised Beds)</t>
        </is>
      </c>
      <c r="AB721" s="17" t="inlineStr">
        <is>
          <t>Deep Tillage (25 cm): 1–2 plowings; form raised beds 20–25 cm high to prevent waterlogging</t>
        </is>
      </c>
      <c r="AC721" s="17" t="inlineStr">
        <is>
          <t>Furrow irrigation only (not flood); ensure bed drainage; drain excess after rain</t>
        </is>
      </c>
    </row>
    <row r="722" ht="21.75" customHeight="1" s="101">
      <c r="A722" s="18" t="inlineStr">
        <is>
          <t>Corn</t>
        </is>
      </c>
      <c r="B722" s="18" t="inlineStr">
        <is>
          <t>Sta. Catalina</t>
        </is>
      </c>
      <c r="C722" s="18" t="inlineStr">
        <is>
          <t>November</t>
        </is>
      </c>
      <c r="D722" s="18" t="inlineStr">
        <is>
          <t>2021</t>
        </is>
      </c>
      <c r="E722" s="18" t="inlineStr">
        <is>
          <t>DS 2021-2022</t>
        </is>
      </c>
      <c r="F722" s="18" t="inlineStr">
        <is>
          <t>Planting</t>
        </is>
      </c>
      <c r="G722" s="7" t="n">
        <v>3.47</v>
      </c>
      <c r="H722" s="8" t="n">
        <v>26.41</v>
      </c>
      <c r="I722" s="8" t="n">
        <v>19.95</v>
      </c>
      <c r="J722" s="8" t="n">
        <v>31.91</v>
      </c>
      <c r="K722" s="8" t="n">
        <v>82.55</v>
      </c>
      <c r="L722" s="8" t="n">
        <v>98.34</v>
      </c>
      <c r="M722" s="8" t="n">
        <v>17.76</v>
      </c>
      <c r="N722" s="18" t="inlineStr">
        <is>
          <t>Type I – Tropical Monsoon (PAGASA)</t>
        </is>
      </c>
      <c r="O722" s="18" t="inlineStr">
        <is>
          <t>Dry (Cool)</t>
        </is>
      </c>
      <c r="P722" s="18" t="inlineStr">
        <is>
          <t>Fine Sand / Sandy Loam</t>
        </is>
      </c>
      <c r="Q722" s="18" t="inlineStr">
        <is>
          <t>Moderately Sloping / Highland</t>
        </is>
      </c>
      <c r="R722" s="19" t="n">
        <v>90</v>
      </c>
      <c r="S722" s="18" t="inlineStr">
        <is>
          <t>—</t>
        </is>
      </c>
      <c r="T722" s="20" t="n">
        <v>709.8</v>
      </c>
      <c r="U722" s="20" t="n"/>
      <c r="V722" s="20" t="n"/>
      <c r="W722" s="20" t="n">
        <v>81.09999999999999</v>
      </c>
      <c r="X722" s="20" t="n"/>
      <c r="Y722" s="20" t="n"/>
      <c r="Z722" s="21" t="n"/>
      <c r="AA722" s="22" t="inlineStr">
        <is>
          <t>Direct Seeding (Hills or Furrow Method)</t>
        </is>
      </c>
      <c r="AB722" s="22" t="inlineStr">
        <is>
          <t>Minimum Tillage; deep ripping to break hardpan; avoid over-disturbance</t>
        </is>
      </c>
      <c r="AC722" s="22" t="inlineStr">
        <is>
          <t>Furrow irrigation; frequent light watering; mulch to retain soil moisture</t>
        </is>
      </c>
    </row>
    <row r="723" ht="21.75" customHeight="1" s="101">
      <c r="A723" s="23" t="inlineStr">
        <is>
          <t>Corn</t>
        </is>
      </c>
      <c r="B723" s="23" t="inlineStr">
        <is>
          <t>Sta. Catalina</t>
        </is>
      </c>
      <c r="C723" s="23" t="inlineStr">
        <is>
          <t>March</t>
        </is>
      </c>
      <c r="D723" s="23" t="inlineStr">
        <is>
          <t>2022</t>
        </is>
      </c>
      <c r="E723" s="23" t="inlineStr">
        <is>
          <t>DS 2021-2022</t>
        </is>
      </c>
      <c r="F723" s="23" t="inlineStr">
        <is>
          <t>Harvest</t>
        </is>
      </c>
      <c r="G723" s="7" t="n">
        <v>2</v>
      </c>
      <c r="H723" s="8" t="n">
        <v>27.04</v>
      </c>
      <c r="I723" s="8" t="n">
        <v>19.32</v>
      </c>
      <c r="J723" s="8" t="n">
        <v>35.27</v>
      </c>
      <c r="K723" s="8" t="n">
        <v>75.42</v>
      </c>
      <c r="L723" s="8" t="n">
        <v>98.36</v>
      </c>
      <c r="M723" s="8" t="n">
        <v>22.13</v>
      </c>
      <c r="N723" s="23" t="inlineStr">
        <is>
          <t>Type I – Tropical Monsoon (PAGASA)</t>
        </is>
      </c>
      <c r="O723" s="23" t="inlineStr">
        <is>
          <t>Dry (Hot)</t>
        </is>
      </c>
      <c r="P723" s="23" t="inlineStr">
        <is>
          <t>Fine Sand / Sandy Loam</t>
        </is>
      </c>
      <c r="Q723" s="23" t="inlineStr">
        <is>
          <t>Moderately Sloping / Highland</t>
        </is>
      </c>
      <c r="R723" s="24" t="n">
        <v>90</v>
      </c>
      <c r="S723" s="23" t="inlineStr">
        <is>
          <t>—</t>
        </is>
      </c>
      <c r="T723" s="25" t="n">
        <v>709.8</v>
      </c>
      <c r="U723" s="25" t="n"/>
      <c r="V723" s="25" t="n"/>
      <c r="W723" s="25" t="n"/>
      <c r="X723" s="25" t="n">
        <v>81.09999999999999</v>
      </c>
      <c r="Y723" s="25" t="n">
        <v>603.61</v>
      </c>
      <c r="Z723" s="26" t="n">
        <v>7.44</v>
      </c>
      <c r="AA723" s="17" t="inlineStr">
        <is>
          <t>Direct Seeding (Hills or Furrow Method)</t>
        </is>
      </c>
      <c r="AB723" s="17" t="inlineStr">
        <is>
          <t>Minimum Tillage; deep ripping to break hardpan; avoid over-disturbance</t>
        </is>
      </c>
      <c r="AC723" s="17" t="inlineStr">
        <is>
          <t>Furrow irrigation; frequent light watering; mulch to retain soil moisture</t>
        </is>
      </c>
    </row>
    <row r="724" ht="21.75" customHeight="1" s="101">
      <c r="A724" s="18" t="inlineStr">
        <is>
          <t>Corn</t>
        </is>
      </c>
      <c r="B724" s="18" t="inlineStr">
        <is>
          <t>Moreno</t>
        </is>
      </c>
      <c r="C724" s="18" t="inlineStr">
        <is>
          <t>November</t>
        </is>
      </c>
      <c r="D724" s="18" t="inlineStr">
        <is>
          <t>2021</t>
        </is>
      </c>
      <c r="E724" s="18" t="inlineStr">
        <is>
          <t>DS 2021-2022</t>
        </is>
      </c>
      <c r="F724" s="18" t="inlineStr">
        <is>
          <t>Planting</t>
        </is>
      </c>
      <c r="G724" s="7" t="n">
        <v>3.47</v>
      </c>
      <c r="H724" s="8" t="n">
        <v>26.41</v>
      </c>
      <c r="I724" s="8" t="n">
        <v>19.95</v>
      </c>
      <c r="J724" s="8" t="n">
        <v>31.91</v>
      </c>
      <c r="K724" s="8" t="n">
        <v>82.55</v>
      </c>
      <c r="L724" s="8" t="n">
        <v>98.34</v>
      </c>
      <c r="M724" s="8" t="n">
        <v>17.76</v>
      </c>
      <c r="N724" s="18" t="inlineStr">
        <is>
          <t>Type I – Tropical Monsoon (PAGASA)</t>
        </is>
      </c>
      <c r="O724" s="18" t="inlineStr">
        <is>
          <t>Dry (Cool)</t>
        </is>
      </c>
      <c r="P724" s="18" t="inlineStr">
        <is>
          <t>Sandy Loam</t>
        </is>
      </c>
      <c r="Q724" s="18" t="inlineStr">
        <is>
          <t>Moderately Sloping / Highland</t>
        </is>
      </c>
      <c r="R724" s="19" t="n">
        <v>90</v>
      </c>
      <c r="S724" s="18" t="inlineStr">
        <is>
          <t>Alibeng River</t>
        </is>
      </c>
      <c r="T724" s="20" t="n">
        <v>641.76</v>
      </c>
      <c r="U724" s="20" t="n"/>
      <c r="V724" s="20" t="n"/>
      <c r="W724" s="20" t="n">
        <v>58.1</v>
      </c>
      <c r="X724" s="20" t="n"/>
      <c r="Y724" s="20" t="n"/>
      <c r="Z724" s="21" t="n"/>
      <c r="AA724" s="22" t="inlineStr">
        <is>
          <t>Direct Seeding (Hill Planting / Furrow Method)</t>
        </is>
      </c>
      <c r="AB724" s="22" t="inlineStr">
        <is>
          <t>Conventional Tillage: 1 deep plow (20–25 cm) + 1 harrowing; good tilth easily achieved</t>
        </is>
      </c>
      <c r="AC724" s="22" t="inlineStr">
        <is>
          <t>Furrow or sprinkler irrigation; AWD or weekly irrigation; good drainage natural</t>
        </is>
      </c>
    </row>
    <row r="725" ht="21.75" customHeight="1" s="101">
      <c r="A725" s="23" t="inlineStr">
        <is>
          <t>Corn</t>
        </is>
      </c>
      <c r="B725" s="23" t="inlineStr">
        <is>
          <t>Moreno</t>
        </is>
      </c>
      <c r="C725" s="23" t="inlineStr">
        <is>
          <t>March</t>
        </is>
      </c>
      <c r="D725" s="23" t="inlineStr">
        <is>
          <t>2022</t>
        </is>
      </c>
      <c r="E725" s="23" t="inlineStr">
        <is>
          <t>DS 2021-2022</t>
        </is>
      </c>
      <c r="F725" s="23" t="inlineStr">
        <is>
          <t>Harvest</t>
        </is>
      </c>
      <c r="G725" s="7" t="n">
        <v>2</v>
      </c>
      <c r="H725" s="8" t="n">
        <v>27.04</v>
      </c>
      <c r="I725" s="8" t="n">
        <v>19.32</v>
      </c>
      <c r="J725" s="8" t="n">
        <v>35.27</v>
      </c>
      <c r="K725" s="8" t="n">
        <v>75.42</v>
      </c>
      <c r="L725" s="8" t="n">
        <v>98.36</v>
      </c>
      <c r="M725" s="8" t="n">
        <v>22.13</v>
      </c>
      <c r="N725" s="23" t="inlineStr">
        <is>
          <t>Type I – Tropical Monsoon (PAGASA)</t>
        </is>
      </c>
      <c r="O725" s="23" t="inlineStr">
        <is>
          <t>Dry (Hot)</t>
        </is>
      </c>
      <c r="P725" s="23" t="inlineStr">
        <is>
          <t>Sandy Loam</t>
        </is>
      </c>
      <c r="Q725" s="23" t="inlineStr">
        <is>
          <t>Moderately Sloping / Highland</t>
        </is>
      </c>
      <c r="R725" s="24" t="n">
        <v>90</v>
      </c>
      <c r="S725" s="23" t="inlineStr">
        <is>
          <t>Alibeng River</t>
        </is>
      </c>
      <c r="T725" s="25" t="n">
        <v>641.76</v>
      </c>
      <c r="U725" s="25" t="n"/>
      <c r="V725" s="25" t="n"/>
      <c r="W725" s="25" t="n"/>
      <c r="X725" s="25" t="n">
        <v>58.1</v>
      </c>
      <c r="Y725" s="25" t="n">
        <v>432.42</v>
      </c>
      <c r="Z725" s="26" t="n">
        <v>7.44</v>
      </c>
      <c r="AA725" s="17" t="inlineStr">
        <is>
          <t>Direct Seeding (Hill Planting / Furrow Method)</t>
        </is>
      </c>
      <c r="AB725" s="17" t="inlineStr">
        <is>
          <t>Conventional Tillage: 1 deep plow (20–25 cm) + 1 harrowing; good tilth easily achieved</t>
        </is>
      </c>
      <c r="AC725" s="17" t="inlineStr">
        <is>
          <t>Furrow or sprinkler irrigation; AWD or weekly irrigation; good drainage natural</t>
        </is>
      </c>
    </row>
    <row r="726" ht="21.75" customHeight="1" s="101">
      <c r="A726" s="18" t="inlineStr">
        <is>
          <t>Corn</t>
        </is>
      </c>
      <c r="B726" s="18" t="inlineStr">
        <is>
          <t>Cili</t>
        </is>
      </c>
      <c r="C726" s="18" t="inlineStr">
        <is>
          <t>November</t>
        </is>
      </c>
      <c r="D726" s="18" t="inlineStr">
        <is>
          <t>2021</t>
        </is>
      </c>
      <c r="E726" s="18" t="inlineStr">
        <is>
          <t>DS 2021-2022</t>
        </is>
      </c>
      <c r="F726" s="18" t="inlineStr">
        <is>
          <t>Planting</t>
        </is>
      </c>
      <c r="G726" s="7" t="n">
        <v>3.47</v>
      </c>
      <c r="H726" s="8" t="n">
        <v>26.41</v>
      </c>
      <c r="I726" s="8" t="n">
        <v>19.95</v>
      </c>
      <c r="J726" s="8" t="n">
        <v>31.91</v>
      </c>
      <c r="K726" s="8" t="n">
        <v>82.55</v>
      </c>
      <c r="L726" s="8" t="n">
        <v>98.34</v>
      </c>
      <c r="M726" s="8" t="n">
        <v>17.76</v>
      </c>
      <c r="N726" s="18" t="inlineStr">
        <is>
          <t>Type I – Tropical Monsoon (PAGASA)</t>
        </is>
      </c>
      <c r="O726" s="18" t="inlineStr">
        <is>
          <t>Dry (Cool)</t>
        </is>
      </c>
      <c r="P726" s="18" t="inlineStr">
        <is>
          <t>Silty Clay Loam</t>
        </is>
      </c>
      <c r="Q726" s="18" t="inlineStr">
        <is>
          <t>Flat / Lowland</t>
        </is>
      </c>
      <c r="R726" s="19" t="n">
        <v>30</v>
      </c>
      <c r="S726" s="18" t="inlineStr">
        <is>
          <t>Alibeng River</t>
        </is>
      </c>
      <c r="T726" s="20" t="n">
        <v>264.6</v>
      </c>
      <c r="U726" s="20" t="n"/>
      <c r="V726" s="20" t="n"/>
      <c r="W726" s="20" t="n">
        <v>54.24</v>
      </c>
      <c r="X726" s="20" t="n"/>
      <c r="Y726" s="20" t="n"/>
      <c r="Z726" s="21" t="n"/>
      <c r="AA726" s="22" t="inlineStr">
        <is>
          <t>Direct Seeding (Furrow Method on Raised Beds)</t>
        </is>
      </c>
      <c r="AB726" s="22" t="inlineStr">
        <is>
          <t>Deep Tillage (25 cm): 1–2 plowings; form raised beds 20–25 cm high to prevent waterlogging</t>
        </is>
      </c>
      <c r="AC726" s="22" t="inlineStr">
        <is>
          <t>Furrow irrigation only (not flood); ensure bed drainage; drain excess after rain</t>
        </is>
      </c>
    </row>
    <row r="727" ht="21.75" customHeight="1" s="101">
      <c r="A727" s="23" t="inlineStr">
        <is>
          <t>Corn</t>
        </is>
      </c>
      <c r="B727" s="23" t="inlineStr">
        <is>
          <t>Cili</t>
        </is>
      </c>
      <c r="C727" s="23" t="inlineStr">
        <is>
          <t>March</t>
        </is>
      </c>
      <c r="D727" s="23" t="inlineStr">
        <is>
          <t>2022</t>
        </is>
      </c>
      <c r="E727" s="23" t="inlineStr">
        <is>
          <t>DS 2021-2022</t>
        </is>
      </c>
      <c r="F727" s="23" t="inlineStr">
        <is>
          <t>Harvest</t>
        </is>
      </c>
      <c r="G727" s="7" t="n">
        <v>2</v>
      </c>
      <c r="H727" s="8" t="n">
        <v>27.04</v>
      </c>
      <c r="I727" s="8" t="n">
        <v>19.32</v>
      </c>
      <c r="J727" s="8" t="n">
        <v>35.27</v>
      </c>
      <c r="K727" s="8" t="n">
        <v>75.42</v>
      </c>
      <c r="L727" s="8" t="n">
        <v>98.36</v>
      </c>
      <c r="M727" s="8" t="n">
        <v>22.13</v>
      </c>
      <c r="N727" s="23" t="inlineStr">
        <is>
          <t>Type I – Tropical Monsoon (PAGASA)</t>
        </is>
      </c>
      <c r="O727" s="23" t="inlineStr">
        <is>
          <t>Dry (Hot)</t>
        </is>
      </c>
      <c r="P727" s="23" t="inlineStr">
        <is>
          <t>Silty Clay Loam</t>
        </is>
      </c>
      <c r="Q727" s="23" t="inlineStr">
        <is>
          <t>Flat / Lowland</t>
        </is>
      </c>
      <c r="R727" s="24" t="n">
        <v>30</v>
      </c>
      <c r="S727" s="23" t="inlineStr">
        <is>
          <t>Alibeng River</t>
        </is>
      </c>
      <c r="T727" s="25" t="n">
        <v>264.6</v>
      </c>
      <c r="U727" s="25" t="n"/>
      <c r="V727" s="25" t="n"/>
      <c r="W727" s="25" t="n"/>
      <c r="X727" s="25" t="n">
        <v>54.24</v>
      </c>
      <c r="Y727" s="25" t="n">
        <v>403.73</v>
      </c>
      <c r="Z727" s="26" t="n">
        <v>7.44</v>
      </c>
      <c r="AA727" s="17" t="inlineStr">
        <is>
          <t>Direct Seeding (Furrow Method on Raised Beds)</t>
        </is>
      </c>
      <c r="AB727" s="17" t="inlineStr">
        <is>
          <t>Deep Tillage (25 cm): 1–2 plowings; form raised beds 20–25 cm high to prevent waterlogging</t>
        </is>
      </c>
      <c r="AC727" s="17" t="inlineStr">
        <is>
          <t>Furrow irrigation only (not flood); ensure bed drainage; drain excess after rain</t>
        </is>
      </c>
    </row>
    <row r="728" ht="21.75" customHeight="1" s="101">
      <c r="A728" s="18" t="inlineStr">
        <is>
          <t>Corn</t>
        </is>
      </c>
      <c r="B728" s="18" t="inlineStr">
        <is>
          <t>Linmansangan</t>
        </is>
      </c>
      <c r="C728" s="18" t="inlineStr">
        <is>
          <t>November</t>
        </is>
      </c>
      <c r="D728" s="18" t="inlineStr">
        <is>
          <t>2021</t>
        </is>
      </c>
      <c r="E728" s="18" t="inlineStr">
        <is>
          <t>DS 2021-2022</t>
        </is>
      </c>
      <c r="F728" s="18" t="inlineStr">
        <is>
          <t>Planting</t>
        </is>
      </c>
      <c r="G728" s="7" t="n">
        <v>3.47</v>
      </c>
      <c r="H728" s="8" t="n">
        <v>26.41</v>
      </c>
      <c r="I728" s="8" t="n">
        <v>19.95</v>
      </c>
      <c r="J728" s="8" t="n">
        <v>31.91</v>
      </c>
      <c r="K728" s="8" t="n">
        <v>82.55</v>
      </c>
      <c r="L728" s="8" t="n">
        <v>98.34</v>
      </c>
      <c r="M728" s="8" t="n">
        <v>17.76</v>
      </c>
      <c r="N728" s="18" t="inlineStr">
        <is>
          <t>Type I – Tropical Monsoon (PAGASA)</t>
        </is>
      </c>
      <c r="O728" s="18" t="inlineStr">
        <is>
          <t>Dry (Cool)</t>
        </is>
      </c>
      <c r="P728" s="18" t="inlineStr">
        <is>
          <t>Silty Clay Loam</t>
        </is>
      </c>
      <c r="Q728" s="18" t="inlineStr">
        <is>
          <t>Flat / Lowland</t>
        </is>
      </c>
      <c r="R728" s="19" t="n">
        <v>30</v>
      </c>
      <c r="S728" s="18" t="inlineStr">
        <is>
          <t>—</t>
        </is>
      </c>
      <c r="T728" s="20" t="n">
        <v>492.24</v>
      </c>
      <c r="U728" s="20" t="n"/>
      <c r="V728" s="20" t="n"/>
      <c r="W728" s="20" t="n">
        <v>81.47</v>
      </c>
      <c r="X728" s="20" t="n"/>
      <c r="Y728" s="20" t="n"/>
      <c r="Z728" s="21" t="n"/>
      <c r="AA728" s="22" t="inlineStr">
        <is>
          <t>Direct Seeding (Furrow Method on Raised Beds)</t>
        </is>
      </c>
      <c r="AB728" s="22" t="inlineStr">
        <is>
          <t>Deep Tillage (25 cm): 1–2 plowings; form raised beds 20–25 cm high to prevent waterlogging</t>
        </is>
      </c>
      <c r="AC728" s="22" t="inlineStr">
        <is>
          <t>Furrow irrigation only (not flood); ensure bed drainage; drain excess after rain</t>
        </is>
      </c>
    </row>
    <row r="729" ht="21.75" customHeight="1" s="101">
      <c r="A729" s="23" t="inlineStr">
        <is>
          <t>Corn</t>
        </is>
      </c>
      <c r="B729" s="23" t="inlineStr">
        <is>
          <t>Linmansangan</t>
        </is>
      </c>
      <c r="C729" s="23" t="inlineStr">
        <is>
          <t>March</t>
        </is>
      </c>
      <c r="D729" s="23" t="inlineStr">
        <is>
          <t>2022</t>
        </is>
      </c>
      <c r="E729" s="23" t="inlineStr">
        <is>
          <t>DS 2021-2022</t>
        </is>
      </c>
      <c r="F729" s="23" t="inlineStr">
        <is>
          <t>Harvest</t>
        </is>
      </c>
      <c r="G729" s="7" t="n">
        <v>2</v>
      </c>
      <c r="H729" s="8" t="n">
        <v>27.04</v>
      </c>
      <c r="I729" s="8" t="n">
        <v>19.32</v>
      </c>
      <c r="J729" s="8" t="n">
        <v>35.27</v>
      </c>
      <c r="K729" s="8" t="n">
        <v>75.42</v>
      </c>
      <c r="L729" s="8" t="n">
        <v>98.36</v>
      </c>
      <c r="M729" s="8" t="n">
        <v>22.13</v>
      </c>
      <c r="N729" s="23" t="inlineStr">
        <is>
          <t>Type I – Tropical Monsoon (PAGASA)</t>
        </is>
      </c>
      <c r="O729" s="23" t="inlineStr">
        <is>
          <t>Dry (Hot)</t>
        </is>
      </c>
      <c r="P729" s="23" t="inlineStr">
        <is>
          <t>Silty Clay Loam</t>
        </is>
      </c>
      <c r="Q729" s="23" t="inlineStr">
        <is>
          <t>Flat / Lowland</t>
        </is>
      </c>
      <c r="R729" s="24" t="n">
        <v>30</v>
      </c>
      <c r="S729" s="23" t="inlineStr">
        <is>
          <t>—</t>
        </is>
      </c>
      <c r="T729" s="25" t="n">
        <v>492.24</v>
      </c>
      <c r="U729" s="25" t="n"/>
      <c r="V729" s="25" t="n"/>
      <c r="W729" s="25" t="n"/>
      <c r="X729" s="25" t="n">
        <v>81.47</v>
      </c>
      <c r="Y729" s="25" t="n">
        <v>606.36</v>
      </c>
      <c r="Z729" s="26" t="n">
        <v>7.44</v>
      </c>
      <c r="AA729" s="17" t="inlineStr">
        <is>
          <t>Direct Seeding (Furrow Method on Raised Beds)</t>
        </is>
      </c>
      <c r="AB729" s="17" t="inlineStr">
        <is>
          <t>Deep Tillage (25 cm): 1–2 plowings; form raised beds 20–25 cm high to prevent waterlogging</t>
        </is>
      </c>
      <c r="AC729" s="17" t="inlineStr">
        <is>
          <t>Furrow irrigation only (not flood); ensure bed drainage; drain excess after rain</t>
        </is>
      </c>
    </row>
    <row r="730" ht="21.75" customHeight="1" s="101">
      <c r="A730" s="18" t="inlineStr">
        <is>
          <t>Corn</t>
        </is>
      </c>
      <c r="B730" s="18" t="inlineStr">
        <is>
          <t>Sumabnit</t>
        </is>
      </c>
      <c r="C730" s="18" t="inlineStr">
        <is>
          <t>November</t>
        </is>
      </c>
      <c r="D730" s="18" t="inlineStr">
        <is>
          <t>2021</t>
        </is>
      </c>
      <c r="E730" s="18" t="inlineStr">
        <is>
          <t>DS 2021-2022</t>
        </is>
      </c>
      <c r="F730" s="18" t="inlineStr">
        <is>
          <t>Planting</t>
        </is>
      </c>
      <c r="G730" s="7" t="n">
        <v>3.47</v>
      </c>
      <c r="H730" s="8" t="n">
        <v>26.41</v>
      </c>
      <c r="I730" s="8" t="n">
        <v>19.95</v>
      </c>
      <c r="J730" s="8" t="n">
        <v>31.91</v>
      </c>
      <c r="K730" s="8" t="n">
        <v>82.55</v>
      </c>
      <c r="L730" s="8" t="n">
        <v>98.34</v>
      </c>
      <c r="M730" s="8" t="n">
        <v>17.76</v>
      </c>
      <c r="N730" s="18" t="inlineStr">
        <is>
          <t>Type I – Tropical Monsoon (PAGASA)</t>
        </is>
      </c>
      <c r="O730" s="18" t="inlineStr">
        <is>
          <t>Dry (Cool)</t>
        </is>
      </c>
      <c r="P730" s="18" t="inlineStr">
        <is>
          <t>Silty Clay Loam / Fine Sandy Loam</t>
        </is>
      </c>
      <c r="Q730" s="18" t="inlineStr">
        <is>
          <t>Flat / Lowland</t>
        </is>
      </c>
      <c r="R730" s="19" t="n">
        <v>30</v>
      </c>
      <c r="S730" s="18" t="inlineStr">
        <is>
          <t>Tagamusing River</t>
        </is>
      </c>
      <c r="T730" s="20" t="n">
        <v>406.56</v>
      </c>
      <c r="U730" s="20" t="n"/>
      <c r="V730" s="20" t="n"/>
      <c r="W730" s="20" t="n">
        <v>73.36</v>
      </c>
      <c r="X730" s="20" t="n"/>
      <c r="Y730" s="20" t="n"/>
      <c r="Z730" s="21" t="n"/>
      <c r="AA730" s="22" t="inlineStr">
        <is>
          <t>Direct Seeding (Hills or Furrow Method)</t>
        </is>
      </c>
      <c r="AB730" s="22" t="inlineStr">
        <is>
          <t>Minimum Tillage; deep ripping to break hardpan; avoid over-disturbance</t>
        </is>
      </c>
      <c r="AC730" s="22" t="inlineStr">
        <is>
          <t>Furrow irrigation; frequent light watering; mulch to retain soil moisture</t>
        </is>
      </c>
    </row>
    <row r="731" ht="21.75" customHeight="1" s="101">
      <c r="A731" s="23" t="inlineStr">
        <is>
          <t>Corn</t>
        </is>
      </c>
      <c r="B731" s="23" t="inlineStr">
        <is>
          <t>Sumabnit</t>
        </is>
      </c>
      <c r="C731" s="23" t="inlineStr">
        <is>
          <t>March</t>
        </is>
      </c>
      <c r="D731" s="23" t="inlineStr">
        <is>
          <t>2022</t>
        </is>
      </c>
      <c r="E731" s="23" t="inlineStr">
        <is>
          <t>DS 2021-2022</t>
        </is>
      </c>
      <c r="F731" s="23" t="inlineStr">
        <is>
          <t>Harvest</t>
        </is>
      </c>
      <c r="G731" s="7" t="n">
        <v>2</v>
      </c>
      <c r="H731" s="8" t="n">
        <v>27.04</v>
      </c>
      <c r="I731" s="8" t="n">
        <v>19.32</v>
      </c>
      <c r="J731" s="8" t="n">
        <v>35.27</v>
      </c>
      <c r="K731" s="8" t="n">
        <v>75.42</v>
      </c>
      <c r="L731" s="8" t="n">
        <v>98.36</v>
      </c>
      <c r="M731" s="8" t="n">
        <v>22.13</v>
      </c>
      <c r="N731" s="23" t="inlineStr">
        <is>
          <t>Type I – Tropical Monsoon (PAGASA)</t>
        </is>
      </c>
      <c r="O731" s="23" t="inlineStr">
        <is>
          <t>Dry (Hot)</t>
        </is>
      </c>
      <c r="P731" s="23" t="inlineStr">
        <is>
          <t>Silty Clay Loam / Fine Sandy Loam</t>
        </is>
      </c>
      <c r="Q731" s="23" t="inlineStr">
        <is>
          <t>Flat / Lowland</t>
        </is>
      </c>
      <c r="R731" s="24" t="n">
        <v>30</v>
      </c>
      <c r="S731" s="23" t="inlineStr">
        <is>
          <t>Tagamusing River</t>
        </is>
      </c>
      <c r="T731" s="25" t="n">
        <v>406.56</v>
      </c>
      <c r="U731" s="25" t="n"/>
      <c r="V731" s="25" t="n"/>
      <c r="W731" s="25" t="n"/>
      <c r="X731" s="25" t="n">
        <v>73.36</v>
      </c>
      <c r="Y731" s="25" t="n">
        <v>545.98</v>
      </c>
      <c r="Z731" s="26" t="n">
        <v>7.44</v>
      </c>
      <c r="AA731" s="17" t="inlineStr">
        <is>
          <t>Direct Seeding (Hills or Furrow Method)</t>
        </is>
      </c>
      <c r="AB731" s="17" t="inlineStr">
        <is>
          <t>Minimum Tillage; deep ripping to break hardpan; avoid over-disturbance</t>
        </is>
      </c>
      <c r="AC731" s="17" t="inlineStr">
        <is>
          <t>Furrow irrigation; frequent light watering; mulch to retain soil moisture</t>
        </is>
      </c>
    </row>
    <row r="732" ht="21.75" customHeight="1" s="101">
      <c r="A732" s="18" t="inlineStr">
        <is>
          <t>Corn</t>
        </is>
      </c>
      <c r="B732" s="18" t="inlineStr">
        <is>
          <t>Capas</t>
        </is>
      </c>
      <c r="C732" s="18" t="inlineStr">
        <is>
          <t>November</t>
        </is>
      </c>
      <c r="D732" s="18" t="inlineStr">
        <is>
          <t>2021</t>
        </is>
      </c>
      <c r="E732" s="18" t="inlineStr">
        <is>
          <t>DS 2021-2022</t>
        </is>
      </c>
      <c r="F732" s="18" t="inlineStr">
        <is>
          <t>Planting</t>
        </is>
      </c>
      <c r="G732" s="7" t="n">
        <v>3.47</v>
      </c>
      <c r="H732" s="8" t="n">
        <v>26.41</v>
      </c>
      <c r="I732" s="8" t="n">
        <v>19.95</v>
      </c>
      <c r="J732" s="8" t="n">
        <v>31.91</v>
      </c>
      <c r="K732" s="8" t="n">
        <v>82.55</v>
      </c>
      <c r="L732" s="8" t="n">
        <v>98.34</v>
      </c>
      <c r="M732" s="8" t="n">
        <v>17.76</v>
      </c>
      <c r="N732" s="18" t="inlineStr">
        <is>
          <t>Type I – Tropical Monsoon (PAGASA)</t>
        </is>
      </c>
      <c r="O732" s="18" t="inlineStr">
        <is>
          <t>Dry (Cool)</t>
        </is>
      </c>
      <c r="P732" s="18" t="inlineStr">
        <is>
          <t>Sandy Loam</t>
        </is>
      </c>
      <c r="Q732" s="18" t="inlineStr">
        <is>
          <t>Flat / Lowland</t>
        </is>
      </c>
      <c r="R732" s="19" t="n">
        <v>30</v>
      </c>
      <c r="S732" s="18" t="inlineStr">
        <is>
          <t>—</t>
        </is>
      </c>
      <c r="T732" s="20" t="n">
        <v>377.16</v>
      </c>
      <c r="U732" s="20" t="n"/>
      <c r="V732" s="20" t="n"/>
      <c r="W732" s="20" t="n">
        <v>103.17</v>
      </c>
      <c r="X732" s="20" t="n"/>
      <c r="Y732" s="20" t="n"/>
      <c r="Z732" s="21" t="n"/>
      <c r="AA732" s="22" t="inlineStr">
        <is>
          <t>Direct Seeding (Hill Planting / Furrow Method)</t>
        </is>
      </c>
      <c r="AB732" s="22" t="inlineStr">
        <is>
          <t>Conventional Tillage: 1 deep plow (20–25 cm) + 1 harrowing; good tilth easily achieved</t>
        </is>
      </c>
      <c r="AC732" s="22" t="inlineStr">
        <is>
          <t>Furrow or sprinkler irrigation; AWD or weekly irrigation; good drainage natural</t>
        </is>
      </c>
    </row>
    <row r="733" ht="21.75" customHeight="1" s="101">
      <c r="A733" s="23" t="inlineStr">
        <is>
          <t>Corn</t>
        </is>
      </c>
      <c r="B733" s="23" t="inlineStr">
        <is>
          <t>Capas</t>
        </is>
      </c>
      <c r="C733" s="23" t="inlineStr">
        <is>
          <t>March</t>
        </is>
      </c>
      <c r="D733" s="23" t="inlineStr">
        <is>
          <t>2022</t>
        </is>
      </c>
      <c r="E733" s="23" t="inlineStr">
        <is>
          <t>DS 2021-2022</t>
        </is>
      </c>
      <c r="F733" s="23" t="inlineStr">
        <is>
          <t>Harvest</t>
        </is>
      </c>
      <c r="G733" s="7" t="n">
        <v>2</v>
      </c>
      <c r="H733" s="8" t="n">
        <v>27.04</v>
      </c>
      <c r="I733" s="8" t="n">
        <v>19.32</v>
      </c>
      <c r="J733" s="8" t="n">
        <v>35.27</v>
      </c>
      <c r="K733" s="8" t="n">
        <v>75.42</v>
      </c>
      <c r="L733" s="8" t="n">
        <v>98.36</v>
      </c>
      <c r="M733" s="8" t="n">
        <v>22.13</v>
      </c>
      <c r="N733" s="23" t="inlineStr">
        <is>
          <t>Type I – Tropical Monsoon (PAGASA)</t>
        </is>
      </c>
      <c r="O733" s="23" t="inlineStr">
        <is>
          <t>Dry (Hot)</t>
        </is>
      </c>
      <c r="P733" s="23" t="inlineStr">
        <is>
          <t>Sandy Loam</t>
        </is>
      </c>
      <c r="Q733" s="23" t="inlineStr">
        <is>
          <t>Flat / Lowland</t>
        </is>
      </c>
      <c r="R733" s="24" t="n">
        <v>30</v>
      </c>
      <c r="S733" s="23" t="inlineStr">
        <is>
          <t>—</t>
        </is>
      </c>
      <c r="T733" s="25" t="n">
        <v>377.16</v>
      </c>
      <c r="U733" s="25" t="n"/>
      <c r="V733" s="25" t="n"/>
      <c r="W733" s="25" t="n"/>
      <c r="X733" s="25" t="n">
        <v>103.17</v>
      </c>
      <c r="Y733" s="25" t="n">
        <v>767.86</v>
      </c>
      <c r="Z733" s="26" t="n">
        <v>7.44</v>
      </c>
      <c r="AA733" s="17" t="inlineStr">
        <is>
          <t>Direct Seeding (Hill Planting / Furrow Method)</t>
        </is>
      </c>
      <c r="AB733" s="17" t="inlineStr">
        <is>
          <t>Conventional Tillage: 1 deep plow (20–25 cm) + 1 harrowing; good tilth easily achieved</t>
        </is>
      </c>
      <c r="AC733" s="17" t="inlineStr">
        <is>
          <t>Furrow or sprinkler irrigation; AWD or weekly irrigation; good drainage natural</t>
        </is>
      </c>
    </row>
    <row r="734" ht="21.75" customHeight="1" s="101">
      <c r="A734" s="18" t="inlineStr">
        <is>
          <t>Corn</t>
        </is>
      </c>
      <c r="B734" s="18" t="inlineStr">
        <is>
          <t>Mangkasuy</t>
        </is>
      </c>
      <c r="C734" s="18" t="inlineStr">
        <is>
          <t>November</t>
        </is>
      </c>
      <c r="D734" s="18" t="inlineStr">
        <is>
          <t>2021</t>
        </is>
      </c>
      <c r="E734" s="18" t="inlineStr">
        <is>
          <t>DS 2021-2022</t>
        </is>
      </c>
      <c r="F734" s="18" t="inlineStr">
        <is>
          <t>Planting</t>
        </is>
      </c>
      <c r="G734" s="7" t="n">
        <v>3.47</v>
      </c>
      <c r="H734" s="8" t="n">
        <v>26.41</v>
      </c>
      <c r="I734" s="8" t="n">
        <v>19.95</v>
      </c>
      <c r="J734" s="8" t="n">
        <v>31.91</v>
      </c>
      <c r="K734" s="8" t="n">
        <v>82.55</v>
      </c>
      <c r="L734" s="8" t="n">
        <v>98.34</v>
      </c>
      <c r="M734" s="8" t="n">
        <v>17.76</v>
      </c>
      <c r="N734" s="18" t="inlineStr">
        <is>
          <t>Type I – Tropical Monsoon (PAGASA)</t>
        </is>
      </c>
      <c r="O734" s="18" t="inlineStr">
        <is>
          <t>Dry (Cool)</t>
        </is>
      </c>
      <c r="P734" s="18" t="inlineStr">
        <is>
          <t>Sandy Loam</t>
        </is>
      </c>
      <c r="Q734" s="18" t="inlineStr">
        <is>
          <t>Flat / Lowland</t>
        </is>
      </c>
      <c r="R734" s="19" t="n">
        <v>30</v>
      </c>
      <c r="S734" s="18" t="inlineStr">
        <is>
          <t>Tagamusing River</t>
        </is>
      </c>
      <c r="T734" s="20" t="n">
        <v>802.2</v>
      </c>
      <c r="U734" s="20" t="n"/>
      <c r="V734" s="20" t="n"/>
      <c r="W734" s="20" t="n">
        <v>92.76000000000001</v>
      </c>
      <c r="X734" s="20" t="n"/>
      <c r="Y734" s="20" t="n"/>
      <c r="Z734" s="21" t="n"/>
      <c r="AA734" s="22" t="inlineStr">
        <is>
          <t>Direct Seeding (Hill Planting / Furrow Method)</t>
        </is>
      </c>
      <c r="AB734" s="22" t="inlineStr">
        <is>
          <t>Conventional Tillage: 1 deep plow (20–25 cm) + 1 harrowing; good tilth easily achieved</t>
        </is>
      </c>
      <c r="AC734" s="22" t="inlineStr">
        <is>
          <t>Furrow or sprinkler irrigation; AWD or weekly irrigation; good drainage natural</t>
        </is>
      </c>
    </row>
    <row r="735" ht="21.75" customHeight="1" s="101">
      <c r="A735" s="23" t="inlineStr">
        <is>
          <t>Corn</t>
        </is>
      </c>
      <c r="B735" s="23" t="inlineStr">
        <is>
          <t>Mangkasuy</t>
        </is>
      </c>
      <c r="C735" s="23" t="inlineStr">
        <is>
          <t>March</t>
        </is>
      </c>
      <c r="D735" s="23" t="inlineStr">
        <is>
          <t>2022</t>
        </is>
      </c>
      <c r="E735" s="23" t="inlineStr">
        <is>
          <t>DS 2021-2022</t>
        </is>
      </c>
      <c r="F735" s="23" t="inlineStr">
        <is>
          <t>Harvest</t>
        </is>
      </c>
      <c r="G735" s="7" t="n">
        <v>2</v>
      </c>
      <c r="H735" s="8" t="n">
        <v>27.04</v>
      </c>
      <c r="I735" s="8" t="n">
        <v>19.32</v>
      </c>
      <c r="J735" s="8" t="n">
        <v>35.27</v>
      </c>
      <c r="K735" s="8" t="n">
        <v>75.42</v>
      </c>
      <c r="L735" s="8" t="n">
        <v>98.36</v>
      </c>
      <c r="M735" s="8" t="n">
        <v>22.13</v>
      </c>
      <c r="N735" s="23" t="inlineStr">
        <is>
          <t>Type I – Tropical Monsoon (PAGASA)</t>
        </is>
      </c>
      <c r="O735" s="23" t="inlineStr">
        <is>
          <t>Dry (Hot)</t>
        </is>
      </c>
      <c r="P735" s="23" t="inlineStr">
        <is>
          <t>Sandy Loam</t>
        </is>
      </c>
      <c r="Q735" s="23" t="inlineStr">
        <is>
          <t>Flat / Lowland</t>
        </is>
      </c>
      <c r="R735" s="24" t="n">
        <v>30</v>
      </c>
      <c r="S735" s="23" t="inlineStr">
        <is>
          <t>Tagamusing River</t>
        </is>
      </c>
      <c r="T735" s="25" t="n">
        <v>802.2</v>
      </c>
      <c r="U735" s="25" t="n"/>
      <c r="V735" s="25" t="n"/>
      <c r="W735" s="25" t="n"/>
      <c r="X735" s="25" t="n">
        <v>92.76000000000001</v>
      </c>
      <c r="Y735" s="25" t="n">
        <v>690.42</v>
      </c>
      <c r="Z735" s="26" t="n">
        <v>7.44</v>
      </c>
      <c r="AA735" s="17" t="inlineStr">
        <is>
          <t>Direct Seeding (Hill Planting / Furrow Method)</t>
        </is>
      </c>
      <c r="AB735" s="17" t="inlineStr">
        <is>
          <t>Conventional Tillage: 1 deep plow (20–25 cm) + 1 harrowing; good tilth easily achieved</t>
        </is>
      </c>
      <c r="AC735" s="17" t="inlineStr">
        <is>
          <t>Furrow or sprinkler irrigation; AWD or weekly irrigation; good drainage natural</t>
        </is>
      </c>
    </row>
    <row r="736" ht="21.75" customHeight="1" s="101">
      <c r="A736" s="18" t="inlineStr">
        <is>
          <t>Corn</t>
        </is>
      </c>
      <c r="B736" s="18" t="inlineStr">
        <is>
          <t>San Pablo</t>
        </is>
      </c>
      <c r="C736" s="18" t="inlineStr">
        <is>
          <t>November</t>
        </is>
      </c>
      <c r="D736" s="18" t="inlineStr">
        <is>
          <t>2021</t>
        </is>
      </c>
      <c r="E736" s="18" t="inlineStr">
        <is>
          <t>DS 2021-2022</t>
        </is>
      </c>
      <c r="F736" s="18" t="inlineStr">
        <is>
          <t>Planting</t>
        </is>
      </c>
      <c r="G736" s="7" t="n">
        <v>3.47</v>
      </c>
      <c r="H736" s="8" t="n">
        <v>26.41</v>
      </c>
      <c r="I736" s="8" t="n">
        <v>19.95</v>
      </c>
      <c r="J736" s="8" t="n">
        <v>31.91</v>
      </c>
      <c r="K736" s="8" t="n">
        <v>82.55</v>
      </c>
      <c r="L736" s="8" t="n">
        <v>98.34</v>
      </c>
      <c r="M736" s="8" t="n">
        <v>17.76</v>
      </c>
      <c r="N736" s="18" t="inlineStr">
        <is>
          <t>Type I – Tropical Monsoon (PAGASA)</t>
        </is>
      </c>
      <c r="O736" s="18" t="inlineStr">
        <is>
          <t>Dry (Cool)</t>
        </is>
      </c>
      <c r="P736" s="18" t="inlineStr">
        <is>
          <t>Sandy Loam</t>
        </is>
      </c>
      <c r="Q736" s="18" t="inlineStr">
        <is>
          <t>Flat / Lowland</t>
        </is>
      </c>
      <c r="R736" s="19" t="n">
        <v>30</v>
      </c>
      <c r="S736" s="18" t="inlineStr">
        <is>
          <t>San Pablo Creek</t>
        </is>
      </c>
      <c r="T736" s="20" t="n">
        <v>215.04</v>
      </c>
      <c r="U736" s="20" t="n"/>
      <c r="V736" s="20" t="n"/>
      <c r="W736" s="20" t="n">
        <v>53.45</v>
      </c>
      <c r="X736" s="20" t="n"/>
      <c r="Y736" s="20" t="n"/>
      <c r="Z736" s="21" t="n"/>
      <c r="AA736" s="22" t="inlineStr">
        <is>
          <t>Direct Seeding (Hill Planting / Furrow Method)</t>
        </is>
      </c>
      <c r="AB736" s="22" t="inlineStr">
        <is>
          <t>Conventional Tillage: 1 deep plow (20–25 cm) + 1 harrowing; good tilth easily achieved</t>
        </is>
      </c>
      <c r="AC736" s="22" t="inlineStr">
        <is>
          <t>Furrow or sprinkler irrigation; AWD or weekly irrigation; good drainage natural</t>
        </is>
      </c>
    </row>
    <row r="737" ht="21.75" customHeight="1" s="101">
      <c r="A737" s="23" t="inlineStr">
        <is>
          <t>Corn</t>
        </is>
      </c>
      <c r="B737" s="23" t="inlineStr">
        <is>
          <t>San Pablo</t>
        </is>
      </c>
      <c r="C737" s="23" t="inlineStr">
        <is>
          <t>March</t>
        </is>
      </c>
      <c r="D737" s="23" t="inlineStr">
        <is>
          <t>2022</t>
        </is>
      </c>
      <c r="E737" s="23" t="inlineStr">
        <is>
          <t>DS 2021-2022</t>
        </is>
      </c>
      <c r="F737" s="23" t="inlineStr">
        <is>
          <t>Harvest</t>
        </is>
      </c>
      <c r="G737" s="7" t="n">
        <v>2</v>
      </c>
      <c r="H737" s="8" t="n">
        <v>27.04</v>
      </c>
      <c r="I737" s="8" t="n">
        <v>19.32</v>
      </c>
      <c r="J737" s="8" t="n">
        <v>35.27</v>
      </c>
      <c r="K737" s="8" t="n">
        <v>75.42</v>
      </c>
      <c r="L737" s="8" t="n">
        <v>98.36</v>
      </c>
      <c r="M737" s="8" t="n">
        <v>22.13</v>
      </c>
      <c r="N737" s="23" t="inlineStr">
        <is>
          <t>Type I – Tropical Monsoon (PAGASA)</t>
        </is>
      </c>
      <c r="O737" s="23" t="inlineStr">
        <is>
          <t>Dry (Hot)</t>
        </is>
      </c>
      <c r="P737" s="23" t="inlineStr">
        <is>
          <t>Sandy Loam</t>
        </is>
      </c>
      <c r="Q737" s="23" t="inlineStr">
        <is>
          <t>Flat / Lowland</t>
        </is>
      </c>
      <c r="R737" s="24" t="n">
        <v>30</v>
      </c>
      <c r="S737" s="23" t="inlineStr">
        <is>
          <t>San Pablo Creek</t>
        </is>
      </c>
      <c r="T737" s="25" t="n">
        <v>215.04</v>
      </c>
      <c r="U737" s="25" t="n"/>
      <c r="V737" s="25" t="n"/>
      <c r="W737" s="25" t="n"/>
      <c r="X737" s="25" t="n">
        <v>53.45</v>
      </c>
      <c r="Y737" s="25" t="n">
        <v>397.8</v>
      </c>
      <c r="Z737" s="26" t="n">
        <v>7.44</v>
      </c>
      <c r="AA737" s="17" t="inlineStr">
        <is>
          <t>Direct Seeding (Hill Planting / Furrow Method)</t>
        </is>
      </c>
      <c r="AB737" s="17" t="inlineStr">
        <is>
          <t>Conventional Tillage: 1 deep plow (20–25 cm) + 1 harrowing; good tilth easily achieved</t>
        </is>
      </c>
      <c r="AC737" s="17" t="inlineStr">
        <is>
          <t>Furrow or sprinkler irrigation; AWD or weekly irrigation; good drainage natural</t>
        </is>
      </c>
    </row>
    <row r="738" ht="21.75" customHeight="1" s="101">
      <c r="A738" s="18" t="inlineStr">
        <is>
          <t>Corn</t>
        </is>
      </c>
      <c r="B738" s="18" t="inlineStr">
        <is>
          <t>Balangobong</t>
        </is>
      </c>
      <c r="C738" s="18" t="inlineStr">
        <is>
          <t>November</t>
        </is>
      </c>
      <c r="D738" s="18" t="inlineStr">
        <is>
          <t>2021</t>
        </is>
      </c>
      <c r="E738" s="18" t="inlineStr">
        <is>
          <t>DS 2021-2022</t>
        </is>
      </c>
      <c r="F738" s="18" t="inlineStr">
        <is>
          <t>Planting</t>
        </is>
      </c>
      <c r="G738" s="7" t="n">
        <v>3.47</v>
      </c>
      <c r="H738" s="8" t="n">
        <v>26.41</v>
      </c>
      <c r="I738" s="8" t="n">
        <v>19.95</v>
      </c>
      <c r="J738" s="8" t="n">
        <v>31.91</v>
      </c>
      <c r="K738" s="8" t="n">
        <v>82.55</v>
      </c>
      <c r="L738" s="8" t="n">
        <v>98.34</v>
      </c>
      <c r="M738" s="8" t="n">
        <v>17.76</v>
      </c>
      <c r="N738" s="18" t="inlineStr">
        <is>
          <t>Type I – Tropical Monsoon (PAGASA)</t>
        </is>
      </c>
      <c r="O738" s="18" t="inlineStr">
        <is>
          <t>Dry (Cool)</t>
        </is>
      </c>
      <c r="P738" s="18" t="inlineStr">
        <is>
          <t>Silty Clay Loam</t>
        </is>
      </c>
      <c r="Q738" s="18" t="inlineStr">
        <is>
          <t>Flat / Lowland</t>
        </is>
      </c>
      <c r="R738" s="19" t="n">
        <v>30</v>
      </c>
      <c r="S738" s="18" t="inlineStr">
        <is>
          <t>—</t>
        </is>
      </c>
      <c r="T738" s="20" t="n">
        <v>281.4</v>
      </c>
      <c r="U738" s="20" t="n"/>
      <c r="V738" s="20" t="n"/>
      <c r="W738" s="20" t="n">
        <v>53.48</v>
      </c>
      <c r="X738" s="20" t="n"/>
      <c r="Y738" s="20" t="n"/>
      <c r="Z738" s="21" t="n"/>
      <c r="AA738" s="22" t="inlineStr">
        <is>
          <t>Direct Seeding (Furrow Method on Raised Beds)</t>
        </is>
      </c>
      <c r="AB738" s="22" t="inlineStr">
        <is>
          <t>Deep Tillage (25 cm): 1–2 plowings; form raised beds 20–25 cm high to prevent waterlogging</t>
        </is>
      </c>
      <c r="AC738" s="22" t="inlineStr">
        <is>
          <t>Furrow irrigation only (not flood); ensure bed drainage; drain excess after rain</t>
        </is>
      </c>
    </row>
    <row r="739" ht="21.75" customHeight="1" s="101">
      <c r="A739" s="23" t="inlineStr">
        <is>
          <t>Corn</t>
        </is>
      </c>
      <c r="B739" s="23" t="inlineStr">
        <is>
          <t>Balangobong</t>
        </is>
      </c>
      <c r="C739" s="23" t="inlineStr">
        <is>
          <t>March</t>
        </is>
      </c>
      <c r="D739" s="23" t="inlineStr">
        <is>
          <t>2022</t>
        </is>
      </c>
      <c r="E739" s="23" t="inlineStr">
        <is>
          <t>DS 2021-2022</t>
        </is>
      </c>
      <c r="F739" s="23" t="inlineStr">
        <is>
          <t>Harvest</t>
        </is>
      </c>
      <c r="G739" s="7" t="n">
        <v>2</v>
      </c>
      <c r="H739" s="8" t="n">
        <v>27.04</v>
      </c>
      <c r="I739" s="8" t="n">
        <v>19.32</v>
      </c>
      <c r="J739" s="8" t="n">
        <v>35.27</v>
      </c>
      <c r="K739" s="8" t="n">
        <v>75.42</v>
      </c>
      <c r="L739" s="8" t="n">
        <v>98.36</v>
      </c>
      <c r="M739" s="8" t="n">
        <v>22.13</v>
      </c>
      <c r="N739" s="23" t="inlineStr">
        <is>
          <t>Type I – Tropical Monsoon (PAGASA)</t>
        </is>
      </c>
      <c r="O739" s="23" t="inlineStr">
        <is>
          <t>Dry (Hot)</t>
        </is>
      </c>
      <c r="P739" s="23" t="inlineStr">
        <is>
          <t>Silty Clay Loam</t>
        </is>
      </c>
      <c r="Q739" s="23" t="inlineStr">
        <is>
          <t>Flat / Lowland</t>
        </is>
      </c>
      <c r="R739" s="24" t="n">
        <v>30</v>
      </c>
      <c r="S739" s="23" t="inlineStr">
        <is>
          <t>—</t>
        </is>
      </c>
      <c r="T739" s="25" t="n">
        <v>281.4</v>
      </c>
      <c r="U739" s="25" t="n"/>
      <c r="V739" s="25" t="n"/>
      <c r="W739" s="25" t="n"/>
      <c r="X739" s="25" t="n">
        <v>53.48</v>
      </c>
      <c r="Y739" s="25" t="n">
        <v>398.01</v>
      </c>
      <c r="Z739" s="26" t="n">
        <v>7.44</v>
      </c>
      <c r="AA739" s="17" t="inlineStr">
        <is>
          <t>Direct Seeding (Furrow Method on Raised Beds)</t>
        </is>
      </c>
      <c r="AB739" s="17" t="inlineStr">
        <is>
          <t>Deep Tillage (25 cm): 1–2 plowings; form raised beds 20–25 cm high to prevent waterlogging</t>
        </is>
      </c>
      <c r="AC739" s="17" t="inlineStr">
        <is>
          <t>Furrow irrigation only (not flood); ensure bed drainage; drain excess after rain</t>
        </is>
      </c>
    </row>
    <row r="740" ht="21.75" customHeight="1" s="101">
      <c r="A740" s="18" t="inlineStr">
        <is>
          <t>Corn</t>
        </is>
      </c>
      <c r="B740" s="18" t="inlineStr">
        <is>
          <t>San Felipe Central</t>
        </is>
      </c>
      <c r="C740" s="18" t="inlineStr">
        <is>
          <t>November</t>
        </is>
      </c>
      <c r="D740" s="18" t="inlineStr">
        <is>
          <t>2021</t>
        </is>
      </c>
      <c r="E740" s="18" t="inlineStr">
        <is>
          <t>DS 2021-2022</t>
        </is>
      </c>
      <c r="F740" s="18" t="inlineStr">
        <is>
          <t>Planting</t>
        </is>
      </c>
      <c r="G740" s="7" t="n">
        <v>3.47</v>
      </c>
      <c r="H740" s="8" t="n">
        <v>26.41</v>
      </c>
      <c r="I740" s="8" t="n">
        <v>19.95</v>
      </c>
      <c r="J740" s="8" t="n">
        <v>31.91</v>
      </c>
      <c r="K740" s="8" t="n">
        <v>82.55</v>
      </c>
      <c r="L740" s="8" t="n">
        <v>98.34</v>
      </c>
      <c r="M740" s="8" t="n">
        <v>17.76</v>
      </c>
      <c r="N740" s="18" t="inlineStr">
        <is>
          <t>Type I – Tropical Monsoon (PAGASA)</t>
        </is>
      </c>
      <c r="O740" s="18" t="inlineStr">
        <is>
          <t>Dry (Cool)</t>
        </is>
      </c>
      <c r="P740" s="18" t="inlineStr">
        <is>
          <t>Sandy Loam</t>
        </is>
      </c>
      <c r="Q740" s="18" t="inlineStr">
        <is>
          <t>Flat / Lowland</t>
        </is>
      </c>
      <c r="R740" s="19" t="n">
        <v>30</v>
      </c>
      <c r="S740" s="18" t="inlineStr">
        <is>
          <t>—</t>
        </is>
      </c>
      <c r="T740" s="20" t="n">
        <v>452.76</v>
      </c>
      <c r="U740" s="20" t="n"/>
      <c r="V740" s="20" t="n"/>
      <c r="W740" s="20" t="n">
        <v>66.67</v>
      </c>
      <c r="X740" s="20" t="n"/>
      <c r="Y740" s="20" t="n"/>
      <c r="Z740" s="21" t="n"/>
      <c r="AA740" s="22" t="inlineStr">
        <is>
          <t>Direct Seeding (Hill Planting / Furrow Method)</t>
        </is>
      </c>
      <c r="AB740" s="22" t="inlineStr">
        <is>
          <t>Conventional Tillage: 1 deep plow (20–25 cm) + 1 harrowing; good tilth easily achieved</t>
        </is>
      </c>
      <c r="AC740" s="22" t="inlineStr">
        <is>
          <t>Furrow or sprinkler irrigation; AWD or weekly irrigation; good drainage natural</t>
        </is>
      </c>
    </row>
    <row r="741" ht="21.75" customHeight="1" s="101">
      <c r="A741" s="23" t="inlineStr">
        <is>
          <t>Corn</t>
        </is>
      </c>
      <c r="B741" s="23" t="inlineStr">
        <is>
          <t>San Felipe Central</t>
        </is>
      </c>
      <c r="C741" s="23" t="inlineStr">
        <is>
          <t>March</t>
        </is>
      </c>
      <c r="D741" s="23" t="inlineStr">
        <is>
          <t>2022</t>
        </is>
      </c>
      <c r="E741" s="23" t="inlineStr">
        <is>
          <t>DS 2021-2022</t>
        </is>
      </c>
      <c r="F741" s="23" t="inlineStr">
        <is>
          <t>Harvest</t>
        </is>
      </c>
      <c r="G741" s="7" t="n">
        <v>2</v>
      </c>
      <c r="H741" s="8" t="n">
        <v>27.04</v>
      </c>
      <c r="I741" s="8" t="n">
        <v>19.32</v>
      </c>
      <c r="J741" s="8" t="n">
        <v>35.27</v>
      </c>
      <c r="K741" s="8" t="n">
        <v>75.42</v>
      </c>
      <c r="L741" s="8" t="n">
        <v>98.36</v>
      </c>
      <c r="M741" s="8" t="n">
        <v>22.13</v>
      </c>
      <c r="N741" s="23" t="inlineStr">
        <is>
          <t>Type I – Tropical Monsoon (PAGASA)</t>
        </is>
      </c>
      <c r="O741" s="23" t="inlineStr">
        <is>
          <t>Dry (Hot)</t>
        </is>
      </c>
      <c r="P741" s="23" t="inlineStr">
        <is>
          <t>Sandy Loam</t>
        </is>
      </c>
      <c r="Q741" s="23" t="inlineStr">
        <is>
          <t>Flat / Lowland</t>
        </is>
      </c>
      <c r="R741" s="24" t="n">
        <v>30</v>
      </c>
      <c r="S741" s="23" t="inlineStr">
        <is>
          <t>—</t>
        </is>
      </c>
      <c r="T741" s="25" t="n">
        <v>452.76</v>
      </c>
      <c r="U741" s="25" t="n"/>
      <c r="V741" s="25" t="n"/>
      <c r="W741" s="25" t="n"/>
      <c r="X741" s="25" t="n">
        <v>66.67</v>
      </c>
      <c r="Y741" s="25" t="n">
        <v>496.2</v>
      </c>
      <c r="Z741" s="26" t="n">
        <v>7.44</v>
      </c>
      <c r="AA741" s="17" t="inlineStr">
        <is>
          <t>Direct Seeding (Hill Planting / Furrow Method)</t>
        </is>
      </c>
      <c r="AB741" s="17" t="inlineStr">
        <is>
          <t>Conventional Tillage: 1 deep plow (20–25 cm) + 1 harrowing; good tilth easily achieved</t>
        </is>
      </c>
      <c r="AC741" s="17" t="inlineStr">
        <is>
          <t>Furrow or sprinkler irrigation; AWD or weekly irrigation; good drainage natural</t>
        </is>
      </c>
    </row>
    <row r="742" ht="21.75" customHeight="1" s="101">
      <c r="A742" s="18" t="inlineStr">
        <is>
          <t>Corn</t>
        </is>
      </c>
      <c r="B742" s="18" t="inlineStr">
        <is>
          <t>San Felipe Sur</t>
        </is>
      </c>
      <c r="C742" s="18" t="inlineStr">
        <is>
          <t>November</t>
        </is>
      </c>
      <c r="D742" s="18" t="inlineStr">
        <is>
          <t>2021</t>
        </is>
      </c>
      <c r="E742" s="18" t="inlineStr">
        <is>
          <t>DS 2021-2022</t>
        </is>
      </c>
      <c r="F742" s="18" t="inlineStr">
        <is>
          <t>Planting</t>
        </is>
      </c>
      <c r="G742" s="7" t="n">
        <v>3.47</v>
      </c>
      <c r="H742" s="8" t="n">
        <v>26.41</v>
      </c>
      <c r="I742" s="8" t="n">
        <v>19.95</v>
      </c>
      <c r="J742" s="8" t="n">
        <v>31.91</v>
      </c>
      <c r="K742" s="8" t="n">
        <v>82.55</v>
      </c>
      <c r="L742" s="8" t="n">
        <v>98.34</v>
      </c>
      <c r="M742" s="8" t="n">
        <v>17.76</v>
      </c>
      <c r="N742" s="18" t="inlineStr">
        <is>
          <t>Type I – Tropical Monsoon (PAGASA)</t>
        </is>
      </c>
      <c r="O742" s="18" t="inlineStr">
        <is>
          <t>Dry (Cool)</t>
        </is>
      </c>
      <c r="P742" s="18" t="inlineStr">
        <is>
          <t>Sandy Loam</t>
        </is>
      </c>
      <c r="Q742" s="18" t="inlineStr">
        <is>
          <t>Flat / Lowland</t>
        </is>
      </c>
      <c r="R742" s="19" t="n">
        <v>30</v>
      </c>
      <c r="S742" s="18" t="inlineStr">
        <is>
          <t>Tagamusing River</t>
        </is>
      </c>
      <c r="T742" s="20" t="n">
        <v>504</v>
      </c>
      <c r="U742" s="20" t="n"/>
      <c r="V742" s="20" t="n"/>
      <c r="W742" s="20" t="n">
        <v>69.12</v>
      </c>
      <c r="X742" s="20" t="n"/>
      <c r="Y742" s="20" t="n"/>
      <c r="Z742" s="21" t="n"/>
      <c r="AA742" s="22" t="inlineStr">
        <is>
          <t>Direct Seeding (Hill Planting / Furrow Method)</t>
        </is>
      </c>
      <c r="AB742" s="22" t="inlineStr">
        <is>
          <t>Conventional Tillage: 1 deep plow (20–25 cm) + 1 harrowing; good tilth easily achieved</t>
        </is>
      </c>
      <c r="AC742" s="22" t="inlineStr">
        <is>
          <t>Furrow or sprinkler irrigation; AWD or weekly irrigation; good drainage natural</t>
        </is>
      </c>
    </row>
    <row r="743" ht="21.75" customHeight="1" s="101">
      <c r="A743" s="23" t="inlineStr">
        <is>
          <t>Corn</t>
        </is>
      </c>
      <c r="B743" s="23" t="inlineStr">
        <is>
          <t>San Felipe Sur</t>
        </is>
      </c>
      <c r="C743" s="23" t="inlineStr">
        <is>
          <t>March</t>
        </is>
      </c>
      <c r="D743" s="23" t="inlineStr">
        <is>
          <t>2022</t>
        </is>
      </c>
      <c r="E743" s="23" t="inlineStr">
        <is>
          <t>DS 2021-2022</t>
        </is>
      </c>
      <c r="F743" s="23" t="inlineStr">
        <is>
          <t>Harvest</t>
        </is>
      </c>
      <c r="G743" s="7" t="n">
        <v>2</v>
      </c>
      <c r="H743" s="8" t="n">
        <v>27.04</v>
      </c>
      <c r="I743" s="8" t="n">
        <v>19.32</v>
      </c>
      <c r="J743" s="8" t="n">
        <v>35.27</v>
      </c>
      <c r="K743" s="8" t="n">
        <v>75.42</v>
      </c>
      <c r="L743" s="8" t="n">
        <v>98.36</v>
      </c>
      <c r="M743" s="8" t="n">
        <v>22.13</v>
      </c>
      <c r="N743" s="23" t="inlineStr">
        <is>
          <t>Type I – Tropical Monsoon (PAGASA)</t>
        </is>
      </c>
      <c r="O743" s="23" t="inlineStr">
        <is>
          <t>Dry (Hot)</t>
        </is>
      </c>
      <c r="P743" s="23" t="inlineStr">
        <is>
          <t>Sandy Loam</t>
        </is>
      </c>
      <c r="Q743" s="23" t="inlineStr">
        <is>
          <t>Flat / Lowland</t>
        </is>
      </c>
      <c r="R743" s="24" t="n">
        <v>30</v>
      </c>
      <c r="S743" s="23" t="inlineStr">
        <is>
          <t>Tagamusing River</t>
        </is>
      </c>
      <c r="T743" s="25" t="n">
        <v>504</v>
      </c>
      <c r="U743" s="25" t="n"/>
      <c r="V743" s="25" t="n"/>
      <c r="W743" s="25" t="n"/>
      <c r="X743" s="25" t="n">
        <v>69.12</v>
      </c>
      <c r="Y743" s="25" t="n">
        <v>514.4400000000001</v>
      </c>
      <c r="Z743" s="26" t="n">
        <v>7.44</v>
      </c>
      <c r="AA743" s="17" t="inlineStr">
        <is>
          <t>Direct Seeding (Hill Planting / Furrow Method)</t>
        </is>
      </c>
      <c r="AB743" s="17" t="inlineStr">
        <is>
          <t>Conventional Tillage: 1 deep plow (20–25 cm) + 1 harrowing; good tilth easily achieved</t>
        </is>
      </c>
      <c r="AC743" s="17" t="inlineStr">
        <is>
          <t>Furrow or sprinkler irrigation; AWD or weekly irrigation; good drainage natural</t>
        </is>
      </c>
    </row>
    <row r="744" ht="21.75" customHeight="1" s="101">
      <c r="A744" s="18" t="inlineStr">
        <is>
          <t>Corn</t>
        </is>
      </c>
      <c r="B744" s="18" t="inlineStr">
        <is>
          <t>Pasileng Sur</t>
        </is>
      </c>
      <c r="C744" s="18" t="inlineStr">
        <is>
          <t>November</t>
        </is>
      </c>
      <c r="D744" s="18" t="inlineStr">
        <is>
          <t>2021</t>
        </is>
      </c>
      <c r="E744" s="18" t="inlineStr">
        <is>
          <t>DS 2021-2022</t>
        </is>
      </c>
      <c r="F744" s="18" t="inlineStr">
        <is>
          <t>Planting</t>
        </is>
      </c>
      <c r="G744" s="7" t="n">
        <v>3.47</v>
      </c>
      <c r="H744" s="8" t="n">
        <v>26.41</v>
      </c>
      <c r="I744" s="8" t="n">
        <v>19.95</v>
      </c>
      <c r="J744" s="8" t="n">
        <v>31.91</v>
      </c>
      <c r="K744" s="8" t="n">
        <v>82.55</v>
      </c>
      <c r="L744" s="8" t="n">
        <v>98.34</v>
      </c>
      <c r="M744" s="8" t="n">
        <v>17.76</v>
      </c>
      <c r="N744" s="18" t="inlineStr">
        <is>
          <t>Type I – Tropical Monsoon (PAGASA)</t>
        </is>
      </c>
      <c r="O744" s="18" t="inlineStr">
        <is>
          <t>Dry (Cool)</t>
        </is>
      </c>
      <c r="P744" s="18" t="inlineStr">
        <is>
          <t>Sandy Loam</t>
        </is>
      </c>
      <c r="Q744" s="18" t="inlineStr">
        <is>
          <t>Flat / Lowland</t>
        </is>
      </c>
      <c r="R744" s="19" t="n">
        <v>30</v>
      </c>
      <c r="S744" s="18" t="inlineStr">
        <is>
          <t>Tagamusing River</t>
        </is>
      </c>
      <c r="T744" s="20" t="n">
        <v>414.96</v>
      </c>
      <c r="U744" s="20" t="n"/>
      <c r="V744" s="20" t="n"/>
      <c r="W744" s="20" t="n">
        <v>70.11</v>
      </c>
      <c r="X744" s="20" t="n"/>
      <c r="Y744" s="20" t="n"/>
      <c r="Z744" s="21" t="n"/>
      <c r="AA744" s="22" t="inlineStr">
        <is>
          <t>Direct Seeding (Hill Planting / Furrow Method)</t>
        </is>
      </c>
      <c r="AB744" s="22" t="inlineStr">
        <is>
          <t>Conventional Tillage: 1 deep plow (20–25 cm) + 1 harrowing; good tilth easily achieved</t>
        </is>
      </c>
      <c r="AC744" s="22" t="inlineStr">
        <is>
          <t>Furrow or sprinkler irrigation; AWD or weekly irrigation; good drainage natural</t>
        </is>
      </c>
    </row>
    <row r="745" ht="21.75" customHeight="1" s="101">
      <c r="A745" s="23" t="inlineStr">
        <is>
          <t>Corn</t>
        </is>
      </c>
      <c r="B745" s="23" t="inlineStr">
        <is>
          <t>Pasileng Sur</t>
        </is>
      </c>
      <c r="C745" s="23" t="inlineStr">
        <is>
          <t>March</t>
        </is>
      </c>
      <c r="D745" s="23" t="inlineStr">
        <is>
          <t>2022</t>
        </is>
      </c>
      <c r="E745" s="23" t="inlineStr">
        <is>
          <t>DS 2021-2022</t>
        </is>
      </c>
      <c r="F745" s="23" t="inlineStr">
        <is>
          <t>Harvest</t>
        </is>
      </c>
      <c r="G745" s="7" t="n">
        <v>2</v>
      </c>
      <c r="H745" s="8" t="n">
        <v>27.04</v>
      </c>
      <c r="I745" s="8" t="n">
        <v>19.32</v>
      </c>
      <c r="J745" s="8" t="n">
        <v>35.27</v>
      </c>
      <c r="K745" s="8" t="n">
        <v>75.42</v>
      </c>
      <c r="L745" s="8" t="n">
        <v>98.36</v>
      </c>
      <c r="M745" s="8" t="n">
        <v>22.13</v>
      </c>
      <c r="N745" s="23" t="inlineStr">
        <is>
          <t>Type I – Tropical Monsoon (PAGASA)</t>
        </is>
      </c>
      <c r="O745" s="23" t="inlineStr">
        <is>
          <t>Dry (Hot)</t>
        </is>
      </c>
      <c r="P745" s="23" t="inlineStr">
        <is>
          <t>Sandy Loam</t>
        </is>
      </c>
      <c r="Q745" s="23" t="inlineStr">
        <is>
          <t>Flat / Lowland</t>
        </is>
      </c>
      <c r="R745" s="24" t="n">
        <v>30</v>
      </c>
      <c r="S745" s="23" t="inlineStr">
        <is>
          <t>Tagamusing River</t>
        </is>
      </c>
      <c r="T745" s="25" t="n">
        <v>414.96</v>
      </c>
      <c r="U745" s="25" t="n"/>
      <c r="V745" s="25" t="n"/>
      <c r="W745" s="25" t="n"/>
      <c r="X745" s="25" t="n">
        <v>70.11</v>
      </c>
      <c r="Y745" s="25" t="n">
        <v>521.84</v>
      </c>
      <c r="Z745" s="26" t="n">
        <v>7.44</v>
      </c>
      <c r="AA745" s="17" t="inlineStr">
        <is>
          <t>Direct Seeding (Hill Planting / Furrow Method)</t>
        </is>
      </c>
      <c r="AB745" s="17" t="inlineStr">
        <is>
          <t>Conventional Tillage: 1 deep plow (20–25 cm) + 1 harrowing; good tilth easily achieved</t>
        </is>
      </c>
      <c r="AC745" s="17" t="inlineStr">
        <is>
          <t>Furrow or sprinkler irrigation; AWD or weekly irrigation; good drainage natural</t>
        </is>
      </c>
    </row>
    <row r="746" ht="21.75" customHeight="1" s="101">
      <c r="A746" s="18" t="inlineStr">
        <is>
          <t>Corn</t>
        </is>
      </c>
      <c r="B746" s="18" t="inlineStr">
        <is>
          <t>Sta. Maria Norte</t>
        </is>
      </c>
      <c r="C746" s="18" t="inlineStr">
        <is>
          <t>November</t>
        </is>
      </c>
      <c r="D746" s="18" t="inlineStr">
        <is>
          <t>2021</t>
        </is>
      </c>
      <c r="E746" s="18" t="inlineStr">
        <is>
          <t>DS 2021-2022</t>
        </is>
      </c>
      <c r="F746" s="18" t="inlineStr">
        <is>
          <t>Planting</t>
        </is>
      </c>
      <c r="G746" s="7" t="n">
        <v>3.47</v>
      </c>
      <c r="H746" s="8" t="n">
        <v>26.41</v>
      </c>
      <c r="I746" s="8" t="n">
        <v>19.95</v>
      </c>
      <c r="J746" s="8" t="n">
        <v>31.91</v>
      </c>
      <c r="K746" s="8" t="n">
        <v>82.55</v>
      </c>
      <c r="L746" s="8" t="n">
        <v>98.34</v>
      </c>
      <c r="M746" s="8" t="n">
        <v>17.76</v>
      </c>
      <c r="N746" s="18" t="inlineStr">
        <is>
          <t>Type I – Tropical Monsoon (PAGASA)</t>
        </is>
      </c>
      <c r="O746" s="18" t="inlineStr">
        <is>
          <t>Dry (Cool)</t>
        </is>
      </c>
      <c r="P746" s="18" t="inlineStr">
        <is>
          <t>Sandy Loam</t>
        </is>
      </c>
      <c r="Q746" s="18" t="inlineStr">
        <is>
          <t>Flat / Lowland</t>
        </is>
      </c>
      <c r="R746" s="19" t="n">
        <v>30</v>
      </c>
      <c r="S746" s="18" t="inlineStr">
        <is>
          <t>Tagamusing River</t>
        </is>
      </c>
      <c r="T746" s="20" t="n">
        <v>157.08</v>
      </c>
      <c r="U746" s="20" t="n"/>
      <c r="V746" s="20" t="n"/>
      <c r="W746" s="20" t="n">
        <v>23.79</v>
      </c>
      <c r="X746" s="20" t="n"/>
      <c r="Y746" s="20" t="n"/>
      <c r="Z746" s="21" t="n"/>
      <c r="AA746" s="22" t="inlineStr">
        <is>
          <t>Direct Seeding (Hill Planting / Furrow Method)</t>
        </is>
      </c>
      <c r="AB746" s="22" t="inlineStr">
        <is>
          <t>Conventional Tillage: 1 deep plow (20–25 cm) + 1 harrowing; good tilth easily achieved</t>
        </is>
      </c>
      <c r="AC746" s="22" t="inlineStr">
        <is>
          <t>Furrow or sprinkler irrigation; AWD or weekly irrigation; good drainage natural</t>
        </is>
      </c>
    </row>
    <row r="747" ht="21.75" customHeight="1" s="101">
      <c r="A747" s="23" t="inlineStr">
        <is>
          <t>Corn</t>
        </is>
      </c>
      <c r="B747" s="23" t="inlineStr">
        <is>
          <t>Sta. Maria Norte</t>
        </is>
      </c>
      <c r="C747" s="23" t="inlineStr">
        <is>
          <t>March</t>
        </is>
      </c>
      <c r="D747" s="23" t="inlineStr">
        <is>
          <t>2022</t>
        </is>
      </c>
      <c r="E747" s="23" t="inlineStr">
        <is>
          <t>DS 2021-2022</t>
        </is>
      </c>
      <c r="F747" s="23" t="inlineStr">
        <is>
          <t>Harvest</t>
        </is>
      </c>
      <c r="G747" s="7" t="n">
        <v>2</v>
      </c>
      <c r="H747" s="8" t="n">
        <v>27.04</v>
      </c>
      <c r="I747" s="8" t="n">
        <v>19.32</v>
      </c>
      <c r="J747" s="8" t="n">
        <v>35.27</v>
      </c>
      <c r="K747" s="8" t="n">
        <v>75.42</v>
      </c>
      <c r="L747" s="8" t="n">
        <v>98.36</v>
      </c>
      <c r="M747" s="8" t="n">
        <v>22.13</v>
      </c>
      <c r="N747" s="23" t="inlineStr">
        <is>
          <t>Type I – Tropical Monsoon (PAGASA)</t>
        </is>
      </c>
      <c r="O747" s="23" t="inlineStr">
        <is>
          <t>Dry (Hot)</t>
        </is>
      </c>
      <c r="P747" s="23" t="inlineStr">
        <is>
          <t>Sandy Loam</t>
        </is>
      </c>
      <c r="Q747" s="23" t="inlineStr">
        <is>
          <t>Flat / Lowland</t>
        </is>
      </c>
      <c r="R747" s="24" t="n">
        <v>30</v>
      </c>
      <c r="S747" s="23" t="inlineStr">
        <is>
          <t>Tagamusing River</t>
        </is>
      </c>
      <c r="T747" s="25" t="n">
        <v>157.08</v>
      </c>
      <c r="U747" s="25" t="n"/>
      <c r="V747" s="25" t="n"/>
      <c r="W747" s="25" t="n"/>
      <c r="X747" s="25" t="n">
        <v>23.79</v>
      </c>
      <c r="Y747" s="25" t="n">
        <v>177.04</v>
      </c>
      <c r="Z747" s="26" t="n">
        <v>7.44</v>
      </c>
      <c r="AA747" s="17" t="inlineStr">
        <is>
          <t>Direct Seeding (Hill Planting / Furrow Method)</t>
        </is>
      </c>
      <c r="AB747" s="17" t="inlineStr">
        <is>
          <t>Conventional Tillage: 1 deep plow (20–25 cm) + 1 harrowing; good tilth easily achieved</t>
        </is>
      </c>
      <c r="AC747" s="17" t="inlineStr">
        <is>
          <t>Furrow or sprinkler irrigation; AWD or weekly irrigation; good drainage natural</t>
        </is>
      </c>
    </row>
    <row r="748" ht="21.75" customHeight="1" s="101">
      <c r="A748" s="18" t="inlineStr">
        <is>
          <t>Corn</t>
        </is>
      </c>
      <c r="B748" s="18" t="inlineStr">
        <is>
          <t>Bugayong</t>
        </is>
      </c>
      <c r="C748" s="18" t="inlineStr">
        <is>
          <t>November</t>
        </is>
      </c>
      <c r="D748" s="18" t="inlineStr">
        <is>
          <t>2021</t>
        </is>
      </c>
      <c r="E748" s="18" t="inlineStr">
        <is>
          <t>DS 2021-2022</t>
        </is>
      </c>
      <c r="F748" s="18" t="inlineStr">
        <is>
          <t>Planting</t>
        </is>
      </c>
      <c r="G748" s="7" t="n">
        <v>3.47</v>
      </c>
      <c r="H748" s="8" t="n">
        <v>26.41</v>
      </c>
      <c r="I748" s="8" t="n">
        <v>19.95</v>
      </c>
      <c r="J748" s="8" t="n">
        <v>31.91</v>
      </c>
      <c r="K748" s="8" t="n">
        <v>82.55</v>
      </c>
      <c r="L748" s="8" t="n">
        <v>98.34</v>
      </c>
      <c r="M748" s="8" t="n">
        <v>17.76</v>
      </c>
      <c r="N748" s="18" t="inlineStr">
        <is>
          <t>Type I – Tropical Monsoon (PAGASA)</t>
        </is>
      </c>
      <c r="O748" s="18" t="inlineStr">
        <is>
          <t>Dry (Cool)</t>
        </is>
      </c>
      <c r="P748" s="18" t="inlineStr">
        <is>
          <t>Sandy Loam / Silty Clay Loam</t>
        </is>
      </c>
      <c r="Q748" s="18" t="inlineStr">
        <is>
          <t>Flat / Lowland</t>
        </is>
      </c>
      <c r="R748" s="19" t="n">
        <v>30</v>
      </c>
      <c r="S748" s="18" t="inlineStr">
        <is>
          <t>Aloragat River</t>
        </is>
      </c>
      <c r="T748" s="20" t="n">
        <v>346.08</v>
      </c>
      <c r="U748" s="20" t="n"/>
      <c r="V748" s="20" t="n"/>
      <c r="W748" s="20" t="n">
        <v>21.39</v>
      </c>
      <c r="X748" s="20" t="n"/>
      <c r="Y748" s="20" t="n"/>
      <c r="Z748" s="21" t="n"/>
      <c r="AA748" s="22" t="inlineStr">
        <is>
          <t>Direct Seeding (Furrow or Hill Method)</t>
        </is>
      </c>
      <c r="AB748" s="22" t="inlineStr">
        <is>
          <t>Conventional Tillage: 1 deep plow + harrowing; ensure good drainage channels</t>
        </is>
      </c>
      <c r="AC748" s="22" t="inlineStr">
        <is>
          <t>Furrow irrigation; avoid waterlogging — clay fraction retains excess moisture</t>
        </is>
      </c>
    </row>
    <row r="749" ht="21.75" customHeight="1" s="101">
      <c r="A749" s="23" t="inlineStr">
        <is>
          <t>Corn</t>
        </is>
      </c>
      <c r="B749" s="23" t="inlineStr">
        <is>
          <t>Bugayong</t>
        </is>
      </c>
      <c r="C749" s="23" t="inlineStr">
        <is>
          <t>March</t>
        </is>
      </c>
      <c r="D749" s="23" t="inlineStr">
        <is>
          <t>2022</t>
        </is>
      </c>
      <c r="E749" s="23" t="inlineStr">
        <is>
          <t>DS 2021-2022</t>
        </is>
      </c>
      <c r="F749" s="23" t="inlineStr">
        <is>
          <t>Harvest</t>
        </is>
      </c>
      <c r="G749" s="7" t="n">
        <v>2</v>
      </c>
      <c r="H749" s="8" t="n">
        <v>27.04</v>
      </c>
      <c r="I749" s="8" t="n">
        <v>19.32</v>
      </c>
      <c r="J749" s="8" t="n">
        <v>35.27</v>
      </c>
      <c r="K749" s="8" t="n">
        <v>75.42</v>
      </c>
      <c r="L749" s="8" t="n">
        <v>98.36</v>
      </c>
      <c r="M749" s="8" t="n">
        <v>22.13</v>
      </c>
      <c r="N749" s="23" t="inlineStr">
        <is>
          <t>Type I – Tropical Monsoon (PAGASA)</t>
        </is>
      </c>
      <c r="O749" s="23" t="inlineStr">
        <is>
          <t>Dry (Hot)</t>
        </is>
      </c>
      <c r="P749" s="23" t="inlineStr">
        <is>
          <t>Sandy Loam / Silty Clay Loam</t>
        </is>
      </c>
      <c r="Q749" s="23" t="inlineStr">
        <is>
          <t>Flat / Lowland</t>
        </is>
      </c>
      <c r="R749" s="24" t="n">
        <v>30</v>
      </c>
      <c r="S749" s="23" t="inlineStr">
        <is>
          <t>Aloragat River</t>
        </is>
      </c>
      <c r="T749" s="25" t="n">
        <v>346.08</v>
      </c>
      <c r="U749" s="25" t="n"/>
      <c r="V749" s="25" t="n"/>
      <c r="W749" s="25" t="n"/>
      <c r="X749" s="25" t="n">
        <v>21.39</v>
      </c>
      <c r="Y749" s="25" t="n">
        <v>159.19</v>
      </c>
      <c r="Z749" s="26" t="n">
        <v>7.44</v>
      </c>
      <c r="AA749" s="17" t="inlineStr">
        <is>
          <t>Direct Seeding (Furrow or Hill Method)</t>
        </is>
      </c>
      <c r="AB749" s="17" t="inlineStr">
        <is>
          <t>Conventional Tillage: 1 deep plow + harrowing; ensure good drainage channels</t>
        </is>
      </c>
      <c r="AC749" s="17" t="inlineStr">
        <is>
          <t>Furrow irrigation; avoid waterlogging — clay fraction retains excess moisture</t>
        </is>
      </c>
    </row>
    <row r="750" ht="21.75" customHeight="1" s="101">
      <c r="A750" s="18" t="inlineStr">
        <is>
          <t>Corn</t>
        </is>
      </c>
      <c r="B750" s="18" t="inlineStr">
        <is>
          <t>Santiago</t>
        </is>
      </c>
      <c r="C750" s="18" t="inlineStr">
        <is>
          <t>November</t>
        </is>
      </c>
      <c r="D750" s="18" t="inlineStr">
        <is>
          <t>2021</t>
        </is>
      </c>
      <c r="E750" s="18" t="inlineStr">
        <is>
          <t>DS 2021-2022</t>
        </is>
      </c>
      <c r="F750" s="18" t="inlineStr">
        <is>
          <t>Planting</t>
        </is>
      </c>
      <c r="G750" s="7" t="n">
        <v>3.47</v>
      </c>
      <c r="H750" s="8" t="n">
        <v>26.41</v>
      </c>
      <c r="I750" s="8" t="n">
        <v>19.95</v>
      </c>
      <c r="J750" s="8" t="n">
        <v>31.91</v>
      </c>
      <c r="K750" s="8" t="n">
        <v>82.55</v>
      </c>
      <c r="L750" s="8" t="n">
        <v>98.34</v>
      </c>
      <c r="M750" s="8" t="n">
        <v>17.76</v>
      </c>
      <c r="N750" s="18" t="inlineStr">
        <is>
          <t>Type I – Tropical Monsoon (PAGASA)</t>
        </is>
      </c>
      <c r="O750" s="18" t="inlineStr">
        <is>
          <t>Dry (Cool)</t>
        </is>
      </c>
      <c r="P750" s="18" t="inlineStr">
        <is>
          <t>Silty Clay Loam</t>
        </is>
      </c>
      <c r="Q750" s="18" t="inlineStr">
        <is>
          <t>Flat / Lowland</t>
        </is>
      </c>
      <c r="R750" s="19" t="n">
        <v>30</v>
      </c>
      <c r="S750" s="18" t="inlineStr">
        <is>
          <t>—</t>
        </is>
      </c>
      <c r="T750" s="20" t="n">
        <v>283.08</v>
      </c>
      <c r="U750" s="20" t="n"/>
      <c r="V750" s="20" t="n"/>
      <c r="W750" s="20" t="n">
        <v>70.93000000000001</v>
      </c>
      <c r="X750" s="20" t="n"/>
      <c r="Y750" s="20" t="n"/>
      <c r="Z750" s="21" t="n"/>
      <c r="AA750" s="22" t="inlineStr">
        <is>
          <t>Direct Seeding (Furrow Method on Raised Beds)</t>
        </is>
      </c>
      <c r="AB750" s="22" t="inlineStr">
        <is>
          <t>Deep Tillage (25 cm): 1–2 plowings; form raised beds 20–25 cm high to prevent waterlogging</t>
        </is>
      </c>
      <c r="AC750" s="22" t="inlineStr">
        <is>
          <t>Furrow irrigation only (not flood); ensure bed drainage; drain excess after rain</t>
        </is>
      </c>
    </row>
    <row r="751" ht="21.75" customHeight="1" s="101">
      <c r="A751" s="23" t="inlineStr">
        <is>
          <t>Corn</t>
        </is>
      </c>
      <c r="B751" s="23" t="inlineStr">
        <is>
          <t>Santiago</t>
        </is>
      </c>
      <c r="C751" s="23" t="inlineStr">
        <is>
          <t>March</t>
        </is>
      </c>
      <c r="D751" s="23" t="inlineStr">
        <is>
          <t>2022</t>
        </is>
      </c>
      <c r="E751" s="23" t="inlineStr">
        <is>
          <t>DS 2021-2022</t>
        </is>
      </c>
      <c r="F751" s="23" t="inlineStr">
        <is>
          <t>Harvest</t>
        </is>
      </c>
      <c r="G751" s="7" t="n">
        <v>2</v>
      </c>
      <c r="H751" s="8" t="n">
        <v>27.04</v>
      </c>
      <c r="I751" s="8" t="n">
        <v>19.32</v>
      </c>
      <c r="J751" s="8" t="n">
        <v>35.27</v>
      </c>
      <c r="K751" s="8" t="n">
        <v>75.42</v>
      </c>
      <c r="L751" s="8" t="n">
        <v>98.36</v>
      </c>
      <c r="M751" s="8" t="n">
        <v>22.13</v>
      </c>
      <c r="N751" s="23" t="inlineStr">
        <is>
          <t>Type I – Tropical Monsoon (PAGASA)</t>
        </is>
      </c>
      <c r="O751" s="23" t="inlineStr">
        <is>
          <t>Dry (Hot)</t>
        </is>
      </c>
      <c r="P751" s="23" t="inlineStr">
        <is>
          <t>Silty Clay Loam</t>
        </is>
      </c>
      <c r="Q751" s="23" t="inlineStr">
        <is>
          <t>Flat / Lowland</t>
        </is>
      </c>
      <c r="R751" s="24" t="n">
        <v>30</v>
      </c>
      <c r="S751" s="23" t="inlineStr">
        <is>
          <t>—</t>
        </is>
      </c>
      <c r="T751" s="25" t="n">
        <v>283.08</v>
      </c>
      <c r="U751" s="25" t="n"/>
      <c r="V751" s="25" t="n"/>
      <c r="W751" s="25" t="n"/>
      <c r="X751" s="25" t="n">
        <v>70.93000000000001</v>
      </c>
      <c r="Y751" s="25" t="n">
        <v>527.89</v>
      </c>
      <c r="Z751" s="26" t="n">
        <v>7.44</v>
      </c>
      <c r="AA751" s="17" t="inlineStr">
        <is>
          <t>Direct Seeding (Furrow Method on Raised Beds)</t>
        </is>
      </c>
      <c r="AB751" s="17" t="inlineStr">
        <is>
          <t>Deep Tillage (25 cm): 1–2 plowings; form raised beds 20–25 cm high to prevent waterlogging</t>
        </is>
      </c>
      <c r="AC751" s="17" t="inlineStr">
        <is>
          <t>Furrow irrigation only (not flood); ensure bed drainage; drain excess after rain</t>
        </is>
      </c>
    </row>
    <row r="752" ht="21.75" customHeight="1" s="101">
      <c r="A752" s="18" t="inlineStr">
        <is>
          <t>Corn</t>
        </is>
      </c>
      <c r="B752" s="18" t="inlineStr">
        <is>
          <t>Pasileng Norte</t>
        </is>
      </c>
      <c r="C752" s="18" t="inlineStr">
        <is>
          <t>November</t>
        </is>
      </c>
      <c r="D752" s="18" t="inlineStr">
        <is>
          <t>2022</t>
        </is>
      </c>
      <c r="E752" s="18" t="inlineStr">
        <is>
          <t>DS 2022-2023</t>
        </is>
      </c>
      <c r="F752" s="18" t="inlineStr">
        <is>
          <t>Planting</t>
        </is>
      </c>
      <c r="G752" s="7" t="n">
        <v>2.22</v>
      </c>
      <c r="H752" s="8" t="n">
        <v>26.38</v>
      </c>
      <c r="I752" s="8" t="n">
        <v>19.97</v>
      </c>
      <c r="J752" s="8" t="n">
        <v>31.8</v>
      </c>
      <c r="K752" s="8" t="n">
        <v>83.62</v>
      </c>
      <c r="L752" s="8" t="n">
        <v>98.40000000000001</v>
      </c>
      <c r="M752" s="8" t="n">
        <v>17.64</v>
      </c>
      <c r="N752" s="18" t="inlineStr">
        <is>
          <t>Type I – Tropical Monsoon (PAGASA)</t>
        </is>
      </c>
      <c r="O752" s="18" t="inlineStr">
        <is>
          <t>Dry (Cool)</t>
        </is>
      </c>
      <c r="P752" s="18" t="inlineStr">
        <is>
          <t>Sandy Loam</t>
        </is>
      </c>
      <c r="Q752" s="18" t="inlineStr">
        <is>
          <t>Flat / Lowland</t>
        </is>
      </c>
      <c r="R752" s="19" t="n">
        <v>30</v>
      </c>
      <c r="S752" s="18" t="inlineStr">
        <is>
          <t>Tagamusing River</t>
        </is>
      </c>
      <c r="T752" s="20" t="n">
        <v>140.28</v>
      </c>
      <c r="U752" s="20" t="n"/>
      <c r="V752" s="20" t="n"/>
      <c r="W752" s="20" t="n">
        <v>36.4</v>
      </c>
      <c r="X752" s="20" t="n"/>
      <c r="Y752" s="20" t="n"/>
      <c r="Z752" s="21" t="n"/>
      <c r="AA752" s="22" t="inlineStr">
        <is>
          <t>Direct Seeding (Hill Planting / Furrow Method)</t>
        </is>
      </c>
      <c r="AB752" s="22" t="inlineStr">
        <is>
          <t>Conventional Tillage: 1 deep plow (20–25 cm) + 1 harrowing; good tilth easily achieved</t>
        </is>
      </c>
      <c r="AC752" s="22" t="inlineStr">
        <is>
          <t>Furrow or sprinkler irrigation; AWD or weekly irrigation; good drainage natural</t>
        </is>
      </c>
    </row>
    <row r="753" ht="21.75" customHeight="1" s="101">
      <c r="A753" s="23" t="inlineStr">
        <is>
          <t>Corn</t>
        </is>
      </c>
      <c r="B753" s="23" t="inlineStr">
        <is>
          <t>Pasileng Norte</t>
        </is>
      </c>
      <c r="C753" s="23" t="inlineStr">
        <is>
          <t>March</t>
        </is>
      </c>
      <c r="D753" s="23" t="inlineStr">
        <is>
          <t>2023</t>
        </is>
      </c>
      <c r="E753" s="23" t="inlineStr">
        <is>
          <t>DS 2022-2023</t>
        </is>
      </c>
      <c r="F753" s="23" t="inlineStr">
        <is>
          <t>Harvest</t>
        </is>
      </c>
      <c r="G753" s="7" t="n">
        <v>0.16</v>
      </c>
      <c r="H753" s="8" t="n">
        <v>26.48</v>
      </c>
      <c r="I753" s="8" t="n">
        <v>17.91</v>
      </c>
      <c r="J753" s="8" t="n">
        <v>36.41</v>
      </c>
      <c r="K753" s="8" t="n">
        <v>67.70999999999999</v>
      </c>
      <c r="L753" s="8" t="n">
        <v>98.55</v>
      </c>
      <c r="M753" s="8" t="n">
        <v>22.69</v>
      </c>
      <c r="N753" s="23" t="inlineStr">
        <is>
          <t>Type I – Tropical Monsoon (PAGASA)</t>
        </is>
      </c>
      <c r="O753" s="23" t="inlineStr">
        <is>
          <t>Dry (Hot)</t>
        </is>
      </c>
      <c r="P753" s="23" t="inlineStr">
        <is>
          <t>Sandy Loam</t>
        </is>
      </c>
      <c r="Q753" s="23" t="inlineStr">
        <is>
          <t>Flat / Lowland</t>
        </is>
      </c>
      <c r="R753" s="24" t="n">
        <v>30</v>
      </c>
      <c r="S753" s="23" t="inlineStr">
        <is>
          <t>Tagamusing River</t>
        </is>
      </c>
      <c r="T753" s="25" t="n">
        <v>140.28</v>
      </c>
      <c r="U753" s="25" t="n"/>
      <c r="V753" s="25" t="n"/>
      <c r="W753" s="25" t="n"/>
      <c r="X753" s="25" t="n">
        <v>36.4</v>
      </c>
      <c r="Y753" s="25" t="n">
        <v>274.17</v>
      </c>
      <c r="Z753" s="26" t="n">
        <v>7.53</v>
      </c>
      <c r="AA753" s="17" t="inlineStr">
        <is>
          <t>Direct Seeding (Hill Planting / Furrow Method)</t>
        </is>
      </c>
      <c r="AB753" s="17" t="inlineStr">
        <is>
          <t>Conventional Tillage: 1 deep plow (20–25 cm) + 1 harrowing; good tilth easily achieved</t>
        </is>
      </c>
      <c r="AC753" s="17" t="inlineStr">
        <is>
          <t>Furrow or sprinkler irrigation; AWD or weekly irrigation; good drainage natural</t>
        </is>
      </c>
    </row>
    <row r="754" ht="21.75" customHeight="1" s="101">
      <c r="A754" s="18" t="inlineStr">
        <is>
          <t>Corn</t>
        </is>
      </c>
      <c r="B754" s="18" t="inlineStr">
        <is>
          <t>Tabuyoc</t>
        </is>
      </c>
      <c r="C754" s="18" t="inlineStr">
        <is>
          <t>November</t>
        </is>
      </c>
      <c r="D754" s="18" t="inlineStr">
        <is>
          <t>2022</t>
        </is>
      </c>
      <c r="E754" s="18" t="inlineStr">
        <is>
          <t>DS 2022-2023</t>
        </is>
      </c>
      <c r="F754" s="18" t="inlineStr">
        <is>
          <t>Planting</t>
        </is>
      </c>
      <c r="G754" s="7" t="n">
        <v>2.22</v>
      </c>
      <c r="H754" s="8" t="n">
        <v>26.38</v>
      </c>
      <c r="I754" s="8" t="n">
        <v>19.97</v>
      </c>
      <c r="J754" s="8" t="n">
        <v>31.8</v>
      </c>
      <c r="K754" s="8" t="n">
        <v>83.62</v>
      </c>
      <c r="L754" s="8" t="n">
        <v>98.40000000000001</v>
      </c>
      <c r="M754" s="8" t="n">
        <v>17.64</v>
      </c>
      <c r="N754" s="18" t="inlineStr">
        <is>
          <t>Type I – Tropical Monsoon (PAGASA)</t>
        </is>
      </c>
      <c r="O754" s="18" t="inlineStr">
        <is>
          <t>Dry (Cool)</t>
        </is>
      </c>
      <c r="P754" s="18" t="inlineStr">
        <is>
          <t>Silty Clay Loam</t>
        </is>
      </c>
      <c r="Q754" s="18" t="inlineStr">
        <is>
          <t>Flat / Lowland</t>
        </is>
      </c>
      <c r="R754" s="19" t="n">
        <v>30</v>
      </c>
      <c r="S754" s="18" t="inlineStr">
        <is>
          <t>—</t>
        </is>
      </c>
      <c r="T754" s="20" t="n">
        <v>277.2</v>
      </c>
      <c r="U754" s="20" t="n"/>
      <c r="V754" s="20" t="n"/>
      <c r="W754" s="20" t="n">
        <v>56.37</v>
      </c>
      <c r="X754" s="20" t="n"/>
      <c r="Y754" s="20" t="n"/>
      <c r="Z754" s="21" t="n"/>
      <c r="AA754" s="22" t="inlineStr">
        <is>
          <t>Direct Seeding (Furrow Method on Raised Beds)</t>
        </is>
      </c>
      <c r="AB754" s="22" t="inlineStr">
        <is>
          <t>Deep Tillage (25 cm): 1–2 plowings; form raised beds 20–25 cm high to prevent waterlogging</t>
        </is>
      </c>
      <c r="AC754" s="22" t="inlineStr">
        <is>
          <t>Furrow irrigation only (not flood); ensure bed drainage; drain excess after rain</t>
        </is>
      </c>
    </row>
    <row r="755" ht="21.75" customHeight="1" s="101">
      <c r="A755" s="23" t="inlineStr">
        <is>
          <t>Corn</t>
        </is>
      </c>
      <c r="B755" s="23" t="inlineStr">
        <is>
          <t>Tabuyoc</t>
        </is>
      </c>
      <c r="C755" s="23" t="inlineStr">
        <is>
          <t>March</t>
        </is>
      </c>
      <c r="D755" s="23" t="inlineStr">
        <is>
          <t>2023</t>
        </is>
      </c>
      <c r="E755" s="23" t="inlineStr">
        <is>
          <t>DS 2022-2023</t>
        </is>
      </c>
      <c r="F755" s="23" t="inlineStr">
        <is>
          <t>Harvest</t>
        </is>
      </c>
      <c r="G755" s="7" t="n">
        <v>0.16</v>
      </c>
      <c r="H755" s="8" t="n">
        <v>26.48</v>
      </c>
      <c r="I755" s="8" t="n">
        <v>17.91</v>
      </c>
      <c r="J755" s="8" t="n">
        <v>36.41</v>
      </c>
      <c r="K755" s="8" t="n">
        <v>67.70999999999999</v>
      </c>
      <c r="L755" s="8" t="n">
        <v>98.55</v>
      </c>
      <c r="M755" s="8" t="n">
        <v>22.69</v>
      </c>
      <c r="N755" s="23" t="inlineStr">
        <is>
          <t>Type I – Tropical Monsoon (PAGASA)</t>
        </is>
      </c>
      <c r="O755" s="23" t="inlineStr">
        <is>
          <t>Dry (Hot)</t>
        </is>
      </c>
      <c r="P755" s="23" t="inlineStr">
        <is>
          <t>Silty Clay Loam</t>
        </is>
      </c>
      <c r="Q755" s="23" t="inlineStr">
        <is>
          <t>Flat / Lowland</t>
        </is>
      </c>
      <c r="R755" s="24" t="n">
        <v>30</v>
      </c>
      <c r="S755" s="23" t="inlineStr">
        <is>
          <t>—</t>
        </is>
      </c>
      <c r="T755" s="25" t="n">
        <v>277.2</v>
      </c>
      <c r="U755" s="25" t="n"/>
      <c r="V755" s="25" t="n"/>
      <c r="W755" s="25" t="n"/>
      <c r="X755" s="25" t="n">
        <v>56.37</v>
      </c>
      <c r="Y755" s="25" t="n">
        <v>424.58</v>
      </c>
      <c r="Z755" s="26" t="n">
        <v>7.53</v>
      </c>
      <c r="AA755" s="17" t="inlineStr">
        <is>
          <t>Direct Seeding (Furrow Method on Raised Beds)</t>
        </is>
      </c>
      <c r="AB755" s="17" t="inlineStr">
        <is>
          <t>Deep Tillage (25 cm): 1–2 plowings; form raised beds 20–25 cm high to prevent waterlogging</t>
        </is>
      </c>
      <c r="AC755" s="17" t="inlineStr">
        <is>
          <t>Furrow irrigation only (not flood); ensure bed drainage; drain excess after rain</t>
        </is>
      </c>
    </row>
    <row r="756" ht="21.75" customHeight="1" s="101">
      <c r="A756" s="18" t="inlineStr">
        <is>
          <t>Corn</t>
        </is>
      </c>
      <c r="B756" s="18" t="inlineStr">
        <is>
          <t>Bued</t>
        </is>
      </c>
      <c r="C756" s="18" t="inlineStr">
        <is>
          <t>November</t>
        </is>
      </c>
      <c r="D756" s="18" t="inlineStr">
        <is>
          <t>2022</t>
        </is>
      </c>
      <c r="E756" s="18" t="inlineStr">
        <is>
          <t>DS 2022-2023</t>
        </is>
      </c>
      <c r="F756" s="18" t="inlineStr">
        <is>
          <t>Planting</t>
        </is>
      </c>
      <c r="G756" s="7" t="n">
        <v>2.22</v>
      </c>
      <c r="H756" s="8" t="n">
        <v>26.38</v>
      </c>
      <c r="I756" s="8" t="n">
        <v>19.97</v>
      </c>
      <c r="J756" s="8" t="n">
        <v>31.8</v>
      </c>
      <c r="K756" s="8" t="n">
        <v>83.62</v>
      </c>
      <c r="L756" s="8" t="n">
        <v>98.40000000000001</v>
      </c>
      <c r="M756" s="8" t="n">
        <v>17.64</v>
      </c>
      <c r="N756" s="18" t="inlineStr">
        <is>
          <t>Type I – Tropical Monsoon (PAGASA)</t>
        </is>
      </c>
      <c r="O756" s="18" t="inlineStr">
        <is>
          <t>Dry (Cool)</t>
        </is>
      </c>
      <c r="P756" s="18" t="inlineStr">
        <is>
          <t>Silty Clay Loam</t>
        </is>
      </c>
      <c r="Q756" s="18" t="inlineStr">
        <is>
          <t>Flat / Lowland</t>
        </is>
      </c>
      <c r="R756" s="19" t="n">
        <v>30</v>
      </c>
      <c r="S756" s="18" t="inlineStr">
        <is>
          <t>Tagamusing River</t>
        </is>
      </c>
      <c r="T756" s="20" t="n">
        <v>210.84</v>
      </c>
      <c r="U756" s="20" t="n"/>
      <c r="V756" s="20" t="n"/>
      <c r="W756" s="20" t="n">
        <v>42.58</v>
      </c>
      <c r="X756" s="20" t="n"/>
      <c r="Y756" s="20" t="n"/>
      <c r="Z756" s="21" t="n"/>
      <c r="AA756" s="22" t="inlineStr">
        <is>
          <t>Direct Seeding (Furrow Method on Raised Beds)</t>
        </is>
      </c>
      <c r="AB756" s="22" t="inlineStr">
        <is>
          <t>Deep Tillage (25 cm): 1–2 plowings; form raised beds 20–25 cm high to prevent waterlogging</t>
        </is>
      </c>
      <c r="AC756" s="22" t="inlineStr">
        <is>
          <t>Furrow irrigation only (not flood); ensure bed drainage; drain excess after rain</t>
        </is>
      </c>
    </row>
    <row r="757" ht="21.75" customHeight="1" s="101">
      <c r="A757" s="23" t="inlineStr">
        <is>
          <t>Corn</t>
        </is>
      </c>
      <c r="B757" s="23" t="inlineStr">
        <is>
          <t>Bued</t>
        </is>
      </c>
      <c r="C757" s="23" t="inlineStr">
        <is>
          <t>March</t>
        </is>
      </c>
      <c r="D757" s="23" t="inlineStr">
        <is>
          <t>2023</t>
        </is>
      </c>
      <c r="E757" s="23" t="inlineStr">
        <is>
          <t>DS 2022-2023</t>
        </is>
      </c>
      <c r="F757" s="23" t="inlineStr">
        <is>
          <t>Harvest</t>
        </is>
      </c>
      <c r="G757" s="7" t="n">
        <v>0.16</v>
      </c>
      <c r="H757" s="8" t="n">
        <v>26.48</v>
      </c>
      <c r="I757" s="8" t="n">
        <v>17.91</v>
      </c>
      <c r="J757" s="8" t="n">
        <v>36.41</v>
      </c>
      <c r="K757" s="8" t="n">
        <v>67.70999999999999</v>
      </c>
      <c r="L757" s="8" t="n">
        <v>98.55</v>
      </c>
      <c r="M757" s="8" t="n">
        <v>22.69</v>
      </c>
      <c r="N757" s="23" t="inlineStr">
        <is>
          <t>Type I – Tropical Monsoon (PAGASA)</t>
        </is>
      </c>
      <c r="O757" s="23" t="inlineStr">
        <is>
          <t>Dry (Hot)</t>
        </is>
      </c>
      <c r="P757" s="23" t="inlineStr">
        <is>
          <t>Silty Clay Loam</t>
        </is>
      </c>
      <c r="Q757" s="23" t="inlineStr">
        <is>
          <t>Flat / Lowland</t>
        </is>
      </c>
      <c r="R757" s="24" t="n">
        <v>30</v>
      </c>
      <c r="S757" s="23" t="inlineStr">
        <is>
          <t>Tagamusing River</t>
        </is>
      </c>
      <c r="T757" s="25" t="n">
        <v>210.84</v>
      </c>
      <c r="U757" s="25" t="n"/>
      <c r="V757" s="25" t="n"/>
      <c r="W757" s="25" t="n"/>
      <c r="X757" s="25" t="n">
        <v>42.58</v>
      </c>
      <c r="Y757" s="25" t="n">
        <v>320.71</v>
      </c>
      <c r="Z757" s="26" t="n">
        <v>7.53</v>
      </c>
      <c r="AA757" s="17" t="inlineStr">
        <is>
          <t>Direct Seeding (Furrow Method on Raised Beds)</t>
        </is>
      </c>
      <c r="AB757" s="17" t="inlineStr">
        <is>
          <t>Deep Tillage (25 cm): 1–2 plowings; form raised beds 20–25 cm high to prevent waterlogging</t>
        </is>
      </c>
      <c r="AC757" s="17" t="inlineStr">
        <is>
          <t>Furrow irrigation only (not flood); ensure bed drainage; drain excess after rain</t>
        </is>
      </c>
    </row>
    <row r="758" ht="21.75" customHeight="1" s="101">
      <c r="A758" s="18" t="inlineStr">
        <is>
          <t>Corn</t>
        </is>
      </c>
      <c r="B758" s="18" t="inlineStr">
        <is>
          <t>Dumayat</t>
        </is>
      </c>
      <c r="C758" s="18" t="inlineStr">
        <is>
          <t>November</t>
        </is>
      </c>
      <c r="D758" s="18" t="inlineStr">
        <is>
          <t>2022</t>
        </is>
      </c>
      <c r="E758" s="18" t="inlineStr">
        <is>
          <t>DS 2022-2023</t>
        </is>
      </c>
      <c r="F758" s="18" t="inlineStr">
        <is>
          <t>Planting</t>
        </is>
      </c>
      <c r="G758" s="7" t="n">
        <v>2.22</v>
      </c>
      <c r="H758" s="8" t="n">
        <v>26.38</v>
      </c>
      <c r="I758" s="8" t="n">
        <v>19.97</v>
      </c>
      <c r="J758" s="8" t="n">
        <v>31.8</v>
      </c>
      <c r="K758" s="8" t="n">
        <v>83.62</v>
      </c>
      <c r="L758" s="8" t="n">
        <v>98.40000000000001</v>
      </c>
      <c r="M758" s="8" t="n">
        <v>17.64</v>
      </c>
      <c r="N758" s="18" t="inlineStr">
        <is>
          <t>Type I – Tropical Monsoon (PAGASA)</t>
        </is>
      </c>
      <c r="O758" s="18" t="inlineStr">
        <is>
          <t>Dry (Cool)</t>
        </is>
      </c>
      <c r="P758" s="18" t="inlineStr">
        <is>
          <t>Silty Clay Loam</t>
        </is>
      </c>
      <c r="Q758" s="18" t="inlineStr">
        <is>
          <t>Flat / Lowland</t>
        </is>
      </c>
      <c r="R758" s="19" t="n">
        <v>30</v>
      </c>
      <c r="S758" s="18" t="inlineStr">
        <is>
          <t>—</t>
        </is>
      </c>
      <c r="T758" s="20" t="n">
        <v>266.28</v>
      </c>
      <c r="U758" s="20" t="n"/>
      <c r="V758" s="20" t="n"/>
      <c r="W758" s="20" t="n">
        <v>33.24</v>
      </c>
      <c r="X758" s="20" t="n"/>
      <c r="Y758" s="20" t="n"/>
      <c r="Z758" s="21" t="n"/>
      <c r="AA758" s="22" t="inlineStr">
        <is>
          <t>Direct Seeding (Furrow Method on Raised Beds)</t>
        </is>
      </c>
      <c r="AB758" s="22" t="inlineStr">
        <is>
          <t>Deep Tillage (25 cm): 1–2 plowings; form raised beds 20–25 cm high to prevent waterlogging</t>
        </is>
      </c>
      <c r="AC758" s="22" t="inlineStr">
        <is>
          <t>Furrow irrigation only (not flood); ensure bed drainage; drain excess after rain</t>
        </is>
      </c>
    </row>
    <row r="759" ht="21.75" customHeight="1" s="101">
      <c r="A759" s="23" t="inlineStr">
        <is>
          <t>Corn</t>
        </is>
      </c>
      <c r="B759" s="23" t="inlineStr">
        <is>
          <t>Dumayat</t>
        </is>
      </c>
      <c r="C759" s="23" t="inlineStr">
        <is>
          <t>March</t>
        </is>
      </c>
      <c r="D759" s="23" t="inlineStr">
        <is>
          <t>2023</t>
        </is>
      </c>
      <c r="E759" s="23" t="inlineStr">
        <is>
          <t>DS 2022-2023</t>
        </is>
      </c>
      <c r="F759" s="23" t="inlineStr">
        <is>
          <t>Harvest</t>
        </is>
      </c>
      <c r="G759" s="7" t="n">
        <v>0.16</v>
      </c>
      <c r="H759" s="8" t="n">
        <v>26.48</v>
      </c>
      <c r="I759" s="8" t="n">
        <v>17.91</v>
      </c>
      <c r="J759" s="8" t="n">
        <v>36.41</v>
      </c>
      <c r="K759" s="8" t="n">
        <v>67.70999999999999</v>
      </c>
      <c r="L759" s="8" t="n">
        <v>98.55</v>
      </c>
      <c r="M759" s="8" t="n">
        <v>22.69</v>
      </c>
      <c r="N759" s="23" t="inlineStr">
        <is>
          <t>Type I – Tropical Monsoon (PAGASA)</t>
        </is>
      </c>
      <c r="O759" s="23" t="inlineStr">
        <is>
          <t>Dry (Hot)</t>
        </is>
      </c>
      <c r="P759" s="23" t="inlineStr">
        <is>
          <t>Silty Clay Loam</t>
        </is>
      </c>
      <c r="Q759" s="23" t="inlineStr">
        <is>
          <t>Flat / Lowland</t>
        </is>
      </c>
      <c r="R759" s="24" t="n">
        <v>30</v>
      </c>
      <c r="S759" s="23" t="inlineStr">
        <is>
          <t>—</t>
        </is>
      </c>
      <c r="T759" s="25" t="n">
        <v>266.28</v>
      </c>
      <c r="U759" s="25" t="n"/>
      <c r="V759" s="25" t="n"/>
      <c r="W759" s="25" t="n"/>
      <c r="X759" s="25" t="n">
        <v>33.24</v>
      </c>
      <c r="Y759" s="25" t="n">
        <v>250.35</v>
      </c>
      <c r="Z759" s="26" t="n">
        <v>7.53</v>
      </c>
      <c r="AA759" s="17" t="inlineStr">
        <is>
          <t>Direct Seeding (Furrow Method on Raised Beds)</t>
        </is>
      </c>
      <c r="AB759" s="17" t="inlineStr">
        <is>
          <t>Deep Tillage (25 cm): 1–2 plowings; form raised beds 20–25 cm high to prevent waterlogging</t>
        </is>
      </c>
      <c r="AC759" s="17" t="inlineStr">
        <is>
          <t>Furrow irrigation only (not flood); ensure bed drainage; drain excess after rain</t>
        </is>
      </c>
    </row>
    <row r="760" ht="21.75" customHeight="1" s="101">
      <c r="A760" s="18" t="inlineStr">
        <is>
          <t>Corn</t>
        </is>
      </c>
      <c r="B760" s="18" t="inlineStr">
        <is>
          <t>Camanggaan</t>
        </is>
      </c>
      <c r="C760" s="18" t="inlineStr">
        <is>
          <t>November</t>
        </is>
      </c>
      <c r="D760" s="18" t="inlineStr">
        <is>
          <t>2022</t>
        </is>
      </c>
      <c r="E760" s="18" t="inlineStr">
        <is>
          <t>DS 2022-2023</t>
        </is>
      </c>
      <c r="F760" s="18" t="inlineStr">
        <is>
          <t>Planting</t>
        </is>
      </c>
      <c r="G760" s="7" t="n">
        <v>2.22</v>
      </c>
      <c r="H760" s="8" t="n">
        <v>26.38</v>
      </c>
      <c r="I760" s="8" t="n">
        <v>19.97</v>
      </c>
      <c r="J760" s="8" t="n">
        <v>31.8</v>
      </c>
      <c r="K760" s="8" t="n">
        <v>83.62</v>
      </c>
      <c r="L760" s="8" t="n">
        <v>98.40000000000001</v>
      </c>
      <c r="M760" s="8" t="n">
        <v>17.64</v>
      </c>
      <c r="N760" s="18" t="inlineStr">
        <is>
          <t>Type I – Tropical Monsoon (PAGASA)</t>
        </is>
      </c>
      <c r="O760" s="18" t="inlineStr">
        <is>
          <t>Dry (Cool)</t>
        </is>
      </c>
      <c r="P760" s="18" t="inlineStr">
        <is>
          <t>Sandy Loam</t>
        </is>
      </c>
      <c r="Q760" s="18" t="inlineStr">
        <is>
          <t>Flat / Lowland</t>
        </is>
      </c>
      <c r="R760" s="19" t="n">
        <v>30</v>
      </c>
      <c r="S760" s="18" t="inlineStr">
        <is>
          <t>—</t>
        </is>
      </c>
      <c r="T760" s="20" t="n">
        <v>244.44</v>
      </c>
      <c r="U760" s="20" t="n"/>
      <c r="V760" s="20" t="n"/>
      <c r="W760" s="20" t="n">
        <v>24.6</v>
      </c>
      <c r="X760" s="20" t="n"/>
      <c r="Y760" s="20" t="n"/>
      <c r="Z760" s="21" t="n"/>
      <c r="AA760" s="22" t="inlineStr">
        <is>
          <t>Direct Seeding (Hill Planting / Furrow Method)</t>
        </is>
      </c>
      <c r="AB760" s="22" t="inlineStr">
        <is>
          <t>Conventional Tillage: 1 deep plow (20–25 cm) + 1 harrowing; good tilth easily achieved</t>
        </is>
      </c>
      <c r="AC760" s="22" t="inlineStr">
        <is>
          <t>Furrow or sprinkler irrigation; AWD or weekly irrigation; good drainage natural</t>
        </is>
      </c>
    </row>
    <row r="761" ht="21.75" customHeight="1" s="101">
      <c r="A761" s="23" t="inlineStr">
        <is>
          <t>Corn</t>
        </is>
      </c>
      <c r="B761" s="23" t="inlineStr">
        <is>
          <t>Camanggaan</t>
        </is>
      </c>
      <c r="C761" s="23" t="inlineStr">
        <is>
          <t>March</t>
        </is>
      </c>
      <c r="D761" s="23" t="inlineStr">
        <is>
          <t>2023</t>
        </is>
      </c>
      <c r="E761" s="23" t="inlineStr">
        <is>
          <t>DS 2022-2023</t>
        </is>
      </c>
      <c r="F761" s="23" t="inlineStr">
        <is>
          <t>Harvest</t>
        </is>
      </c>
      <c r="G761" s="7" t="n">
        <v>0.16</v>
      </c>
      <c r="H761" s="8" t="n">
        <v>26.48</v>
      </c>
      <c r="I761" s="8" t="n">
        <v>17.91</v>
      </c>
      <c r="J761" s="8" t="n">
        <v>36.41</v>
      </c>
      <c r="K761" s="8" t="n">
        <v>67.70999999999999</v>
      </c>
      <c r="L761" s="8" t="n">
        <v>98.55</v>
      </c>
      <c r="M761" s="8" t="n">
        <v>22.69</v>
      </c>
      <c r="N761" s="23" t="inlineStr">
        <is>
          <t>Type I – Tropical Monsoon (PAGASA)</t>
        </is>
      </c>
      <c r="O761" s="23" t="inlineStr">
        <is>
          <t>Dry (Hot)</t>
        </is>
      </c>
      <c r="P761" s="23" t="inlineStr">
        <is>
          <t>Sandy Loam</t>
        </is>
      </c>
      <c r="Q761" s="23" t="inlineStr">
        <is>
          <t>Flat / Lowland</t>
        </is>
      </c>
      <c r="R761" s="24" t="n">
        <v>30</v>
      </c>
      <c r="S761" s="23" t="inlineStr">
        <is>
          <t>—</t>
        </is>
      </c>
      <c r="T761" s="25" t="n">
        <v>244.44</v>
      </c>
      <c r="U761" s="25" t="n"/>
      <c r="V761" s="25" t="n"/>
      <c r="W761" s="25" t="n"/>
      <c r="X761" s="25" t="n">
        <v>24.6</v>
      </c>
      <c r="Y761" s="25" t="n">
        <v>185.31</v>
      </c>
      <c r="Z761" s="26" t="n">
        <v>7.53</v>
      </c>
      <c r="AA761" s="17" t="inlineStr">
        <is>
          <t>Direct Seeding (Hill Planting / Furrow Method)</t>
        </is>
      </c>
      <c r="AB761" s="17" t="inlineStr">
        <is>
          <t>Conventional Tillage: 1 deep plow (20–25 cm) + 1 harrowing; good tilth easily achieved</t>
        </is>
      </c>
      <c r="AC761" s="17" t="inlineStr">
        <is>
          <t>Furrow or sprinkler irrigation; AWD or weekly irrigation; good drainage natural</t>
        </is>
      </c>
    </row>
    <row r="762" ht="21.75" customHeight="1" s="101">
      <c r="A762" s="18" t="inlineStr">
        <is>
          <t>Corn</t>
        </is>
      </c>
      <c r="B762" s="18" t="inlineStr">
        <is>
          <t>Vacante</t>
        </is>
      </c>
      <c r="C762" s="18" t="inlineStr">
        <is>
          <t>November</t>
        </is>
      </c>
      <c r="D762" s="18" t="inlineStr">
        <is>
          <t>2022</t>
        </is>
      </c>
      <c r="E762" s="18" t="inlineStr">
        <is>
          <t>DS 2022-2023</t>
        </is>
      </c>
      <c r="F762" s="18" t="inlineStr">
        <is>
          <t>Planting</t>
        </is>
      </c>
      <c r="G762" s="7" t="n">
        <v>2.22</v>
      </c>
      <c r="H762" s="8" t="n">
        <v>26.38</v>
      </c>
      <c r="I762" s="8" t="n">
        <v>19.97</v>
      </c>
      <c r="J762" s="8" t="n">
        <v>31.8</v>
      </c>
      <c r="K762" s="8" t="n">
        <v>83.62</v>
      </c>
      <c r="L762" s="8" t="n">
        <v>98.40000000000001</v>
      </c>
      <c r="M762" s="8" t="n">
        <v>17.64</v>
      </c>
      <c r="N762" s="18" t="inlineStr">
        <is>
          <t>Type I – Tropical Monsoon (PAGASA)</t>
        </is>
      </c>
      <c r="O762" s="18" t="inlineStr">
        <is>
          <t>Dry (Cool)</t>
        </is>
      </c>
      <c r="P762" s="18" t="inlineStr">
        <is>
          <t>Silty Clay Loam</t>
        </is>
      </c>
      <c r="Q762" s="18" t="inlineStr">
        <is>
          <t>Flat / Lowland</t>
        </is>
      </c>
      <c r="R762" s="19" t="n">
        <v>30</v>
      </c>
      <c r="S762" s="18" t="inlineStr">
        <is>
          <t>Aloragat River</t>
        </is>
      </c>
      <c r="T762" s="20" t="n">
        <v>484.68</v>
      </c>
      <c r="U762" s="20" t="n"/>
      <c r="V762" s="20" t="n"/>
      <c r="W762" s="20" t="n">
        <v>47.47</v>
      </c>
      <c r="X762" s="20" t="n"/>
      <c r="Y762" s="20" t="n"/>
      <c r="Z762" s="21" t="n"/>
      <c r="AA762" s="22" t="inlineStr">
        <is>
          <t>Direct Seeding (Furrow Method on Raised Beds)</t>
        </is>
      </c>
      <c r="AB762" s="22" t="inlineStr">
        <is>
          <t>Deep Tillage (25 cm): 1–2 plowings; form raised beds 20–25 cm high to prevent waterlogging</t>
        </is>
      </c>
      <c r="AC762" s="22" t="inlineStr">
        <is>
          <t>Furrow irrigation only (not flood); ensure bed drainage; drain excess after rain</t>
        </is>
      </c>
    </row>
    <row r="763" ht="21.75" customHeight="1" s="101">
      <c r="A763" s="23" t="inlineStr">
        <is>
          <t>Corn</t>
        </is>
      </c>
      <c r="B763" s="23" t="inlineStr">
        <is>
          <t>Vacante</t>
        </is>
      </c>
      <c r="C763" s="23" t="inlineStr">
        <is>
          <t>March</t>
        </is>
      </c>
      <c r="D763" s="23" t="inlineStr">
        <is>
          <t>2023</t>
        </is>
      </c>
      <c r="E763" s="23" t="inlineStr">
        <is>
          <t>DS 2022-2023</t>
        </is>
      </c>
      <c r="F763" s="23" t="inlineStr">
        <is>
          <t>Harvest</t>
        </is>
      </c>
      <c r="G763" s="7" t="n">
        <v>0.16</v>
      </c>
      <c r="H763" s="8" t="n">
        <v>26.48</v>
      </c>
      <c r="I763" s="8" t="n">
        <v>17.91</v>
      </c>
      <c r="J763" s="8" t="n">
        <v>36.41</v>
      </c>
      <c r="K763" s="8" t="n">
        <v>67.70999999999999</v>
      </c>
      <c r="L763" s="8" t="n">
        <v>98.55</v>
      </c>
      <c r="M763" s="8" t="n">
        <v>22.69</v>
      </c>
      <c r="N763" s="23" t="inlineStr">
        <is>
          <t>Type I – Tropical Monsoon (PAGASA)</t>
        </is>
      </c>
      <c r="O763" s="23" t="inlineStr">
        <is>
          <t>Dry (Hot)</t>
        </is>
      </c>
      <c r="P763" s="23" t="inlineStr">
        <is>
          <t>Silty Clay Loam</t>
        </is>
      </c>
      <c r="Q763" s="23" t="inlineStr">
        <is>
          <t>Flat / Lowland</t>
        </is>
      </c>
      <c r="R763" s="24" t="n">
        <v>30</v>
      </c>
      <c r="S763" s="23" t="inlineStr">
        <is>
          <t>Aloragat River</t>
        </is>
      </c>
      <c r="T763" s="25" t="n">
        <v>484.68</v>
      </c>
      <c r="U763" s="25" t="n"/>
      <c r="V763" s="25" t="n"/>
      <c r="W763" s="25" t="n"/>
      <c r="X763" s="25" t="n">
        <v>47.47</v>
      </c>
      <c r="Y763" s="25" t="n">
        <v>357.5</v>
      </c>
      <c r="Z763" s="26" t="n">
        <v>7.53</v>
      </c>
      <c r="AA763" s="17" t="inlineStr">
        <is>
          <t>Direct Seeding (Furrow Method on Raised Beds)</t>
        </is>
      </c>
      <c r="AB763" s="17" t="inlineStr">
        <is>
          <t>Deep Tillage (25 cm): 1–2 plowings; form raised beds 20–25 cm high to prevent waterlogging</t>
        </is>
      </c>
      <c r="AC763" s="17" t="inlineStr">
        <is>
          <t>Furrow irrigation only (not flood); ensure bed drainage; drain excess after rain</t>
        </is>
      </c>
    </row>
    <row r="764" ht="21.75" customHeight="1" s="101">
      <c r="A764" s="18" t="inlineStr">
        <is>
          <t>Corn</t>
        </is>
      </c>
      <c r="B764" s="18" t="inlineStr">
        <is>
          <t>Sta. Catalina</t>
        </is>
      </c>
      <c r="C764" s="18" t="inlineStr">
        <is>
          <t>November</t>
        </is>
      </c>
      <c r="D764" s="18" t="inlineStr">
        <is>
          <t>2022</t>
        </is>
      </c>
      <c r="E764" s="18" t="inlineStr">
        <is>
          <t>DS 2022-2023</t>
        </is>
      </c>
      <c r="F764" s="18" t="inlineStr">
        <is>
          <t>Planting</t>
        </is>
      </c>
      <c r="G764" s="7" t="n">
        <v>2.22</v>
      </c>
      <c r="H764" s="8" t="n">
        <v>26.38</v>
      </c>
      <c r="I764" s="8" t="n">
        <v>19.97</v>
      </c>
      <c r="J764" s="8" t="n">
        <v>31.8</v>
      </c>
      <c r="K764" s="8" t="n">
        <v>83.62</v>
      </c>
      <c r="L764" s="8" t="n">
        <v>98.40000000000001</v>
      </c>
      <c r="M764" s="8" t="n">
        <v>17.64</v>
      </c>
      <c r="N764" s="18" t="inlineStr">
        <is>
          <t>Type I – Tropical Monsoon (PAGASA)</t>
        </is>
      </c>
      <c r="O764" s="18" t="inlineStr">
        <is>
          <t>Dry (Cool)</t>
        </is>
      </c>
      <c r="P764" s="18" t="inlineStr">
        <is>
          <t>Fine Sand / Sandy Loam</t>
        </is>
      </c>
      <c r="Q764" s="18" t="inlineStr">
        <is>
          <t>Moderately Sloping / Highland</t>
        </is>
      </c>
      <c r="R764" s="19" t="n">
        <v>90</v>
      </c>
      <c r="S764" s="18" t="inlineStr">
        <is>
          <t>—</t>
        </is>
      </c>
      <c r="T764" s="20" t="n">
        <v>709.8</v>
      </c>
      <c r="U764" s="20" t="n"/>
      <c r="V764" s="20" t="n"/>
      <c r="W764" s="20" t="n">
        <v>80.76000000000001</v>
      </c>
      <c r="X764" s="20" t="n"/>
      <c r="Y764" s="20" t="n"/>
      <c r="Z764" s="21" t="n"/>
      <c r="AA764" s="22" t="inlineStr">
        <is>
          <t>Direct Seeding (Hills or Furrow Method)</t>
        </is>
      </c>
      <c r="AB764" s="22" t="inlineStr">
        <is>
          <t>Minimum Tillage; deep ripping to break hardpan; avoid over-disturbance</t>
        </is>
      </c>
      <c r="AC764" s="22" t="inlineStr">
        <is>
          <t>Furrow irrigation; frequent light watering; mulch to retain soil moisture</t>
        </is>
      </c>
    </row>
    <row r="765" ht="21.75" customHeight="1" s="101">
      <c r="A765" s="23" t="inlineStr">
        <is>
          <t>Corn</t>
        </is>
      </c>
      <c r="B765" s="23" t="inlineStr">
        <is>
          <t>Sta. Catalina</t>
        </is>
      </c>
      <c r="C765" s="23" t="inlineStr">
        <is>
          <t>March</t>
        </is>
      </c>
      <c r="D765" s="23" t="inlineStr">
        <is>
          <t>2023</t>
        </is>
      </c>
      <c r="E765" s="23" t="inlineStr">
        <is>
          <t>DS 2022-2023</t>
        </is>
      </c>
      <c r="F765" s="23" t="inlineStr">
        <is>
          <t>Harvest</t>
        </is>
      </c>
      <c r="G765" s="7" t="n">
        <v>0.16</v>
      </c>
      <c r="H765" s="8" t="n">
        <v>26.48</v>
      </c>
      <c r="I765" s="8" t="n">
        <v>17.91</v>
      </c>
      <c r="J765" s="8" t="n">
        <v>36.41</v>
      </c>
      <c r="K765" s="8" t="n">
        <v>67.70999999999999</v>
      </c>
      <c r="L765" s="8" t="n">
        <v>98.55</v>
      </c>
      <c r="M765" s="8" t="n">
        <v>22.69</v>
      </c>
      <c r="N765" s="23" t="inlineStr">
        <is>
          <t>Type I – Tropical Monsoon (PAGASA)</t>
        </is>
      </c>
      <c r="O765" s="23" t="inlineStr">
        <is>
          <t>Dry (Hot)</t>
        </is>
      </c>
      <c r="P765" s="23" t="inlineStr">
        <is>
          <t>Fine Sand / Sandy Loam</t>
        </is>
      </c>
      <c r="Q765" s="23" t="inlineStr">
        <is>
          <t>Moderately Sloping / Highland</t>
        </is>
      </c>
      <c r="R765" s="24" t="n">
        <v>90</v>
      </c>
      <c r="S765" s="23" t="inlineStr">
        <is>
          <t>—</t>
        </is>
      </c>
      <c r="T765" s="25" t="n">
        <v>709.8</v>
      </c>
      <c r="U765" s="25" t="n"/>
      <c r="V765" s="25" t="n"/>
      <c r="W765" s="25" t="n"/>
      <c r="X765" s="25" t="n">
        <v>80.77</v>
      </c>
      <c r="Y765" s="25" t="n">
        <v>608.29</v>
      </c>
      <c r="Z765" s="26" t="n">
        <v>7.53</v>
      </c>
      <c r="AA765" s="17" t="inlineStr">
        <is>
          <t>Direct Seeding (Hills or Furrow Method)</t>
        </is>
      </c>
      <c r="AB765" s="17" t="inlineStr">
        <is>
          <t>Minimum Tillage; deep ripping to break hardpan; avoid over-disturbance</t>
        </is>
      </c>
      <c r="AC765" s="17" t="inlineStr">
        <is>
          <t>Furrow irrigation; frequent light watering; mulch to retain soil moisture</t>
        </is>
      </c>
    </row>
    <row r="766" ht="21.75" customHeight="1" s="101">
      <c r="A766" s="18" t="inlineStr">
        <is>
          <t>Corn</t>
        </is>
      </c>
      <c r="B766" s="18" t="inlineStr">
        <is>
          <t>Moreno</t>
        </is>
      </c>
      <c r="C766" s="18" t="inlineStr">
        <is>
          <t>November</t>
        </is>
      </c>
      <c r="D766" s="18" t="inlineStr">
        <is>
          <t>2022</t>
        </is>
      </c>
      <c r="E766" s="18" t="inlineStr">
        <is>
          <t>DS 2022-2023</t>
        </is>
      </c>
      <c r="F766" s="18" t="inlineStr">
        <is>
          <t>Planting</t>
        </is>
      </c>
      <c r="G766" s="7" t="n">
        <v>2.22</v>
      </c>
      <c r="H766" s="8" t="n">
        <v>26.38</v>
      </c>
      <c r="I766" s="8" t="n">
        <v>19.97</v>
      </c>
      <c r="J766" s="8" t="n">
        <v>31.8</v>
      </c>
      <c r="K766" s="8" t="n">
        <v>83.62</v>
      </c>
      <c r="L766" s="8" t="n">
        <v>98.40000000000001</v>
      </c>
      <c r="M766" s="8" t="n">
        <v>17.64</v>
      </c>
      <c r="N766" s="18" t="inlineStr">
        <is>
          <t>Type I – Tropical Monsoon (PAGASA)</t>
        </is>
      </c>
      <c r="O766" s="18" t="inlineStr">
        <is>
          <t>Dry (Cool)</t>
        </is>
      </c>
      <c r="P766" s="18" t="inlineStr">
        <is>
          <t>Sandy Loam</t>
        </is>
      </c>
      <c r="Q766" s="18" t="inlineStr">
        <is>
          <t>Moderately Sloping / Highland</t>
        </is>
      </c>
      <c r="R766" s="19" t="n">
        <v>90</v>
      </c>
      <c r="S766" s="18" t="inlineStr">
        <is>
          <t>Alibeng River</t>
        </is>
      </c>
      <c r="T766" s="20" t="n">
        <v>641.76</v>
      </c>
      <c r="U766" s="20" t="n"/>
      <c r="V766" s="20" t="n"/>
      <c r="W766" s="20" t="n">
        <v>57.86</v>
      </c>
      <c r="X766" s="20" t="n"/>
      <c r="Y766" s="20" t="n"/>
      <c r="Z766" s="21" t="n"/>
      <c r="AA766" s="22" t="inlineStr">
        <is>
          <t>Direct Seeding (Hill Planting / Furrow Method)</t>
        </is>
      </c>
      <c r="AB766" s="22" t="inlineStr">
        <is>
          <t>Conventional Tillage: 1 deep plow (20–25 cm) + 1 harrowing; good tilth easily achieved</t>
        </is>
      </c>
      <c r="AC766" s="22" t="inlineStr">
        <is>
          <t>Furrow or sprinkler irrigation; AWD or weekly irrigation; good drainage natural</t>
        </is>
      </c>
    </row>
    <row r="767" ht="21.75" customHeight="1" s="101">
      <c r="A767" s="23" t="inlineStr">
        <is>
          <t>Corn</t>
        </is>
      </c>
      <c r="B767" s="23" t="inlineStr">
        <is>
          <t>Moreno</t>
        </is>
      </c>
      <c r="C767" s="23" t="inlineStr">
        <is>
          <t>March</t>
        </is>
      </c>
      <c r="D767" s="23" t="inlineStr">
        <is>
          <t>2023</t>
        </is>
      </c>
      <c r="E767" s="23" t="inlineStr">
        <is>
          <t>DS 2022-2023</t>
        </is>
      </c>
      <c r="F767" s="23" t="inlineStr">
        <is>
          <t>Harvest</t>
        </is>
      </c>
      <c r="G767" s="7" t="n">
        <v>0.16</v>
      </c>
      <c r="H767" s="8" t="n">
        <v>26.48</v>
      </c>
      <c r="I767" s="8" t="n">
        <v>17.91</v>
      </c>
      <c r="J767" s="8" t="n">
        <v>36.41</v>
      </c>
      <c r="K767" s="8" t="n">
        <v>67.70999999999999</v>
      </c>
      <c r="L767" s="8" t="n">
        <v>98.55</v>
      </c>
      <c r="M767" s="8" t="n">
        <v>22.69</v>
      </c>
      <c r="N767" s="23" t="inlineStr">
        <is>
          <t>Type I – Tropical Monsoon (PAGASA)</t>
        </is>
      </c>
      <c r="O767" s="23" t="inlineStr">
        <is>
          <t>Dry (Hot)</t>
        </is>
      </c>
      <c r="P767" s="23" t="inlineStr">
        <is>
          <t>Sandy Loam</t>
        </is>
      </c>
      <c r="Q767" s="23" t="inlineStr">
        <is>
          <t>Moderately Sloping / Highland</t>
        </is>
      </c>
      <c r="R767" s="24" t="n">
        <v>90</v>
      </c>
      <c r="S767" s="23" t="inlineStr">
        <is>
          <t>Alibeng River</t>
        </is>
      </c>
      <c r="T767" s="25" t="n">
        <v>641.76</v>
      </c>
      <c r="U767" s="25" t="n"/>
      <c r="V767" s="25" t="n"/>
      <c r="W767" s="25" t="n"/>
      <c r="X767" s="25" t="n">
        <v>57.86</v>
      </c>
      <c r="Y767" s="25" t="n">
        <v>435.77</v>
      </c>
      <c r="Z767" s="26" t="n">
        <v>7.53</v>
      </c>
      <c r="AA767" s="17" t="inlineStr">
        <is>
          <t>Direct Seeding (Hill Planting / Furrow Method)</t>
        </is>
      </c>
      <c r="AB767" s="17" t="inlineStr">
        <is>
          <t>Conventional Tillage: 1 deep plow (20–25 cm) + 1 harrowing; good tilth easily achieved</t>
        </is>
      </c>
      <c r="AC767" s="17" t="inlineStr">
        <is>
          <t>Furrow or sprinkler irrigation; AWD or weekly irrigation; good drainage natural</t>
        </is>
      </c>
    </row>
    <row r="768" ht="21.75" customHeight="1" s="101">
      <c r="A768" s="18" t="inlineStr">
        <is>
          <t>Corn</t>
        </is>
      </c>
      <c r="B768" s="18" t="inlineStr">
        <is>
          <t>Cili</t>
        </is>
      </c>
      <c r="C768" s="18" t="inlineStr">
        <is>
          <t>November</t>
        </is>
      </c>
      <c r="D768" s="18" t="inlineStr">
        <is>
          <t>2022</t>
        </is>
      </c>
      <c r="E768" s="18" t="inlineStr">
        <is>
          <t>DS 2022-2023</t>
        </is>
      </c>
      <c r="F768" s="18" t="inlineStr">
        <is>
          <t>Planting</t>
        </is>
      </c>
      <c r="G768" s="7" t="n">
        <v>2.22</v>
      </c>
      <c r="H768" s="8" t="n">
        <v>26.38</v>
      </c>
      <c r="I768" s="8" t="n">
        <v>19.97</v>
      </c>
      <c r="J768" s="8" t="n">
        <v>31.8</v>
      </c>
      <c r="K768" s="8" t="n">
        <v>83.62</v>
      </c>
      <c r="L768" s="8" t="n">
        <v>98.40000000000001</v>
      </c>
      <c r="M768" s="8" t="n">
        <v>17.64</v>
      </c>
      <c r="N768" s="18" t="inlineStr">
        <is>
          <t>Type I – Tropical Monsoon (PAGASA)</t>
        </is>
      </c>
      <c r="O768" s="18" t="inlineStr">
        <is>
          <t>Dry (Cool)</t>
        </is>
      </c>
      <c r="P768" s="18" t="inlineStr">
        <is>
          <t>Silty Clay Loam</t>
        </is>
      </c>
      <c r="Q768" s="18" t="inlineStr">
        <is>
          <t>Flat / Lowland</t>
        </is>
      </c>
      <c r="R768" s="19" t="n">
        <v>30</v>
      </c>
      <c r="S768" s="18" t="inlineStr">
        <is>
          <t>Alibeng River</t>
        </is>
      </c>
      <c r="T768" s="20" t="n">
        <v>264.6</v>
      </c>
      <c r="U768" s="20" t="n"/>
      <c r="V768" s="20" t="n"/>
      <c r="W768" s="20" t="n">
        <v>54.02</v>
      </c>
      <c r="X768" s="20" t="n"/>
      <c r="Y768" s="20" t="n"/>
      <c r="Z768" s="21" t="n"/>
      <c r="AA768" s="22" t="inlineStr">
        <is>
          <t>Direct Seeding (Furrow Method on Raised Beds)</t>
        </is>
      </c>
      <c r="AB768" s="22" t="inlineStr">
        <is>
          <t>Deep Tillage (25 cm): 1–2 plowings; form raised beds 20–25 cm high to prevent waterlogging</t>
        </is>
      </c>
      <c r="AC768" s="22" t="inlineStr">
        <is>
          <t>Furrow irrigation only (not flood); ensure bed drainage; drain excess after rain</t>
        </is>
      </c>
    </row>
    <row r="769" ht="21.75" customHeight="1" s="101">
      <c r="A769" s="23" t="inlineStr">
        <is>
          <t>Corn</t>
        </is>
      </c>
      <c r="B769" s="23" t="inlineStr">
        <is>
          <t>Cili</t>
        </is>
      </c>
      <c r="C769" s="23" t="inlineStr">
        <is>
          <t>March</t>
        </is>
      </c>
      <c r="D769" s="23" t="inlineStr">
        <is>
          <t>2023</t>
        </is>
      </c>
      <c r="E769" s="23" t="inlineStr">
        <is>
          <t>DS 2022-2023</t>
        </is>
      </c>
      <c r="F769" s="23" t="inlineStr">
        <is>
          <t>Harvest</t>
        </is>
      </c>
      <c r="G769" s="7" t="n">
        <v>0.16</v>
      </c>
      <c r="H769" s="8" t="n">
        <v>26.48</v>
      </c>
      <c r="I769" s="8" t="n">
        <v>17.91</v>
      </c>
      <c r="J769" s="8" t="n">
        <v>36.41</v>
      </c>
      <c r="K769" s="8" t="n">
        <v>67.70999999999999</v>
      </c>
      <c r="L769" s="8" t="n">
        <v>98.55</v>
      </c>
      <c r="M769" s="8" t="n">
        <v>22.69</v>
      </c>
      <c r="N769" s="23" t="inlineStr">
        <is>
          <t>Type I – Tropical Monsoon (PAGASA)</t>
        </is>
      </c>
      <c r="O769" s="23" t="inlineStr">
        <is>
          <t>Dry (Hot)</t>
        </is>
      </c>
      <c r="P769" s="23" t="inlineStr">
        <is>
          <t>Silty Clay Loam</t>
        </is>
      </c>
      <c r="Q769" s="23" t="inlineStr">
        <is>
          <t>Flat / Lowland</t>
        </is>
      </c>
      <c r="R769" s="24" t="n">
        <v>30</v>
      </c>
      <c r="S769" s="23" t="inlineStr">
        <is>
          <t>Alibeng River</t>
        </is>
      </c>
      <c r="T769" s="25" t="n">
        <v>264.6</v>
      </c>
      <c r="U769" s="25" t="n"/>
      <c r="V769" s="25" t="n"/>
      <c r="W769" s="25" t="n"/>
      <c r="X769" s="25" t="n">
        <v>54.02</v>
      </c>
      <c r="Y769" s="25" t="n">
        <v>406.86</v>
      </c>
      <c r="Z769" s="26" t="n">
        <v>7.53</v>
      </c>
      <c r="AA769" s="17" t="inlineStr">
        <is>
          <t>Direct Seeding (Furrow Method on Raised Beds)</t>
        </is>
      </c>
      <c r="AB769" s="17" t="inlineStr">
        <is>
          <t>Deep Tillage (25 cm): 1–2 plowings; form raised beds 20–25 cm high to prevent waterlogging</t>
        </is>
      </c>
      <c r="AC769" s="17" t="inlineStr">
        <is>
          <t>Furrow irrigation only (not flood); ensure bed drainage; drain excess after rain</t>
        </is>
      </c>
    </row>
    <row r="770" ht="21.75" customHeight="1" s="101">
      <c r="A770" s="18" t="inlineStr">
        <is>
          <t>Corn</t>
        </is>
      </c>
      <c r="B770" s="18" t="inlineStr">
        <is>
          <t>Linmansangan</t>
        </is>
      </c>
      <c r="C770" s="18" t="inlineStr">
        <is>
          <t>November</t>
        </is>
      </c>
      <c r="D770" s="18" t="inlineStr">
        <is>
          <t>2022</t>
        </is>
      </c>
      <c r="E770" s="18" t="inlineStr">
        <is>
          <t>DS 2022-2023</t>
        </is>
      </c>
      <c r="F770" s="18" t="inlineStr">
        <is>
          <t>Planting</t>
        </is>
      </c>
      <c r="G770" s="7" t="n">
        <v>2.22</v>
      </c>
      <c r="H770" s="8" t="n">
        <v>26.38</v>
      </c>
      <c r="I770" s="8" t="n">
        <v>19.97</v>
      </c>
      <c r="J770" s="8" t="n">
        <v>31.8</v>
      </c>
      <c r="K770" s="8" t="n">
        <v>83.62</v>
      </c>
      <c r="L770" s="8" t="n">
        <v>98.40000000000001</v>
      </c>
      <c r="M770" s="8" t="n">
        <v>17.64</v>
      </c>
      <c r="N770" s="18" t="inlineStr">
        <is>
          <t>Type I – Tropical Monsoon (PAGASA)</t>
        </is>
      </c>
      <c r="O770" s="18" t="inlineStr">
        <is>
          <t>Dry (Cool)</t>
        </is>
      </c>
      <c r="P770" s="18" t="inlineStr">
        <is>
          <t>Silty Clay Loam</t>
        </is>
      </c>
      <c r="Q770" s="18" t="inlineStr">
        <is>
          <t>Flat / Lowland</t>
        </is>
      </c>
      <c r="R770" s="19" t="n">
        <v>30</v>
      </c>
      <c r="S770" s="18" t="inlineStr">
        <is>
          <t>—</t>
        </is>
      </c>
      <c r="T770" s="20" t="n">
        <v>492.24</v>
      </c>
      <c r="U770" s="20" t="n"/>
      <c r="V770" s="20" t="n"/>
      <c r="W770" s="20" t="n">
        <v>81.13</v>
      </c>
      <c r="X770" s="20" t="n"/>
      <c r="Y770" s="20" t="n"/>
      <c r="Z770" s="21" t="n"/>
      <c r="AA770" s="22" t="inlineStr">
        <is>
          <t>Direct Seeding (Furrow Method on Raised Beds)</t>
        </is>
      </c>
      <c r="AB770" s="22" t="inlineStr">
        <is>
          <t>Deep Tillage (25 cm): 1–2 plowings; form raised beds 20–25 cm high to prevent waterlogging</t>
        </is>
      </c>
      <c r="AC770" s="22" t="inlineStr">
        <is>
          <t>Furrow irrigation only (not flood); ensure bed drainage; drain excess after rain</t>
        </is>
      </c>
    </row>
    <row r="771" ht="21.75" customHeight="1" s="101">
      <c r="A771" s="23" t="inlineStr">
        <is>
          <t>Corn</t>
        </is>
      </c>
      <c r="B771" s="23" t="inlineStr">
        <is>
          <t>Linmansangan</t>
        </is>
      </c>
      <c r="C771" s="23" t="inlineStr">
        <is>
          <t>March</t>
        </is>
      </c>
      <c r="D771" s="23" t="inlineStr">
        <is>
          <t>2023</t>
        </is>
      </c>
      <c r="E771" s="23" t="inlineStr">
        <is>
          <t>DS 2022-2023</t>
        </is>
      </c>
      <c r="F771" s="23" t="inlineStr">
        <is>
          <t>Harvest</t>
        </is>
      </c>
      <c r="G771" s="7" t="n">
        <v>0.16</v>
      </c>
      <c r="H771" s="8" t="n">
        <v>26.48</v>
      </c>
      <c r="I771" s="8" t="n">
        <v>17.91</v>
      </c>
      <c r="J771" s="8" t="n">
        <v>36.41</v>
      </c>
      <c r="K771" s="8" t="n">
        <v>67.70999999999999</v>
      </c>
      <c r="L771" s="8" t="n">
        <v>98.55</v>
      </c>
      <c r="M771" s="8" t="n">
        <v>22.69</v>
      </c>
      <c r="N771" s="23" t="inlineStr">
        <is>
          <t>Type I – Tropical Monsoon (PAGASA)</t>
        </is>
      </c>
      <c r="O771" s="23" t="inlineStr">
        <is>
          <t>Dry (Hot)</t>
        </is>
      </c>
      <c r="P771" s="23" t="inlineStr">
        <is>
          <t>Silty Clay Loam</t>
        </is>
      </c>
      <c r="Q771" s="23" t="inlineStr">
        <is>
          <t>Flat / Lowland</t>
        </is>
      </c>
      <c r="R771" s="24" t="n">
        <v>30</v>
      </c>
      <c r="S771" s="23" t="inlineStr">
        <is>
          <t>—</t>
        </is>
      </c>
      <c r="T771" s="25" t="n">
        <v>492.24</v>
      </c>
      <c r="U771" s="25" t="n"/>
      <c r="V771" s="25" t="n"/>
      <c r="W771" s="25" t="n"/>
      <c r="X771" s="25" t="n">
        <v>81.13</v>
      </c>
      <c r="Y771" s="25" t="n">
        <v>611.0700000000001</v>
      </c>
      <c r="Z771" s="26" t="n">
        <v>7.53</v>
      </c>
      <c r="AA771" s="17" t="inlineStr">
        <is>
          <t>Direct Seeding (Furrow Method on Raised Beds)</t>
        </is>
      </c>
      <c r="AB771" s="17" t="inlineStr">
        <is>
          <t>Deep Tillage (25 cm): 1–2 plowings; form raised beds 20–25 cm high to prevent waterlogging</t>
        </is>
      </c>
      <c r="AC771" s="17" t="inlineStr">
        <is>
          <t>Furrow irrigation only (not flood); ensure bed drainage; drain excess after rain</t>
        </is>
      </c>
    </row>
    <row r="772" ht="21.75" customHeight="1" s="101">
      <c r="A772" s="18" t="inlineStr">
        <is>
          <t>Corn</t>
        </is>
      </c>
      <c r="B772" s="18" t="inlineStr">
        <is>
          <t>Sumabnit</t>
        </is>
      </c>
      <c r="C772" s="18" t="inlineStr">
        <is>
          <t>November</t>
        </is>
      </c>
      <c r="D772" s="18" t="inlineStr">
        <is>
          <t>2022</t>
        </is>
      </c>
      <c r="E772" s="18" t="inlineStr">
        <is>
          <t>DS 2022-2023</t>
        </is>
      </c>
      <c r="F772" s="18" t="inlineStr">
        <is>
          <t>Planting</t>
        </is>
      </c>
      <c r="G772" s="7" t="n">
        <v>2.22</v>
      </c>
      <c r="H772" s="8" t="n">
        <v>26.38</v>
      </c>
      <c r="I772" s="8" t="n">
        <v>19.97</v>
      </c>
      <c r="J772" s="8" t="n">
        <v>31.8</v>
      </c>
      <c r="K772" s="8" t="n">
        <v>83.62</v>
      </c>
      <c r="L772" s="8" t="n">
        <v>98.40000000000001</v>
      </c>
      <c r="M772" s="8" t="n">
        <v>17.64</v>
      </c>
      <c r="N772" s="18" t="inlineStr">
        <is>
          <t>Type I – Tropical Monsoon (PAGASA)</t>
        </is>
      </c>
      <c r="O772" s="18" t="inlineStr">
        <is>
          <t>Dry (Cool)</t>
        </is>
      </c>
      <c r="P772" s="18" t="inlineStr">
        <is>
          <t>Silty Clay Loam / Fine Sandy Loam</t>
        </is>
      </c>
      <c r="Q772" s="18" t="inlineStr">
        <is>
          <t>Flat / Lowland</t>
        </is>
      </c>
      <c r="R772" s="19" t="n">
        <v>30</v>
      </c>
      <c r="S772" s="18" t="inlineStr">
        <is>
          <t>Tagamusing River</t>
        </is>
      </c>
      <c r="T772" s="20" t="n">
        <v>406.56</v>
      </c>
      <c r="U772" s="20" t="n"/>
      <c r="V772" s="20" t="n"/>
      <c r="W772" s="20" t="n">
        <v>73.05</v>
      </c>
      <c r="X772" s="20" t="n"/>
      <c r="Y772" s="20" t="n"/>
      <c r="Z772" s="21" t="n"/>
      <c r="AA772" s="22" t="inlineStr">
        <is>
          <t>Direct Seeding (Hills or Furrow Method)</t>
        </is>
      </c>
      <c r="AB772" s="22" t="inlineStr">
        <is>
          <t>Minimum Tillage; deep ripping to break hardpan; avoid over-disturbance</t>
        </is>
      </c>
      <c r="AC772" s="22" t="inlineStr">
        <is>
          <t>Furrow irrigation; frequent light watering; mulch to retain soil moisture</t>
        </is>
      </c>
    </row>
    <row r="773" ht="21.75" customHeight="1" s="101">
      <c r="A773" s="23" t="inlineStr">
        <is>
          <t>Corn</t>
        </is>
      </c>
      <c r="B773" s="23" t="inlineStr">
        <is>
          <t>Sumabnit</t>
        </is>
      </c>
      <c r="C773" s="23" t="inlineStr">
        <is>
          <t>March</t>
        </is>
      </c>
      <c r="D773" s="23" t="inlineStr">
        <is>
          <t>2023</t>
        </is>
      </c>
      <c r="E773" s="23" t="inlineStr">
        <is>
          <t>DS 2022-2023</t>
        </is>
      </c>
      <c r="F773" s="23" t="inlineStr">
        <is>
          <t>Harvest</t>
        </is>
      </c>
      <c r="G773" s="7" t="n">
        <v>0.16</v>
      </c>
      <c r="H773" s="8" t="n">
        <v>26.48</v>
      </c>
      <c r="I773" s="8" t="n">
        <v>17.91</v>
      </c>
      <c r="J773" s="8" t="n">
        <v>36.41</v>
      </c>
      <c r="K773" s="8" t="n">
        <v>67.70999999999999</v>
      </c>
      <c r="L773" s="8" t="n">
        <v>98.55</v>
      </c>
      <c r="M773" s="8" t="n">
        <v>22.69</v>
      </c>
      <c r="N773" s="23" t="inlineStr">
        <is>
          <t>Type I – Tropical Monsoon (PAGASA)</t>
        </is>
      </c>
      <c r="O773" s="23" t="inlineStr">
        <is>
          <t>Dry (Hot)</t>
        </is>
      </c>
      <c r="P773" s="23" t="inlineStr">
        <is>
          <t>Silty Clay Loam / Fine Sandy Loam</t>
        </is>
      </c>
      <c r="Q773" s="23" t="inlineStr">
        <is>
          <t>Flat / Lowland</t>
        </is>
      </c>
      <c r="R773" s="24" t="n">
        <v>30</v>
      </c>
      <c r="S773" s="23" t="inlineStr">
        <is>
          <t>Tagamusing River</t>
        </is>
      </c>
      <c r="T773" s="25" t="n">
        <v>406.56</v>
      </c>
      <c r="U773" s="25" t="n"/>
      <c r="V773" s="25" t="n"/>
      <c r="W773" s="25" t="n"/>
      <c r="X773" s="25" t="n">
        <v>73.06</v>
      </c>
      <c r="Y773" s="25" t="n">
        <v>550.22</v>
      </c>
      <c r="Z773" s="26" t="n">
        <v>7.53</v>
      </c>
      <c r="AA773" s="17" t="inlineStr">
        <is>
          <t>Direct Seeding (Hills or Furrow Method)</t>
        </is>
      </c>
      <c r="AB773" s="17" t="inlineStr">
        <is>
          <t>Minimum Tillage; deep ripping to break hardpan; avoid over-disturbance</t>
        </is>
      </c>
      <c r="AC773" s="17" t="inlineStr">
        <is>
          <t>Furrow irrigation; frequent light watering; mulch to retain soil moisture</t>
        </is>
      </c>
    </row>
    <row r="774" ht="21.75" customHeight="1" s="101">
      <c r="A774" s="18" t="inlineStr">
        <is>
          <t>Corn</t>
        </is>
      </c>
      <c r="B774" s="18" t="inlineStr">
        <is>
          <t>Capas</t>
        </is>
      </c>
      <c r="C774" s="18" t="inlineStr">
        <is>
          <t>November</t>
        </is>
      </c>
      <c r="D774" s="18" t="inlineStr">
        <is>
          <t>2022</t>
        </is>
      </c>
      <c r="E774" s="18" t="inlineStr">
        <is>
          <t>DS 2022-2023</t>
        </is>
      </c>
      <c r="F774" s="18" t="inlineStr">
        <is>
          <t>Planting</t>
        </is>
      </c>
      <c r="G774" s="7" t="n">
        <v>2.22</v>
      </c>
      <c r="H774" s="8" t="n">
        <v>26.38</v>
      </c>
      <c r="I774" s="8" t="n">
        <v>19.97</v>
      </c>
      <c r="J774" s="8" t="n">
        <v>31.8</v>
      </c>
      <c r="K774" s="8" t="n">
        <v>83.62</v>
      </c>
      <c r="L774" s="8" t="n">
        <v>98.40000000000001</v>
      </c>
      <c r="M774" s="8" t="n">
        <v>17.64</v>
      </c>
      <c r="N774" s="18" t="inlineStr">
        <is>
          <t>Type I – Tropical Monsoon (PAGASA)</t>
        </is>
      </c>
      <c r="O774" s="18" t="inlineStr">
        <is>
          <t>Dry (Cool)</t>
        </is>
      </c>
      <c r="P774" s="18" t="inlineStr">
        <is>
          <t>Sandy Loam</t>
        </is>
      </c>
      <c r="Q774" s="18" t="inlineStr">
        <is>
          <t>Flat / Lowland</t>
        </is>
      </c>
      <c r="R774" s="19" t="n">
        <v>30</v>
      </c>
      <c r="S774" s="18" t="inlineStr">
        <is>
          <t>—</t>
        </is>
      </c>
      <c r="T774" s="20" t="n">
        <v>377.16</v>
      </c>
      <c r="U774" s="20" t="n"/>
      <c r="V774" s="20" t="n"/>
      <c r="W774" s="20" t="n">
        <v>102.74</v>
      </c>
      <c r="X774" s="20" t="n"/>
      <c r="Y774" s="20" t="n"/>
      <c r="Z774" s="21" t="n"/>
      <c r="AA774" s="22" t="inlineStr">
        <is>
          <t>Direct Seeding (Hill Planting / Furrow Method)</t>
        </is>
      </c>
      <c r="AB774" s="22" t="inlineStr">
        <is>
          <t>Conventional Tillage: 1 deep plow (20–25 cm) + 1 harrowing; good tilth easily achieved</t>
        </is>
      </c>
      <c r="AC774" s="22" t="inlineStr">
        <is>
          <t>Furrow or sprinkler irrigation; AWD or weekly irrigation; good drainage natural</t>
        </is>
      </c>
    </row>
    <row r="775" ht="21.75" customHeight="1" s="101">
      <c r="A775" s="23" t="inlineStr">
        <is>
          <t>Corn</t>
        </is>
      </c>
      <c r="B775" s="23" t="inlineStr">
        <is>
          <t>Capas</t>
        </is>
      </c>
      <c r="C775" s="23" t="inlineStr">
        <is>
          <t>March</t>
        </is>
      </c>
      <c r="D775" s="23" t="inlineStr">
        <is>
          <t>2023</t>
        </is>
      </c>
      <c r="E775" s="23" t="inlineStr">
        <is>
          <t>DS 2022-2023</t>
        </is>
      </c>
      <c r="F775" s="23" t="inlineStr">
        <is>
          <t>Harvest</t>
        </is>
      </c>
      <c r="G775" s="7" t="n">
        <v>0.16</v>
      </c>
      <c r="H775" s="8" t="n">
        <v>26.48</v>
      </c>
      <c r="I775" s="8" t="n">
        <v>17.91</v>
      </c>
      <c r="J775" s="8" t="n">
        <v>36.41</v>
      </c>
      <c r="K775" s="8" t="n">
        <v>67.70999999999999</v>
      </c>
      <c r="L775" s="8" t="n">
        <v>98.55</v>
      </c>
      <c r="M775" s="8" t="n">
        <v>22.69</v>
      </c>
      <c r="N775" s="23" t="inlineStr">
        <is>
          <t>Type I – Tropical Monsoon (PAGASA)</t>
        </is>
      </c>
      <c r="O775" s="23" t="inlineStr">
        <is>
          <t>Dry (Hot)</t>
        </is>
      </c>
      <c r="P775" s="23" t="inlineStr">
        <is>
          <t>Sandy Loam</t>
        </is>
      </c>
      <c r="Q775" s="23" t="inlineStr">
        <is>
          <t>Flat / Lowland</t>
        </is>
      </c>
      <c r="R775" s="24" t="n">
        <v>30</v>
      </c>
      <c r="S775" s="23" t="inlineStr">
        <is>
          <t>—</t>
        </is>
      </c>
      <c r="T775" s="25" t="n">
        <v>377.16</v>
      </c>
      <c r="U775" s="25" t="n"/>
      <c r="V775" s="25" t="n"/>
      <c r="W775" s="25" t="n"/>
      <c r="X775" s="25" t="n">
        <v>102.74</v>
      </c>
      <c r="Y775" s="25" t="n">
        <v>773.8200000000001</v>
      </c>
      <c r="Z775" s="26" t="n">
        <v>7.53</v>
      </c>
      <c r="AA775" s="17" t="inlineStr">
        <is>
          <t>Direct Seeding (Hill Planting / Furrow Method)</t>
        </is>
      </c>
      <c r="AB775" s="17" t="inlineStr">
        <is>
          <t>Conventional Tillage: 1 deep plow (20–25 cm) + 1 harrowing; good tilth easily achieved</t>
        </is>
      </c>
      <c r="AC775" s="17" t="inlineStr">
        <is>
          <t>Furrow or sprinkler irrigation; AWD or weekly irrigation; good drainage natural</t>
        </is>
      </c>
    </row>
    <row r="776" ht="21.75" customHeight="1" s="101">
      <c r="A776" s="18" t="inlineStr">
        <is>
          <t>Corn</t>
        </is>
      </c>
      <c r="B776" s="18" t="inlineStr">
        <is>
          <t>Mangkasuy</t>
        </is>
      </c>
      <c r="C776" s="18" t="inlineStr">
        <is>
          <t>November</t>
        </is>
      </c>
      <c r="D776" s="18" t="inlineStr">
        <is>
          <t>2022</t>
        </is>
      </c>
      <c r="E776" s="18" t="inlineStr">
        <is>
          <t>DS 2022-2023</t>
        </is>
      </c>
      <c r="F776" s="18" t="inlineStr">
        <is>
          <t>Planting</t>
        </is>
      </c>
      <c r="G776" s="7" t="n">
        <v>2.22</v>
      </c>
      <c r="H776" s="8" t="n">
        <v>26.38</v>
      </c>
      <c r="I776" s="8" t="n">
        <v>19.97</v>
      </c>
      <c r="J776" s="8" t="n">
        <v>31.8</v>
      </c>
      <c r="K776" s="8" t="n">
        <v>83.62</v>
      </c>
      <c r="L776" s="8" t="n">
        <v>98.40000000000001</v>
      </c>
      <c r="M776" s="8" t="n">
        <v>17.64</v>
      </c>
      <c r="N776" s="18" t="inlineStr">
        <is>
          <t>Type I – Tropical Monsoon (PAGASA)</t>
        </is>
      </c>
      <c r="O776" s="18" t="inlineStr">
        <is>
          <t>Dry (Cool)</t>
        </is>
      </c>
      <c r="P776" s="18" t="inlineStr">
        <is>
          <t>Sandy Loam</t>
        </is>
      </c>
      <c r="Q776" s="18" t="inlineStr">
        <is>
          <t>Flat / Lowland</t>
        </is>
      </c>
      <c r="R776" s="19" t="n">
        <v>30</v>
      </c>
      <c r="S776" s="18" t="inlineStr">
        <is>
          <t>Tagamusing River</t>
        </is>
      </c>
      <c r="T776" s="20" t="n">
        <v>802.2</v>
      </c>
      <c r="U776" s="20" t="n"/>
      <c r="V776" s="20" t="n"/>
      <c r="W776" s="20" t="n">
        <v>92.38</v>
      </c>
      <c r="X776" s="20" t="n"/>
      <c r="Y776" s="20" t="n"/>
      <c r="Z776" s="21" t="n"/>
      <c r="AA776" s="22" t="inlineStr">
        <is>
          <t>Direct Seeding (Hill Planting / Furrow Method)</t>
        </is>
      </c>
      <c r="AB776" s="22" t="inlineStr">
        <is>
          <t>Conventional Tillage: 1 deep plow (20–25 cm) + 1 harrowing; good tilth easily achieved</t>
        </is>
      </c>
      <c r="AC776" s="22" t="inlineStr">
        <is>
          <t>Furrow or sprinkler irrigation; AWD or weekly irrigation; good drainage natural</t>
        </is>
      </c>
    </row>
    <row r="777" ht="21.75" customHeight="1" s="101">
      <c r="A777" s="23" t="inlineStr">
        <is>
          <t>Corn</t>
        </is>
      </c>
      <c r="B777" s="23" t="inlineStr">
        <is>
          <t>Mangkasuy</t>
        </is>
      </c>
      <c r="C777" s="23" t="inlineStr">
        <is>
          <t>March</t>
        </is>
      </c>
      <c r="D777" s="23" t="inlineStr">
        <is>
          <t>2023</t>
        </is>
      </c>
      <c r="E777" s="23" t="inlineStr">
        <is>
          <t>DS 2022-2023</t>
        </is>
      </c>
      <c r="F777" s="23" t="inlineStr">
        <is>
          <t>Harvest</t>
        </is>
      </c>
      <c r="G777" s="7" t="n">
        <v>0.16</v>
      </c>
      <c r="H777" s="8" t="n">
        <v>26.48</v>
      </c>
      <c r="I777" s="8" t="n">
        <v>17.91</v>
      </c>
      <c r="J777" s="8" t="n">
        <v>36.41</v>
      </c>
      <c r="K777" s="8" t="n">
        <v>67.70999999999999</v>
      </c>
      <c r="L777" s="8" t="n">
        <v>98.55</v>
      </c>
      <c r="M777" s="8" t="n">
        <v>22.69</v>
      </c>
      <c r="N777" s="23" t="inlineStr">
        <is>
          <t>Type I – Tropical Monsoon (PAGASA)</t>
        </is>
      </c>
      <c r="O777" s="23" t="inlineStr">
        <is>
          <t>Dry (Hot)</t>
        </is>
      </c>
      <c r="P777" s="23" t="inlineStr">
        <is>
          <t>Sandy Loam</t>
        </is>
      </c>
      <c r="Q777" s="23" t="inlineStr">
        <is>
          <t>Flat / Lowland</t>
        </is>
      </c>
      <c r="R777" s="24" t="n">
        <v>30</v>
      </c>
      <c r="S777" s="23" t="inlineStr">
        <is>
          <t>Tagamusing River</t>
        </is>
      </c>
      <c r="T777" s="25" t="n">
        <v>802.2</v>
      </c>
      <c r="U777" s="25" t="n"/>
      <c r="V777" s="25" t="n"/>
      <c r="W777" s="25" t="n"/>
      <c r="X777" s="25" t="n">
        <v>92.38</v>
      </c>
      <c r="Y777" s="25" t="n">
        <v>695.78</v>
      </c>
      <c r="Z777" s="26" t="n">
        <v>7.53</v>
      </c>
      <c r="AA777" s="17" t="inlineStr">
        <is>
          <t>Direct Seeding (Hill Planting / Furrow Method)</t>
        </is>
      </c>
      <c r="AB777" s="17" t="inlineStr">
        <is>
          <t>Conventional Tillage: 1 deep plow (20–25 cm) + 1 harrowing; good tilth easily achieved</t>
        </is>
      </c>
      <c r="AC777" s="17" t="inlineStr">
        <is>
          <t>Furrow or sprinkler irrigation; AWD or weekly irrigation; good drainage natural</t>
        </is>
      </c>
    </row>
    <row r="778" ht="21.75" customHeight="1" s="101">
      <c r="A778" s="18" t="inlineStr">
        <is>
          <t>Corn</t>
        </is>
      </c>
      <c r="B778" s="18" t="inlineStr">
        <is>
          <t>San Pablo</t>
        </is>
      </c>
      <c r="C778" s="18" t="inlineStr">
        <is>
          <t>November</t>
        </is>
      </c>
      <c r="D778" s="18" t="inlineStr">
        <is>
          <t>2022</t>
        </is>
      </c>
      <c r="E778" s="18" t="inlineStr">
        <is>
          <t>DS 2022-2023</t>
        </is>
      </c>
      <c r="F778" s="18" t="inlineStr">
        <is>
          <t>Planting</t>
        </is>
      </c>
      <c r="G778" s="7" t="n">
        <v>2.22</v>
      </c>
      <c r="H778" s="8" t="n">
        <v>26.38</v>
      </c>
      <c r="I778" s="8" t="n">
        <v>19.97</v>
      </c>
      <c r="J778" s="8" t="n">
        <v>31.8</v>
      </c>
      <c r="K778" s="8" t="n">
        <v>83.62</v>
      </c>
      <c r="L778" s="8" t="n">
        <v>98.40000000000001</v>
      </c>
      <c r="M778" s="8" t="n">
        <v>17.64</v>
      </c>
      <c r="N778" s="18" t="inlineStr">
        <is>
          <t>Type I – Tropical Monsoon (PAGASA)</t>
        </is>
      </c>
      <c r="O778" s="18" t="inlineStr">
        <is>
          <t>Dry (Cool)</t>
        </is>
      </c>
      <c r="P778" s="18" t="inlineStr">
        <is>
          <t>Sandy Loam</t>
        </is>
      </c>
      <c r="Q778" s="18" t="inlineStr">
        <is>
          <t>Flat / Lowland</t>
        </is>
      </c>
      <c r="R778" s="19" t="n">
        <v>30</v>
      </c>
      <c r="S778" s="18" t="inlineStr">
        <is>
          <t>San Pablo Creek</t>
        </is>
      </c>
      <c r="T778" s="20" t="n">
        <v>215.04</v>
      </c>
      <c r="U778" s="20" t="n"/>
      <c r="V778" s="20" t="n"/>
      <c r="W778" s="20" t="n">
        <v>53.23</v>
      </c>
      <c r="X778" s="20" t="n"/>
      <c r="Y778" s="20" t="n"/>
      <c r="Z778" s="21" t="n"/>
      <c r="AA778" s="22" t="inlineStr">
        <is>
          <t>Direct Seeding (Hill Planting / Furrow Method)</t>
        </is>
      </c>
      <c r="AB778" s="22" t="inlineStr">
        <is>
          <t>Conventional Tillage: 1 deep plow (20–25 cm) + 1 harrowing; good tilth easily achieved</t>
        </is>
      </c>
      <c r="AC778" s="22" t="inlineStr">
        <is>
          <t>Furrow or sprinkler irrigation; AWD or weekly irrigation; good drainage natural</t>
        </is>
      </c>
    </row>
    <row r="779" ht="21.75" customHeight="1" s="101">
      <c r="A779" s="23" t="inlineStr">
        <is>
          <t>Corn</t>
        </is>
      </c>
      <c r="B779" s="23" t="inlineStr">
        <is>
          <t>San Pablo</t>
        </is>
      </c>
      <c r="C779" s="23" t="inlineStr">
        <is>
          <t>March</t>
        </is>
      </c>
      <c r="D779" s="23" t="inlineStr">
        <is>
          <t>2023</t>
        </is>
      </c>
      <c r="E779" s="23" t="inlineStr">
        <is>
          <t>DS 2022-2023</t>
        </is>
      </c>
      <c r="F779" s="23" t="inlineStr">
        <is>
          <t>Harvest</t>
        </is>
      </c>
      <c r="G779" s="7" t="n">
        <v>0.16</v>
      </c>
      <c r="H779" s="8" t="n">
        <v>26.48</v>
      </c>
      <c r="I779" s="8" t="n">
        <v>17.91</v>
      </c>
      <c r="J779" s="8" t="n">
        <v>36.41</v>
      </c>
      <c r="K779" s="8" t="n">
        <v>67.70999999999999</v>
      </c>
      <c r="L779" s="8" t="n">
        <v>98.55</v>
      </c>
      <c r="M779" s="8" t="n">
        <v>22.69</v>
      </c>
      <c r="N779" s="23" t="inlineStr">
        <is>
          <t>Type I – Tropical Monsoon (PAGASA)</t>
        </is>
      </c>
      <c r="O779" s="23" t="inlineStr">
        <is>
          <t>Dry (Hot)</t>
        </is>
      </c>
      <c r="P779" s="23" t="inlineStr">
        <is>
          <t>Sandy Loam</t>
        </is>
      </c>
      <c r="Q779" s="23" t="inlineStr">
        <is>
          <t>Flat / Lowland</t>
        </is>
      </c>
      <c r="R779" s="24" t="n">
        <v>30</v>
      </c>
      <c r="S779" s="23" t="inlineStr">
        <is>
          <t>San Pablo Creek</t>
        </is>
      </c>
      <c r="T779" s="25" t="n">
        <v>215.04</v>
      </c>
      <c r="U779" s="25" t="n"/>
      <c r="V779" s="25" t="n"/>
      <c r="W779" s="25" t="n"/>
      <c r="X779" s="25" t="n">
        <v>53.23</v>
      </c>
      <c r="Y779" s="25" t="n">
        <v>400.89</v>
      </c>
      <c r="Z779" s="26" t="n">
        <v>7.53</v>
      </c>
      <c r="AA779" s="17" t="inlineStr">
        <is>
          <t>Direct Seeding (Hill Planting / Furrow Method)</t>
        </is>
      </c>
      <c r="AB779" s="17" t="inlineStr">
        <is>
          <t>Conventional Tillage: 1 deep plow (20–25 cm) + 1 harrowing; good tilth easily achieved</t>
        </is>
      </c>
      <c r="AC779" s="17" t="inlineStr">
        <is>
          <t>Furrow or sprinkler irrigation; AWD or weekly irrigation; good drainage natural</t>
        </is>
      </c>
    </row>
    <row r="780" ht="21.75" customHeight="1" s="101">
      <c r="A780" s="18" t="inlineStr">
        <is>
          <t>Corn</t>
        </is>
      </c>
      <c r="B780" s="18" t="inlineStr">
        <is>
          <t>Balangobong</t>
        </is>
      </c>
      <c r="C780" s="18" t="inlineStr">
        <is>
          <t>November</t>
        </is>
      </c>
      <c r="D780" s="18" t="inlineStr">
        <is>
          <t>2022</t>
        </is>
      </c>
      <c r="E780" s="18" t="inlineStr">
        <is>
          <t>DS 2022-2023</t>
        </is>
      </c>
      <c r="F780" s="18" t="inlineStr">
        <is>
          <t>Planting</t>
        </is>
      </c>
      <c r="G780" s="7" t="n">
        <v>2.22</v>
      </c>
      <c r="H780" s="8" t="n">
        <v>26.38</v>
      </c>
      <c r="I780" s="8" t="n">
        <v>19.97</v>
      </c>
      <c r="J780" s="8" t="n">
        <v>31.8</v>
      </c>
      <c r="K780" s="8" t="n">
        <v>83.62</v>
      </c>
      <c r="L780" s="8" t="n">
        <v>98.40000000000001</v>
      </c>
      <c r="M780" s="8" t="n">
        <v>17.64</v>
      </c>
      <c r="N780" s="18" t="inlineStr">
        <is>
          <t>Type I – Tropical Monsoon (PAGASA)</t>
        </is>
      </c>
      <c r="O780" s="18" t="inlineStr">
        <is>
          <t>Dry (Cool)</t>
        </is>
      </c>
      <c r="P780" s="18" t="inlineStr">
        <is>
          <t>Silty Clay Loam</t>
        </is>
      </c>
      <c r="Q780" s="18" t="inlineStr">
        <is>
          <t>Flat / Lowland</t>
        </is>
      </c>
      <c r="R780" s="19" t="n">
        <v>30</v>
      </c>
      <c r="S780" s="18" t="inlineStr">
        <is>
          <t>—</t>
        </is>
      </c>
      <c r="T780" s="20" t="n">
        <v>281.4</v>
      </c>
      <c r="U780" s="20" t="n"/>
      <c r="V780" s="20" t="n"/>
      <c r="W780" s="20" t="n">
        <v>53.25</v>
      </c>
      <c r="X780" s="20" t="n"/>
      <c r="Y780" s="20" t="n"/>
      <c r="Z780" s="21" t="n"/>
      <c r="AA780" s="22" t="inlineStr">
        <is>
          <t>Direct Seeding (Furrow Method on Raised Beds)</t>
        </is>
      </c>
      <c r="AB780" s="22" t="inlineStr">
        <is>
          <t>Deep Tillage (25 cm): 1–2 plowings; form raised beds 20–25 cm high to prevent waterlogging</t>
        </is>
      </c>
      <c r="AC780" s="22" t="inlineStr">
        <is>
          <t>Furrow irrigation only (not flood); ensure bed drainage; drain excess after rain</t>
        </is>
      </c>
    </row>
    <row r="781" ht="21.75" customHeight="1" s="101">
      <c r="A781" s="23" t="inlineStr">
        <is>
          <t>Corn</t>
        </is>
      </c>
      <c r="B781" s="23" t="inlineStr">
        <is>
          <t>Balangobong</t>
        </is>
      </c>
      <c r="C781" s="23" t="inlineStr">
        <is>
          <t>March</t>
        </is>
      </c>
      <c r="D781" s="23" t="inlineStr">
        <is>
          <t>2023</t>
        </is>
      </c>
      <c r="E781" s="23" t="inlineStr">
        <is>
          <t>DS 2022-2023</t>
        </is>
      </c>
      <c r="F781" s="23" t="inlineStr">
        <is>
          <t>Harvest</t>
        </is>
      </c>
      <c r="G781" s="7" t="n">
        <v>0.16</v>
      </c>
      <c r="H781" s="8" t="n">
        <v>26.48</v>
      </c>
      <c r="I781" s="8" t="n">
        <v>17.91</v>
      </c>
      <c r="J781" s="8" t="n">
        <v>36.41</v>
      </c>
      <c r="K781" s="8" t="n">
        <v>67.70999999999999</v>
      </c>
      <c r="L781" s="8" t="n">
        <v>98.55</v>
      </c>
      <c r="M781" s="8" t="n">
        <v>22.69</v>
      </c>
      <c r="N781" s="23" t="inlineStr">
        <is>
          <t>Type I – Tropical Monsoon (PAGASA)</t>
        </is>
      </c>
      <c r="O781" s="23" t="inlineStr">
        <is>
          <t>Dry (Hot)</t>
        </is>
      </c>
      <c r="P781" s="23" t="inlineStr">
        <is>
          <t>Silty Clay Loam</t>
        </is>
      </c>
      <c r="Q781" s="23" t="inlineStr">
        <is>
          <t>Flat / Lowland</t>
        </is>
      </c>
      <c r="R781" s="24" t="n">
        <v>30</v>
      </c>
      <c r="S781" s="23" t="inlineStr">
        <is>
          <t>—</t>
        </is>
      </c>
      <c r="T781" s="25" t="n">
        <v>281.4</v>
      </c>
      <c r="U781" s="25" t="n"/>
      <c r="V781" s="25" t="n"/>
      <c r="W781" s="25" t="n"/>
      <c r="X781" s="25" t="n">
        <v>53.26</v>
      </c>
      <c r="Y781" s="25" t="n">
        <v>401.09</v>
      </c>
      <c r="Z781" s="26" t="n">
        <v>7.53</v>
      </c>
      <c r="AA781" s="17" t="inlineStr">
        <is>
          <t>Direct Seeding (Furrow Method on Raised Beds)</t>
        </is>
      </c>
      <c r="AB781" s="17" t="inlineStr">
        <is>
          <t>Deep Tillage (25 cm): 1–2 plowings; form raised beds 20–25 cm high to prevent waterlogging</t>
        </is>
      </c>
      <c r="AC781" s="17" t="inlineStr">
        <is>
          <t>Furrow irrigation only (not flood); ensure bed drainage; drain excess after rain</t>
        </is>
      </c>
    </row>
    <row r="782" ht="21.75" customHeight="1" s="101">
      <c r="A782" s="18" t="inlineStr">
        <is>
          <t>Corn</t>
        </is>
      </c>
      <c r="B782" s="18" t="inlineStr">
        <is>
          <t>San Felipe Central</t>
        </is>
      </c>
      <c r="C782" s="18" t="inlineStr">
        <is>
          <t>November</t>
        </is>
      </c>
      <c r="D782" s="18" t="inlineStr">
        <is>
          <t>2022</t>
        </is>
      </c>
      <c r="E782" s="18" t="inlineStr">
        <is>
          <t>DS 2022-2023</t>
        </is>
      </c>
      <c r="F782" s="18" t="inlineStr">
        <is>
          <t>Planting</t>
        </is>
      </c>
      <c r="G782" s="7" t="n">
        <v>2.22</v>
      </c>
      <c r="H782" s="8" t="n">
        <v>26.38</v>
      </c>
      <c r="I782" s="8" t="n">
        <v>19.97</v>
      </c>
      <c r="J782" s="8" t="n">
        <v>31.8</v>
      </c>
      <c r="K782" s="8" t="n">
        <v>83.62</v>
      </c>
      <c r="L782" s="8" t="n">
        <v>98.40000000000001</v>
      </c>
      <c r="M782" s="8" t="n">
        <v>17.64</v>
      </c>
      <c r="N782" s="18" t="inlineStr">
        <is>
          <t>Type I – Tropical Monsoon (PAGASA)</t>
        </is>
      </c>
      <c r="O782" s="18" t="inlineStr">
        <is>
          <t>Dry (Cool)</t>
        </is>
      </c>
      <c r="P782" s="18" t="inlineStr">
        <is>
          <t>Sandy Loam</t>
        </is>
      </c>
      <c r="Q782" s="18" t="inlineStr">
        <is>
          <t>Flat / Lowland</t>
        </is>
      </c>
      <c r="R782" s="19" t="n">
        <v>30</v>
      </c>
      <c r="S782" s="18" t="inlineStr">
        <is>
          <t>—</t>
        </is>
      </c>
      <c r="T782" s="20" t="n">
        <v>452.76</v>
      </c>
      <c r="U782" s="20" t="n"/>
      <c r="V782" s="20" t="n"/>
      <c r="W782" s="20" t="n">
        <v>66.39</v>
      </c>
      <c r="X782" s="20" t="n"/>
      <c r="Y782" s="20" t="n"/>
      <c r="Z782" s="21" t="n"/>
      <c r="AA782" s="22" t="inlineStr">
        <is>
          <t>Direct Seeding (Hill Planting / Furrow Method)</t>
        </is>
      </c>
      <c r="AB782" s="22" t="inlineStr">
        <is>
          <t>Conventional Tillage: 1 deep plow (20–25 cm) + 1 harrowing; good tilth easily achieved</t>
        </is>
      </c>
      <c r="AC782" s="22" t="inlineStr">
        <is>
          <t>Furrow or sprinkler irrigation; AWD or weekly irrigation; good drainage natural</t>
        </is>
      </c>
    </row>
    <row r="783" ht="21.75" customHeight="1" s="101">
      <c r="A783" s="23" t="inlineStr">
        <is>
          <t>Corn</t>
        </is>
      </c>
      <c r="B783" s="23" t="inlineStr">
        <is>
          <t>San Felipe Central</t>
        </is>
      </c>
      <c r="C783" s="23" t="inlineStr">
        <is>
          <t>March</t>
        </is>
      </c>
      <c r="D783" s="23" t="inlineStr">
        <is>
          <t>2023</t>
        </is>
      </c>
      <c r="E783" s="23" t="inlineStr">
        <is>
          <t>DS 2022-2023</t>
        </is>
      </c>
      <c r="F783" s="23" t="inlineStr">
        <is>
          <t>Harvest</t>
        </is>
      </c>
      <c r="G783" s="7" t="n">
        <v>0.16</v>
      </c>
      <c r="H783" s="8" t="n">
        <v>26.48</v>
      </c>
      <c r="I783" s="8" t="n">
        <v>17.91</v>
      </c>
      <c r="J783" s="8" t="n">
        <v>36.41</v>
      </c>
      <c r="K783" s="8" t="n">
        <v>67.70999999999999</v>
      </c>
      <c r="L783" s="8" t="n">
        <v>98.55</v>
      </c>
      <c r="M783" s="8" t="n">
        <v>22.69</v>
      </c>
      <c r="N783" s="23" t="inlineStr">
        <is>
          <t>Type I – Tropical Monsoon (PAGASA)</t>
        </is>
      </c>
      <c r="O783" s="23" t="inlineStr">
        <is>
          <t>Dry (Hot)</t>
        </is>
      </c>
      <c r="P783" s="23" t="inlineStr">
        <is>
          <t>Sandy Loam</t>
        </is>
      </c>
      <c r="Q783" s="23" t="inlineStr">
        <is>
          <t>Flat / Lowland</t>
        </is>
      </c>
      <c r="R783" s="24" t="n">
        <v>30</v>
      </c>
      <c r="S783" s="23" t="inlineStr">
        <is>
          <t>—</t>
        </is>
      </c>
      <c r="T783" s="25" t="n">
        <v>452.76</v>
      </c>
      <c r="U783" s="25" t="n"/>
      <c r="V783" s="25" t="n"/>
      <c r="W783" s="25" t="n"/>
      <c r="X783" s="25" t="n">
        <v>66.39</v>
      </c>
      <c r="Y783" s="25" t="n">
        <v>500.06</v>
      </c>
      <c r="Z783" s="26" t="n">
        <v>7.53</v>
      </c>
      <c r="AA783" s="17" t="inlineStr">
        <is>
          <t>Direct Seeding (Hill Planting / Furrow Method)</t>
        </is>
      </c>
      <c r="AB783" s="17" t="inlineStr">
        <is>
          <t>Conventional Tillage: 1 deep plow (20–25 cm) + 1 harrowing; good tilth easily achieved</t>
        </is>
      </c>
      <c r="AC783" s="17" t="inlineStr">
        <is>
          <t>Furrow or sprinkler irrigation; AWD or weekly irrigation; good drainage natural</t>
        </is>
      </c>
    </row>
    <row r="784" ht="21.75" customHeight="1" s="101">
      <c r="A784" s="18" t="inlineStr">
        <is>
          <t>Corn</t>
        </is>
      </c>
      <c r="B784" s="18" t="inlineStr">
        <is>
          <t>San Felipe Sur</t>
        </is>
      </c>
      <c r="C784" s="18" t="inlineStr">
        <is>
          <t>November</t>
        </is>
      </c>
      <c r="D784" s="18" t="inlineStr">
        <is>
          <t>2022</t>
        </is>
      </c>
      <c r="E784" s="18" t="inlineStr">
        <is>
          <t>DS 2022-2023</t>
        </is>
      </c>
      <c r="F784" s="18" t="inlineStr">
        <is>
          <t>Planting</t>
        </is>
      </c>
      <c r="G784" s="7" t="n">
        <v>2.22</v>
      </c>
      <c r="H784" s="8" t="n">
        <v>26.38</v>
      </c>
      <c r="I784" s="8" t="n">
        <v>19.97</v>
      </c>
      <c r="J784" s="8" t="n">
        <v>31.8</v>
      </c>
      <c r="K784" s="8" t="n">
        <v>83.62</v>
      </c>
      <c r="L784" s="8" t="n">
        <v>98.40000000000001</v>
      </c>
      <c r="M784" s="8" t="n">
        <v>17.64</v>
      </c>
      <c r="N784" s="18" t="inlineStr">
        <is>
          <t>Type I – Tropical Monsoon (PAGASA)</t>
        </is>
      </c>
      <c r="O784" s="18" t="inlineStr">
        <is>
          <t>Dry (Cool)</t>
        </is>
      </c>
      <c r="P784" s="18" t="inlineStr">
        <is>
          <t>Sandy Loam</t>
        </is>
      </c>
      <c r="Q784" s="18" t="inlineStr">
        <is>
          <t>Flat / Lowland</t>
        </is>
      </c>
      <c r="R784" s="19" t="n">
        <v>30</v>
      </c>
      <c r="S784" s="18" t="inlineStr">
        <is>
          <t>Tagamusing River</t>
        </is>
      </c>
      <c r="T784" s="20" t="n">
        <v>504</v>
      </c>
      <c r="U784" s="20" t="n"/>
      <c r="V784" s="20" t="n"/>
      <c r="W784" s="20" t="n">
        <v>68.83</v>
      </c>
      <c r="X784" s="20" t="n"/>
      <c r="Y784" s="20" t="n"/>
      <c r="Z784" s="21" t="n"/>
      <c r="AA784" s="22" t="inlineStr">
        <is>
          <t>Direct Seeding (Hill Planting / Furrow Method)</t>
        </is>
      </c>
      <c r="AB784" s="22" t="inlineStr">
        <is>
          <t>Conventional Tillage: 1 deep plow (20–25 cm) + 1 harrowing; good tilth easily achieved</t>
        </is>
      </c>
      <c r="AC784" s="22" t="inlineStr">
        <is>
          <t>Furrow or sprinkler irrigation; AWD or weekly irrigation; good drainage natural</t>
        </is>
      </c>
    </row>
    <row r="785" ht="21.75" customHeight="1" s="101">
      <c r="A785" s="23" t="inlineStr">
        <is>
          <t>Corn</t>
        </is>
      </c>
      <c r="B785" s="23" t="inlineStr">
        <is>
          <t>San Felipe Sur</t>
        </is>
      </c>
      <c r="C785" s="23" t="inlineStr">
        <is>
          <t>March</t>
        </is>
      </c>
      <c r="D785" s="23" t="inlineStr">
        <is>
          <t>2023</t>
        </is>
      </c>
      <c r="E785" s="23" t="inlineStr">
        <is>
          <t>DS 2022-2023</t>
        </is>
      </c>
      <c r="F785" s="23" t="inlineStr">
        <is>
          <t>Harvest</t>
        </is>
      </c>
      <c r="G785" s="7" t="n">
        <v>0.16</v>
      </c>
      <c r="H785" s="8" t="n">
        <v>26.48</v>
      </c>
      <c r="I785" s="8" t="n">
        <v>17.91</v>
      </c>
      <c r="J785" s="8" t="n">
        <v>36.41</v>
      </c>
      <c r="K785" s="8" t="n">
        <v>67.70999999999999</v>
      </c>
      <c r="L785" s="8" t="n">
        <v>98.55</v>
      </c>
      <c r="M785" s="8" t="n">
        <v>22.69</v>
      </c>
      <c r="N785" s="23" t="inlineStr">
        <is>
          <t>Type I – Tropical Monsoon (PAGASA)</t>
        </is>
      </c>
      <c r="O785" s="23" t="inlineStr">
        <is>
          <t>Dry (Hot)</t>
        </is>
      </c>
      <c r="P785" s="23" t="inlineStr">
        <is>
          <t>Sandy Loam</t>
        </is>
      </c>
      <c r="Q785" s="23" t="inlineStr">
        <is>
          <t>Flat / Lowland</t>
        </is>
      </c>
      <c r="R785" s="24" t="n">
        <v>30</v>
      </c>
      <c r="S785" s="23" t="inlineStr">
        <is>
          <t>Tagamusing River</t>
        </is>
      </c>
      <c r="T785" s="25" t="n">
        <v>504</v>
      </c>
      <c r="U785" s="25" t="n"/>
      <c r="V785" s="25" t="n"/>
      <c r="W785" s="25" t="n"/>
      <c r="X785" s="25" t="n">
        <v>68.83</v>
      </c>
      <c r="Y785" s="25" t="n">
        <v>518.4299999999999</v>
      </c>
      <c r="Z785" s="26" t="n">
        <v>7.53</v>
      </c>
      <c r="AA785" s="17" t="inlineStr">
        <is>
          <t>Direct Seeding (Hill Planting / Furrow Method)</t>
        </is>
      </c>
      <c r="AB785" s="17" t="inlineStr">
        <is>
          <t>Conventional Tillage: 1 deep plow (20–25 cm) + 1 harrowing; good tilth easily achieved</t>
        </is>
      </c>
      <c r="AC785" s="17" t="inlineStr">
        <is>
          <t>Furrow or sprinkler irrigation; AWD or weekly irrigation; good drainage natural</t>
        </is>
      </c>
    </row>
    <row r="786" ht="21.75" customHeight="1" s="101">
      <c r="A786" s="18" t="inlineStr">
        <is>
          <t>Corn</t>
        </is>
      </c>
      <c r="B786" s="18" t="inlineStr">
        <is>
          <t>Pasileng Sur</t>
        </is>
      </c>
      <c r="C786" s="18" t="inlineStr">
        <is>
          <t>November</t>
        </is>
      </c>
      <c r="D786" s="18" t="inlineStr">
        <is>
          <t>2022</t>
        </is>
      </c>
      <c r="E786" s="18" t="inlineStr">
        <is>
          <t>DS 2022-2023</t>
        </is>
      </c>
      <c r="F786" s="18" t="inlineStr">
        <is>
          <t>Planting</t>
        </is>
      </c>
      <c r="G786" s="7" t="n">
        <v>2.22</v>
      </c>
      <c r="H786" s="8" t="n">
        <v>26.38</v>
      </c>
      <c r="I786" s="8" t="n">
        <v>19.97</v>
      </c>
      <c r="J786" s="8" t="n">
        <v>31.8</v>
      </c>
      <c r="K786" s="8" t="n">
        <v>83.62</v>
      </c>
      <c r="L786" s="8" t="n">
        <v>98.40000000000001</v>
      </c>
      <c r="M786" s="8" t="n">
        <v>17.64</v>
      </c>
      <c r="N786" s="18" t="inlineStr">
        <is>
          <t>Type I – Tropical Monsoon (PAGASA)</t>
        </is>
      </c>
      <c r="O786" s="18" t="inlineStr">
        <is>
          <t>Dry (Cool)</t>
        </is>
      </c>
      <c r="P786" s="18" t="inlineStr">
        <is>
          <t>Sandy Loam</t>
        </is>
      </c>
      <c r="Q786" s="18" t="inlineStr">
        <is>
          <t>Flat / Lowland</t>
        </is>
      </c>
      <c r="R786" s="19" t="n">
        <v>30</v>
      </c>
      <c r="S786" s="18" t="inlineStr">
        <is>
          <t>Tagamusing River</t>
        </is>
      </c>
      <c r="T786" s="20" t="n">
        <v>414.96</v>
      </c>
      <c r="U786" s="20" t="n"/>
      <c r="V786" s="20" t="n"/>
      <c r="W786" s="20" t="n">
        <v>69.81999999999999</v>
      </c>
      <c r="X786" s="20" t="n"/>
      <c r="Y786" s="20" t="n"/>
      <c r="Z786" s="21" t="n"/>
      <c r="AA786" s="22" t="inlineStr">
        <is>
          <t>Direct Seeding (Hill Planting / Furrow Method)</t>
        </is>
      </c>
      <c r="AB786" s="22" t="inlineStr">
        <is>
          <t>Conventional Tillage: 1 deep plow (20–25 cm) + 1 harrowing; good tilth easily achieved</t>
        </is>
      </c>
      <c r="AC786" s="22" t="inlineStr">
        <is>
          <t>Furrow or sprinkler irrigation; AWD or weekly irrigation; good drainage natural</t>
        </is>
      </c>
    </row>
    <row r="787" ht="21.75" customHeight="1" s="101">
      <c r="A787" s="23" t="inlineStr">
        <is>
          <t>Corn</t>
        </is>
      </c>
      <c r="B787" s="23" t="inlineStr">
        <is>
          <t>Pasileng Sur</t>
        </is>
      </c>
      <c r="C787" s="23" t="inlineStr">
        <is>
          <t>March</t>
        </is>
      </c>
      <c r="D787" s="23" t="inlineStr">
        <is>
          <t>2023</t>
        </is>
      </c>
      <c r="E787" s="23" t="inlineStr">
        <is>
          <t>DS 2022-2023</t>
        </is>
      </c>
      <c r="F787" s="23" t="inlineStr">
        <is>
          <t>Harvest</t>
        </is>
      </c>
      <c r="G787" s="7" t="n">
        <v>0.16</v>
      </c>
      <c r="H787" s="8" t="n">
        <v>26.48</v>
      </c>
      <c r="I787" s="8" t="n">
        <v>17.91</v>
      </c>
      <c r="J787" s="8" t="n">
        <v>36.41</v>
      </c>
      <c r="K787" s="8" t="n">
        <v>67.70999999999999</v>
      </c>
      <c r="L787" s="8" t="n">
        <v>98.55</v>
      </c>
      <c r="M787" s="8" t="n">
        <v>22.69</v>
      </c>
      <c r="N787" s="23" t="inlineStr">
        <is>
          <t>Type I – Tropical Monsoon (PAGASA)</t>
        </is>
      </c>
      <c r="O787" s="23" t="inlineStr">
        <is>
          <t>Dry (Hot)</t>
        </is>
      </c>
      <c r="P787" s="23" t="inlineStr">
        <is>
          <t>Sandy Loam</t>
        </is>
      </c>
      <c r="Q787" s="23" t="inlineStr">
        <is>
          <t>Flat / Lowland</t>
        </is>
      </c>
      <c r="R787" s="24" t="n">
        <v>30</v>
      </c>
      <c r="S787" s="23" t="inlineStr">
        <is>
          <t>Tagamusing River</t>
        </is>
      </c>
      <c r="T787" s="25" t="n">
        <v>414.96</v>
      </c>
      <c r="U787" s="25" t="n"/>
      <c r="V787" s="25" t="n"/>
      <c r="W787" s="25" t="n"/>
      <c r="X787" s="25" t="n">
        <v>69.81999999999999</v>
      </c>
      <c r="Y787" s="25" t="n">
        <v>525.89</v>
      </c>
      <c r="Z787" s="26" t="n">
        <v>7.53</v>
      </c>
      <c r="AA787" s="17" t="inlineStr">
        <is>
          <t>Direct Seeding (Hill Planting / Furrow Method)</t>
        </is>
      </c>
      <c r="AB787" s="17" t="inlineStr">
        <is>
          <t>Conventional Tillage: 1 deep plow (20–25 cm) + 1 harrowing; good tilth easily achieved</t>
        </is>
      </c>
      <c r="AC787" s="17" t="inlineStr">
        <is>
          <t>Furrow or sprinkler irrigation; AWD or weekly irrigation; good drainage natural</t>
        </is>
      </c>
    </row>
    <row r="788" ht="21.75" customHeight="1" s="101">
      <c r="A788" s="18" t="inlineStr">
        <is>
          <t>Corn</t>
        </is>
      </c>
      <c r="B788" s="18" t="inlineStr">
        <is>
          <t>Sta. Maria Norte</t>
        </is>
      </c>
      <c r="C788" s="18" t="inlineStr">
        <is>
          <t>November</t>
        </is>
      </c>
      <c r="D788" s="18" t="inlineStr">
        <is>
          <t>2022</t>
        </is>
      </c>
      <c r="E788" s="18" t="inlineStr">
        <is>
          <t>DS 2022-2023</t>
        </is>
      </c>
      <c r="F788" s="18" t="inlineStr">
        <is>
          <t>Planting</t>
        </is>
      </c>
      <c r="G788" s="7" t="n">
        <v>2.22</v>
      </c>
      <c r="H788" s="8" t="n">
        <v>26.38</v>
      </c>
      <c r="I788" s="8" t="n">
        <v>19.97</v>
      </c>
      <c r="J788" s="8" t="n">
        <v>31.8</v>
      </c>
      <c r="K788" s="8" t="n">
        <v>83.62</v>
      </c>
      <c r="L788" s="8" t="n">
        <v>98.40000000000001</v>
      </c>
      <c r="M788" s="8" t="n">
        <v>17.64</v>
      </c>
      <c r="N788" s="18" t="inlineStr">
        <is>
          <t>Type I – Tropical Monsoon (PAGASA)</t>
        </is>
      </c>
      <c r="O788" s="18" t="inlineStr">
        <is>
          <t>Dry (Cool)</t>
        </is>
      </c>
      <c r="P788" s="18" t="inlineStr">
        <is>
          <t>Sandy Loam</t>
        </is>
      </c>
      <c r="Q788" s="18" t="inlineStr">
        <is>
          <t>Flat / Lowland</t>
        </is>
      </c>
      <c r="R788" s="19" t="n">
        <v>30</v>
      </c>
      <c r="S788" s="18" t="inlineStr">
        <is>
          <t>Tagamusing River</t>
        </is>
      </c>
      <c r="T788" s="20" t="n">
        <v>157.08</v>
      </c>
      <c r="U788" s="20" t="n"/>
      <c r="V788" s="20" t="n"/>
      <c r="W788" s="20" t="n">
        <v>23.69</v>
      </c>
      <c r="X788" s="20" t="n"/>
      <c r="Y788" s="20" t="n"/>
      <c r="Z788" s="21" t="n"/>
      <c r="AA788" s="22" t="inlineStr">
        <is>
          <t>Direct Seeding (Hill Planting / Furrow Method)</t>
        </is>
      </c>
      <c r="AB788" s="22" t="inlineStr">
        <is>
          <t>Conventional Tillage: 1 deep plow (20–25 cm) + 1 harrowing; good tilth easily achieved</t>
        </is>
      </c>
      <c r="AC788" s="22" t="inlineStr">
        <is>
          <t>Furrow or sprinkler irrigation; AWD or weekly irrigation; good drainage natural</t>
        </is>
      </c>
    </row>
    <row r="789" ht="21.75" customHeight="1" s="101">
      <c r="A789" s="23" t="inlineStr">
        <is>
          <t>Corn</t>
        </is>
      </c>
      <c r="B789" s="23" t="inlineStr">
        <is>
          <t>Sta. Maria Norte</t>
        </is>
      </c>
      <c r="C789" s="23" t="inlineStr">
        <is>
          <t>March</t>
        </is>
      </c>
      <c r="D789" s="23" t="inlineStr">
        <is>
          <t>2023</t>
        </is>
      </c>
      <c r="E789" s="23" t="inlineStr">
        <is>
          <t>DS 2022-2023</t>
        </is>
      </c>
      <c r="F789" s="23" t="inlineStr">
        <is>
          <t>Harvest</t>
        </is>
      </c>
      <c r="G789" s="7" t="n">
        <v>0.16</v>
      </c>
      <c r="H789" s="8" t="n">
        <v>26.48</v>
      </c>
      <c r="I789" s="8" t="n">
        <v>17.91</v>
      </c>
      <c r="J789" s="8" t="n">
        <v>36.41</v>
      </c>
      <c r="K789" s="8" t="n">
        <v>67.70999999999999</v>
      </c>
      <c r="L789" s="8" t="n">
        <v>98.55</v>
      </c>
      <c r="M789" s="8" t="n">
        <v>22.69</v>
      </c>
      <c r="N789" s="23" t="inlineStr">
        <is>
          <t>Type I – Tropical Monsoon (PAGASA)</t>
        </is>
      </c>
      <c r="O789" s="23" t="inlineStr">
        <is>
          <t>Dry (Hot)</t>
        </is>
      </c>
      <c r="P789" s="23" t="inlineStr">
        <is>
          <t>Sandy Loam</t>
        </is>
      </c>
      <c r="Q789" s="23" t="inlineStr">
        <is>
          <t>Flat / Lowland</t>
        </is>
      </c>
      <c r="R789" s="24" t="n">
        <v>30</v>
      </c>
      <c r="S789" s="23" t="inlineStr">
        <is>
          <t>Tagamusing River</t>
        </is>
      </c>
      <c r="T789" s="25" t="n">
        <v>157.08</v>
      </c>
      <c r="U789" s="25" t="n"/>
      <c r="V789" s="25" t="n"/>
      <c r="W789" s="25" t="n"/>
      <c r="X789" s="25" t="n">
        <v>23.69</v>
      </c>
      <c r="Y789" s="25" t="n">
        <v>178.42</v>
      </c>
      <c r="Z789" s="26" t="n">
        <v>7.53</v>
      </c>
      <c r="AA789" s="17" t="inlineStr">
        <is>
          <t>Direct Seeding (Hill Planting / Furrow Method)</t>
        </is>
      </c>
      <c r="AB789" s="17" t="inlineStr">
        <is>
          <t>Conventional Tillage: 1 deep plow (20–25 cm) + 1 harrowing; good tilth easily achieved</t>
        </is>
      </c>
      <c r="AC789" s="17" t="inlineStr">
        <is>
          <t>Furrow or sprinkler irrigation; AWD or weekly irrigation; good drainage natural</t>
        </is>
      </c>
    </row>
    <row r="790" ht="21.75" customHeight="1" s="101">
      <c r="A790" s="18" t="inlineStr">
        <is>
          <t>Corn</t>
        </is>
      </c>
      <c r="B790" s="18" t="inlineStr">
        <is>
          <t>Bugayong</t>
        </is>
      </c>
      <c r="C790" s="18" t="inlineStr">
        <is>
          <t>November</t>
        </is>
      </c>
      <c r="D790" s="18" t="inlineStr">
        <is>
          <t>2022</t>
        </is>
      </c>
      <c r="E790" s="18" t="inlineStr">
        <is>
          <t>DS 2022-2023</t>
        </is>
      </c>
      <c r="F790" s="18" t="inlineStr">
        <is>
          <t>Planting</t>
        </is>
      </c>
      <c r="G790" s="7" t="n">
        <v>2.22</v>
      </c>
      <c r="H790" s="8" t="n">
        <v>26.38</v>
      </c>
      <c r="I790" s="8" t="n">
        <v>19.97</v>
      </c>
      <c r="J790" s="8" t="n">
        <v>31.8</v>
      </c>
      <c r="K790" s="8" t="n">
        <v>83.62</v>
      </c>
      <c r="L790" s="8" t="n">
        <v>98.40000000000001</v>
      </c>
      <c r="M790" s="8" t="n">
        <v>17.64</v>
      </c>
      <c r="N790" s="18" t="inlineStr">
        <is>
          <t>Type I – Tropical Monsoon (PAGASA)</t>
        </is>
      </c>
      <c r="O790" s="18" t="inlineStr">
        <is>
          <t>Dry (Cool)</t>
        </is>
      </c>
      <c r="P790" s="18" t="inlineStr">
        <is>
          <t>Sandy Loam / Silty Clay Loam</t>
        </is>
      </c>
      <c r="Q790" s="18" t="inlineStr">
        <is>
          <t>Flat / Lowland</t>
        </is>
      </c>
      <c r="R790" s="19" t="n">
        <v>30</v>
      </c>
      <c r="S790" s="18" t="inlineStr">
        <is>
          <t>Aloragat River</t>
        </is>
      </c>
      <c r="T790" s="20" t="n">
        <v>346.08</v>
      </c>
      <c r="U790" s="20" t="n"/>
      <c r="V790" s="20" t="n"/>
      <c r="W790" s="20" t="n">
        <v>21.3</v>
      </c>
      <c r="X790" s="20" t="n"/>
      <c r="Y790" s="20" t="n"/>
      <c r="Z790" s="21" t="n"/>
      <c r="AA790" s="22" t="inlineStr">
        <is>
          <t>Direct Seeding (Furrow or Hill Method)</t>
        </is>
      </c>
      <c r="AB790" s="22" t="inlineStr">
        <is>
          <t>Conventional Tillage: 1 deep plow + harrowing; ensure good drainage channels</t>
        </is>
      </c>
      <c r="AC790" s="22" t="inlineStr">
        <is>
          <t>Furrow irrigation; avoid waterlogging — clay fraction retains excess moisture</t>
        </is>
      </c>
    </row>
    <row r="791" ht="21.75" customHeight="1" s="101">
      <c r="A791" s="23" t="inlineStr">
        <is>
          <t>Corn</t>
        </is>
      </c>
      <c r="B791" s="23" t="inlineStr">
        <is>
          <t>Bugayong</t>
        </is>
      </c>
      <c r="C791" s="23" t="inlineStr">
        <is>
          <t>March</t>
        </is>
      </c>
      <c r="D791" s="23" t="inlineStr">
        <is>
          <t>2023</t>
        </is>
      </c>
      <c r="E791" s="23" t="inlineStr">
        <is>
          <t>DS 2022-2023</t>
        </is>
      </c>
      <c r="F791" s="23" t="inlineStr">
        <is>
          <t>Harvest</t>
        </is>
      </c>
      <c r="G791" s="7" t="n">
        <v>0.16</v>
      </c>
      <c r="H791" s="8" t="n">
        <v>26.48</v>
      </c>
      <c r="I791" s="8" t="n">
        <v>17.91</v>
      </c>
      <c r="J791" s="8" t="n">
        <v>36.41</v>
      </c>
      <c r="K791" s="8" t="n">
        <v>67.70999999999999</v>
      </c>
      <c r="L791" s="8" t="n">
        <v>98.55</v>
      </c>
      <c r="M791" s="8" t="n">
        <v>22.69</v>
      </c>
      <c r="N791" s="23" t="inlineStr">
        <is>
          <t>Type I – Tropical Monsoon (PAGASA)</t>
        </is>
      </c>
      <c r="O791" s="23" t="inlineStr">
        <is>
          <t>Dry (Hot)</t>
        </is>
      </c>
      <c r="P791" s="23" t="inlineStr">
        <is>
          <t>Sandy Loam / Silty Clay Loam</t>
        </is>
      </c>
      <c r="Q791" s="23" t="inlineStr">
        <is>
          <t>Flat / Lowland</t>
        </is>
      </c>
      <c r="R791" s="24" t="n">
        <v>30</v>
      </c>
      <c r="S791" s="23" t="inlineStr">
        <is>
          <t>Aloragat River</t>
        </is>
      </c>
      <c r="T791" s="25" t="n">
        <v>346.08</v>
      </c>
      <c r="U791" s="25" t="n"/>
      <c r="V791" s="25" t="n"/>
      <c r="W791" s="25" t="n"/>
      <c r="X791" s="25" t="n">
        <v>21.3</v>
      </c>
      <c r="Y791" s="25" t="n">
        <v>160.42</v>
      </c>
      <c r="Z791" s="26" t="n">
        <v>7.53</v>
      </c>
      <c r="AA791" s="17" t="inlineStr">
        <is>
          <t>Direct Seeding (Furrow or Hill Method)</t>
        </is>
      </c>
      <c r="AB791" s="17" t="inlineStr">
        <is>
          <t>Conventional Tillage: 1 deep plow + harrowing; ensure good drainage channels</t>
        </is>
      </c>
      <c r="AC791" s="17" t="inlineStr">
        <is>
          <t>Furrow irrigation; avoid waterlogging — clay fraction retains excess moisture</t>
        </is>
      </c>
    </row>
    <row r="792" ht="21.75" customHeight="1" s="101">
      <c r="A792" s="18" t="inlineStr">
        <is>
          <t>Corn</t>
        </is>
      </c>
      <c r="B792" s="18" t="inlineStr">
        <is>
          <t>Santiago</t>
        </is>
      </c>
      <c r="C792" s="18" t="inlineStr">
        <is>
          <t>November</t>
        </is>
      </c>
      <c r="D792" s="18" t="inlineStr">
        <is>
          <t>2022</t>
        </is>
      </c>
      <c r="E792" s="18" t="inlineStr">
        <is>
          <t>DS 2022-2023</t>
        </is>
      </c>
      <c r="F792" s="18" t="inlineStr">
        <is>
          <t>Planting</t>
        </is>
      </c>
      <c r="G792" s="7" t="n">
        <v>2.22</v>
      </c>
      <c r="H792" s="8" t="n">
        <v>26.38</v>
      </c>
      <c r="I792" s="8" t="n">
        <v>19.97</v>
      </c>
      <c r="J792" s="8" t="n">
        <v>31.8</v>
      </c>
      <c r="K792" s="8" t="n">
        <v>83.62</v>
      </c>
      <c r="L792" s="8" t="n">
        <v>98.40000000000001</v>
      </c>
      <c r="M792" s="8" t="n">
        <v>17.64</v>
      </c>
      <c r="N792" s="18" t="inlineStr">
        <is>
          <t>Type I – Tropical Monsoon (PAGASA)</t>
        </is>
      </c>
      <c r="O792" s="18" t="inlineStr">
        <is>
          <t>Dry (Cool)</t>
        </is>
      </c>
      <c r="P792" s="18" t="inlineStr">
        <is>
          <t>Silty Clay Loam</t>
        </is>
      </c>
      <c r="Q792" s="18" t="inlineStr">
        <is>
          <t>Flat / Lowland</t>
        </is>
      </c>
      <c r="R792" s="19" t="n">
        <v>30</v>
      </c>
      <c r="S792" s="18" t="inlineStr">
        <is>
          <t>—</t>
        </is>
      </c>
      <c r="T792" s="20" t="n">
        <v>283.08</v>
      </c>
      <c r="U792" s="20" t="n"/>
      <c r="V792" s="20" t="n"/>
      <c r="W792" s="20" t="n">
        <v>70.65000000000001</v>
      </c>
      <c r="X792" s="20" t="n"/>
      <c r="Y792" s="20" t="n"/>
      <c r="Z792" s="21" t="n"/>
      <c r="AA792" s="22" t="inlineStr">
        <is>
          <t>Direct Seeding (Furrow Method on Raised Beds)</t>
        </is>
      </c>
      <c r="AB792" s="22" t="inlineStr">
        <is>
          <t>Deep Tillage (25 cm): 1–2 plowings; form raised beds 20–25 cm high to prevent waterlogging</t>
        </is>
      </c>
      <c r="AC792" s="22" t="inlineStr">
        <is>
          <t>Furrow irrigation only (not flood); ensure bed drainage; drain excess after rain</t>
        </is>
      </c>
    </row>
    <row r="793" ht="21.75" customHeight="1" s="101">
      <c r="A793" s="23" t="inlineStr">
        <is>
          <t>Corn</t>
        </is>
      </c>
      <c r="B793" s="23" t="inlineStr">
        <is>
          <t>Santiago</t>
        </is>
      </c>
      <c r="C793" s="23" t="inlineStr">
        <is>
          <t>March</t>
        </is>
      </c>
      <c r="D793" s="23" t="inlineStr">
        <is>
          <t>2023</t>
        </is>
      </c>
      <c r="E793" s="23" t="inlineStr">
        <is>
          <t>DS 2022-2023</t>
        </is>
      </c>
      <c r="F793" s="23" t="inlineStr">
        <is>
          <t>Harvest</t>
        </is>
      </c>
      <c r="G793" s="7" t="n">
        <v>0.16</v>
      </c>
      <c r="H793" s="8" t="n">
        <v>26.48</v>
      </c>
      <c r="I793" s="8" t="n">
        <v>17.91</v>
      </c>
      <c r="J793" s="8" t="n">
        <v>36.41</v>
      </c>
      <c r="K793" s="8" t="n">
        <v>67.70999999999999</v>
      </c>
      <c r="L793" s="8" t="n">
        <v>98.55</v>
      </c>
      <c r="M793" s="8" t="n">
        <v>22.69</v>
      </c>
      <c r="N793" s="23" t="inlineStr">
        <is>
          <t>Type I – Tropical Monsoon (PAGASA)</t>
        </is>
      </c>
      <c r="O793" s="23" t="inlineStr">
        <is>
          <t>Dry (Hot)</t>
        </is>
      </c>
      <c r="P793" s="23" t="inlineStr">
        <is>
          <t>Silty Clay Loam</t>
        </is>
      </c>
      <c r="Q793" s="23" t="inlineStr">
        <is>
          <t>Flat / Lowland</t>
        </is>
      </c>
      <c r="R793" s="24" t="n">
        <v>30</v>
      </c>
      <c r="S793" s="23" t="inlineStr">
        <is>
          <t>—</t>
        </is>
      </c>
      <c r="T793" s="25" t="n">
        <v>283.08</v>
      </c>
      <c r="U793" s="25" t="n"/>
      <c r="V793" s="25" t="n"/>
      <c r="W793" s="25" t="n"/>
      <c r="X793" s="25" t="n">
        <v>70.65000000000001</v>
      </c>
      <c r="Y793" s="25" t="n">
        <v>531.99</v>
      </c>
      <c r="Z793" s="26" t="n">
        <v>7.53</v>
      </c>
      <c r="AA793" s="17" t="inlineStr">
        <is>
          <t>Direct Seeding (Furrow Method on Raised Beds)</t>
        </is>
      </c>
      <c r="AB793" s="17" t="inlineStr">
        <is>
          <t>Deep Tillage (25 cm): 1–2 plowings; form raised beds 20–25 cm high to prevent waterlogging</t>
        </is>
      </c>
      <c r="AC793" s="17" t="inlineStr">
        <is>
          <t>Furrow irrigation only (not flood); ensure bed drainage; drain excess after rain</t>
        </is>
      </c>
    </row>
    <row r="794" ht="21.75" customHeight="1" s="101">
      <c r="A794" s="18" t="inlineStr">
        <is>
          <t>Corn</t>
        </is>
      </c>
      <c r="B794" s="18" t="inlineStr">
        <is>
          <t>Pasileng Norte</t>
        </is>
      </c>
      <c r="C794" s="18" t="inlineStr">
        <is>
          <t>November</t>
        </is>
      </c>
      <c r="D794" s="18" t="inlineStr">
        <is>
          <t>2023</t>
        </is>
      </c>
      <c r="E794" s="18" t="inlineStr">
        <is>
          <t>DS 2023-2024</t>
        </is>
      </c>
      <c r="F794" s="18" t="inlineStr">
        <is>
          <t>Planting</t>
        </is>
      </c>
      <c r="G794" s="7" t="n">
        <v>1.34</v>
      </c>
      <c r="H794" s="8" t="n">
        <v>26.5</v>
      </c>
      <c r="I794" s="8" t="n">
        <v>19.59</v>
      </c>
      <c r="J794" s="8" t="n">
        <v>32.04</v>
      </c>
      <c r="K794" s="8" t="n">
        <v>81.69</v>
      </c>
      <c r="L794" s="8" t="n">
        <v>98.48999999999999</v>
      </c>
      <c r="M794" s="8" t="n">
        <v>17.2</v>
      </c>
      <c r="N794" s="18" t="inlineStr">
        <is>
          <t>Type I – Tropical Monsoon (PAGASA)</t>
        </is>
      </c>
      <c r="O794" s="18" t="inlineStr">
        <is>
          <t>Dry (Cool)</t>
        </is>
      </c>
      <c r="P794" s="18" t="inlineStr">
        <is>
          <t>Sandy Loam</t>
        </is>
      </c>
      <c r="Q794" s="18" t="inlineStr">
        <is>
          <t>Flat / Lowland</t>
        </is>
      </c>
      <c r="R794" s="19" t="n">
        <v>30</v>
      </c>
      <c r="S794" s="18" t="inlineStr">
        <is>
          <t>Tagamusing River</t>
        </is>
      </c>
      <c r="T794" s="20" t="n">
        <v>140.28</v>
      </c>
      <c r="U794" s="20" t="n"/>
      <c r="V794" s="20" t="n"/>
      <c r="W794" s="20" t="n">
        <v>42.7</v>
      </c>
      <c r="X794" s="20" t="n"/>
      <c r="Y794" s="20" t="n"/>
      <c r="Z794" s="21" t="n"/>
      <c r="AA794" s="22" t="inlineStr">
        <is>
          <t>Direct Seeding (Hill Planting / Furrow Method)</t>
        </is>
      </c>
      <c r="AB794" s="22" t="inlineStr">
        <is>
          <t>Conventional Tillage: 1 deep plow (20–25 cm) + 1 harrowing; good tilth easily achieved</t>
        </is>
      </c>
      <c r="AC794" s="22" t="inlineStr">
        <is>
          <t>Furrow or sprinkler irrigation; AWD or weekly irrigation; good drainage natural</t>
        </is>
      </c>
    </row>
    <row r="795" ht="21.75" customHeight="1" s="101">
      <c r="A795" s="23" t="inlineStr">
        <is>
          <t>Corn</t>
        </is>
      </c>
      <c r="B795" s="23" t="inlineStr">
        <is>
          <t>Pasileng Norte</t>
        </is>
      </c>
      <c r="C795" s="23" t="inlineStr">
        <is>
          <t>March</t>
        </is>
      </c>
      <c r="D795" s="23" t="inlineStr">
        <is>
          <t>2024</t>
        </is>
      </c>
      <c r="E795" s="23" t="inlineStr">
        <is>
          <t>DS 2023-2024</t>
        </is>
      </c>
      <c r="F795" s="23" t="inlineStr">
        <is>
          <t>Harvest</t>
        </is>
      </c>
      <c r="G795" s="27" t="n">
        <v>45</v>
      </c>
      <c r="H795" s="28" t="n">
        <v>26.5</v>
      </c>
      <c r="I795" s="28" t="n">
        <v>22.1</v>
      </c>
      <c r="J795" s="28" t="n">
        <v>31.6</v>
      </c>
      <c r="K795" s="28" t="n">
        <v>70</v>
      </c>
      <c r="L795" s="28" t="n"/>
      <c r="M795" s="28" t="n"/>
      <c r="N795" s="23" t="inlineStr">
        <is>
          <t>Type I – Tropical Monsoon (PAGASA)</t>
        </is>
      </c>
      <c r="O795" s="23" t="inlineStr">
        <is>
          <t>Dry (Hot)</t>
        </is>
      </c>
      <c r="P795" s="23" t="inlineStr">
        <is>
          <t>Sandy Loam</t>
        </is>
      </c>
      <c r="Q795" s="23" t="inlineStr">
        <is>
          <t>Flat / Lowland</t>
        </is>
      </c>
      <c r="R795" s="24" t="n">
        <v>30</v>
      </c>
      <c r="S795" s="23" t="inlineStr">
        <is>
          <t>Tagamusing River</t>
        </is>
      </c>
      <c r="T795" s="25" t="n">
        <v>140.28</v>
      </c>
      <c r="U795" s="25" t="n"/>
      <c r="V795" s="25" t="n"/>
      <c r="W795" s="25" t="n"/>
      <c r="X795" s="25" t="n">
        <v>41.22</v>
      </c>
      <c r="Y795" s="25" t="n">
        <v>297.46</v>
      </c>
      <c r="Z795" s="26" t="n">
        <v>7.22</v>
      </c>
      <c r="AA795" s="17" t="inlineStr">
        <is>
          <t>Direct Seeding (Hill Planting / Furrow Method)</t>
        </is>
      </c>
      <c r="AB795" s="17" t="inlineStr">
        <is>
          <t>Conventional Tillage: 1 deep plow (20–25 cm) + 1 harrowing; good tilth easily achieved</t>
        </is>
      </c>
      <c r="AC795" s="17" t="inlineStr">
        <is>
          <t>Furrow or sprinkler irrigation; AWD or weekly irrigation; good drainage natural</t>
        </is>
      </c>
    </row>
    <row r="796" ht="21.75" customHeight="1" s="101">
      <c r="A796" s="18" t="inlineStr">
        <is>
          <t>Corn</t>
        </is>
      </c>
      <c r="B796" s="18" t="inlineStr">
        <is>
          <t>Tabuyoc</t>
        </is>
      </c>
      <c r="C796" s="18" t="inlineStr">
        <is>
          <t>November</t>
        </is>
      </c>
      <c r="D796" s="18" t="inlineStr">
        <is>
          <t>2023</t>
        </is>
      </c>
      <c r="E796" s="18" t="inlineStr">
        <is>
          <t>DS 2023-2024</t>
        </is>
      </c>
      <c r="F796" s="18" t="inlineStr">
        <is>
          <t>Planting</t>
        </is>
      </c>
      <c r="G796" s="7" t="n">
        <v>1.34</v>
      </c>
      <c r="H796" s="8" t="n">
        <v>26.5</v>
      </c>
      <c r="I796" s="8" t="n">
        <v>19.59</v>
      </c>
      <c r="J796" s="8" t="n">
        <v>32.04</v>
      </c>
      <c r="K796" s="8" t="n">
        <v>81.69</v>
      </c>
      <c r="L796" s="8" t="n">
        <v>98.48999999999999</v>
      </c>
      <c r="M796" s="8" t="n">
        <v>17.2</v>
      </c>
      <c r="N796" s="18" t="inlineStr">
        <is>
          <t>Type I – Tropical Monsoon (PAGASA)</t>
        </is>
      </c>
      <c r="O796" s="18" t="inlineStr">
        <is>
          <t>Dry (Cool)</t>
        </is>
      </c>
      <c r="P796" s="18" t="inlineStr">
        <is>
          <t>Silty Clay Loam</t>
        </is>
      </c>
      <c r="Q796" s="18" t="inlineStr">
        <is>
          <t>Flat / Lowland</t>
        </is>
      </c>
      <c r="R796" s="19" t="n">
        <v>30</v>
      </c>
      <c r="S796" s="18" t="inlineStr">
        <is>
          <t>—</t>
        </is>
      </c>
      <c r="T796" s="20" t="n">
        <v>277.2</v>
      </c>
      <c r="U796" s="20" t="n"/>
      <c r="V796" s="20" t="n"/>
      <c r="W796" s="20" t="n">
        <v>66.12</v>
      </c>
      <c r="X796" s="20" t="n"/>
      <c r="Y796" s="20" t="n"/>
      <c r="Z796" s="21" t="n"/>
      <c r="AA796" s="22" t="inlineStr">
        <is>
          <t>Direct Seeding (Furrow Method on Raised Beds)</t>
        </is>
      </c>
      <c r="AB796" s="22" t="inlineStr">
        <is>
          <t>Deep Tillage (25 cm): 1–2 plowings; form raised beds 20–25 cm high to prevent waterlogging</t>
        </is>
      </c>
      <c r="AC796" s="22" t="inlineStr">
        <is>
          <t>Furrow irrigation only (not flood); ensure bed drainage; drain excess after rain</t>
        </is>
      </c>
    </row>
    <row r="797" ht="21.75" customHeight="1" s="101">
      <c r="A797" s="23" t="inlineStr">
        <is>
          <t>Corn</t>
        </is>
      </c>
      <c r="B797" s="23" t="inlineStr">
        <is>
          <t>Tabuyoc</t>
        </is>
      </c>
      <c r="C797" s="23" t="inlineStr">
        <is>
          <t>March</t>
        </is>
      </c>
      <c r="D797" s="23" t="inlineStr">
        <is>
          <t>2024</t>
        </is>
      </c>
      <c r="E797" s="23" t="inlineStr">
        <is>
          <t>DS 2023-2024</t>
        </is>
      </c>
      <c r="F797" s="23" t="inlineStr">
        <is>
          <t>Harvest</t>
        </is>
      </c>
      <c r="G797" s="27" t="n">
        <v>45</v>
      </c>
      <c r="H797" s="28" t="n">
        <v>26.5</v>
      </c>
      <c r="I797" s="28" t="n">
        <v>22.1</v>
      </c>
      <c r="J797" s="28" t="n">
        <v>31.6</v>
      </c>
      <c r="K797" s="28" t="n">
        <v>70</v>
      </c>
      <c r="L797" s="28" t="n"/>
      <c r="M797" s="28" t="n"/>
      <c r="N797" s="23" t="inlineStr">
        <is>
          <t>Type I – Tropical Monsoon (PAGASA)</t>
        </is>
      </c>
      <c r="O797" s="23" t="inlineStr">
        <is>
          <t>Dry (Hot)</t>
        </is>
      </c>
      <c r="P797" s="23" t="inlineStr">
        <is>
          <t>Silty Clay Loam</t>
        </is>
      </c>
      <c r="Q797" s="23" t="inlineStr">
        <is>
          <t>Flat / Lowland</t>
        </is>
      </c>
      <c r="R797" s="24" t="n">
        <v>30</v>
      </c>
      <c r="S797" s="23" t="inlineStr">
        <is>
          <t>—</t>
        </is>
      </c>
      <c r="T797" s="25" t="n">
        <v>277.2</v>
      </c>
      <c r="U797" s="25" t="n"/>
      <c r="V797" s="25" t="n"/>
      <c r="W797" s="25" t="n"/>
      <c r="X797" s="25" t="n">
        <v>63.83</v>
      </c>
      <c r="Y797" s="25" t="n">
        <v>460.63</v>
      </c>
      <c r="Z797" s="26" t="n">
        <v>7.22</v>
      </c>
      <c r="AA797" s="17" t="inlineStr">
        <is>
          <t>Direct Seeding (Furrow Method on Raised Beds)</t>
        </is>
      </c>
      <c r="AB797" s="17" t="inlineStr">
        <is>
          <t>Deep Tillage (25 cm): 1–2 plowings; form raised beds 20–25 cm high to prevent waterlogging</t>
        </is>
      </c>
      <c r="AC797" s="17" t="inlineStr">
        <is>
          <t>Furrow irrigation only (not flood); ensure bed drainage; drain excess after rain</t>
        </is>
      </c>
    </row>
    <row r="798" ht="21.75" customHeight="1" s="101">
      <c r="A798" s="18" t="inlineStr">
        <is>
          <t>Corn</t>
        </is>
      </c>
      <c r="B798" s="18" t="inlineStr">
        <is>
          <t>Bued</t>
        </is>
      </c>
      <c r="C798" s="18" t="inlineStr">
        <is>
          <t>November</t>
        </is>
      </c>
      <c r="D798" s="18" t="inlineStr">
        <is>
          <t>2023</t>
        </is>
      </c>
      <c r="E798" s="18" t="inlineStr">
        <is>
          <t>DS 2023-2024</t>
        </is>
      </c>
      <c r="F798" s="18" t="inlineStr">
        <is>
          <t>Planting</t>
        </is>
      </c>
      <c r="G798" s="7" t="n">
        <v>1.34</v>
      </c>
      <c r="H798" s="8" t="n">
        <v>26.5</v>
      </c>
      <c r="I798" s="8" t="n">
        <v>19.59</v>
      </c>
      <c r="J798" s="8" t="n">
        <v>32.04</v>
      </c>
      <c r="K798" s="8" t="n">
        <v>81.69</v>
      </c>
      <c r="L798" s="8" t="n">
        <v>98.48999999999999</v>
      </c>
      <c r="M798" s="8" t="n">
        <v>17.2</v>
      </c>
      <c r="N798" s="18" t="inlineStr">
        <is>
          <t>Type I – Tropical Monsoon (PAGASA)</t>
        </is>
      </c>
      <c r="O798" s="18" t="inlineStr">
        <is>
          <t>Dry (Cool)</t>
        </is>
      </c>
      <c r="P798" s="18" t="inlineStr">
        <is>
          <t>Silty Clay Loam</t>
        </is>
      </c>
      <c r="Q798" s="18" t="inlineStr">
        <is>
          <t>Flat / Lowland</t>
        </is>
      </c>
      <c r="R798" s="19" t="n">
        <v>30</v>
      </c>
      <c r="S798" s="18" t="inlineStr">
        <is>
          <t>Tagamusing River</t>
        </is>
      </c>
      <c r="T798" s="20" t="n">
        <v>210.84</v>
      </c>
      <c r="U798" s="20" t="n"/>
      <c r="V798" s="20" t="n"/>
      <c r="W798" s="20" t="n">
        <v>49.95</v>
      </c>
      <c r="X798" s="20" t="n"/>
      <c r="Y798" s="20" t="n"/>
      <c r="Z798" s="21" t="n"/>
      <c r="AA798" s="22" t="inlineStr">
        <is>
          <t>Direct Seeding (Furrow Method on Raised Beds)</t>
        </is>
      </c>
      <c r="AB798" s="22" t="inlineStr">
        <is>
          <t>Deep Tillage (25 cm): 1–2 plowings; form raised beds 20–25 cm high to prevent waterlogging</t>
        </is>
      </c>
      <c r="AC798" s="22" t="inlineStr">
        <is>
          <t>Furrow irrigation only (not flood); ensure bed drainage; drain excess after rain</t>
        </is>
      </c>
    </row>
    <row r="799" ht="21.75" customHeight="1" s="101">
      <c r="A799" s="23" t="inlineStr">
        <is>
          <t>Corn</t>
        </is>
      </c>
      <c r="B799" s="23" t="inlineStr">
        <is>
          <t>Bued</t>
        </is>
      </c>
      <c r="C799" s="23" t="inlineStr">
        <is>
          <t>March</t>
        </is>
      </c>
      <c r="D799" s="23" t="inlineStr">
        <is>
          <t>2024</t>
        </is>
      </c>
      <c r="E799" s="23" t="inlineStr">
        <is>
          <t>DS 2023-2024</t>
        </is>
      </c>
      <c r="F799" s="23" t="inlineStr">
        <is>
          <t>Harvest</t>
        </is>
      </c>
      <c r="G799" s="27" t="n">
        <v>45</v>
      </c>
      <c r="H799" s="28" t="n">
        <v>26.5</v>
      </c>
      <c r="I799" s="28" t="n">
        <v>22.1</v>
      </c>
      <c r="J799" s="28" t="n">
        <v>31.6</v>
      </c>
      <c r="K799" s="28" t="n">
        <v>70</v>
      </c>
      <c r="L799" s="28" t="n"/>
      <c r="M799" s="28" t="n"/>
      <c r="N799" s="23" t="inlineStr">
        <is>
          <t>Type I – Tropical Monsoon (PAGASA)</t>
        </is>
      </c>
      <c r="O799" s="23" t="inlineStr">
        <is>
          <t>Dry (Hot)</t>
        </is>
      </c>
      <c r="P799" s="23" t="inlineStr">
        <is>
          <t>Silty Clay Loam</t>
        </is>
      </c>
      <c r="Q799" s="23" t="inlineStr">
        <is>
          <t>Flat / Lowland</t>
        </is>
      </c>
      <c r="R799" s="24" t="n">
        <v>30</v>
      </c>
      <c r="S799" s="23" t="inlineStr">
        <is>
          <t>Tagamusing River</t>
        </is>
      </c>
      <c r="T799" s="25" t="n">
        <v>210.84</v>
      </c>
      <c r="U799" s="25" t="n"/>
      <c r="V799" s="25" t="n"/>
      <c r="W799" s="25" t="n"/>
      <c r="X799" s="25" t="n">
        <v>48.22</v>
      </c>
      <c r="Y799" s="25" t="n">
        <v>347.95</v>
      </c>
      <c r="Z799" s="26" t="n">
        <v>7.22</v>
      </c>
      <c r="AA799" s="17" t="inlineStr">
        <is>
          <t>Direct Seeding (Furrow Method on Raised Beds)</t>
        </is>
      </c>
      <c r="AB799" s="17" t="inlineStr">
        <is>
          <t>Deep Tillage (25 cm): 1–2 plowings; form raised beds 20–25 cm high to prevent waterlogging</t>
        </is>
      </c>
      <c r="AC799" s="17" t="inlineStr">
        <is>
          <t>Furrow irrigation only (not flood); ensure bed drainage; drain excess after rain</t>
        </is>
      </c>
    </row>
    <row r="800" ht="21.75" customHeight="1" s="101">
      <c r="A800" s="18" t="inlineStr">
        <is>
          <t>Corn</t>
        </is>
      </c>
      <c r="B800" s="18" t="inlineStr">
        <is>
          <t>Dumayat</t>
        </is>
      </c>
      <c r="C800" s="18" t="inlineStr">
        <is>
          <t>November</t>
        </is>
      </c>
      <c r="D800" s="18" t="inlineStr">
        <is>
          <t>2023</t>
        </is>
      </c>
      <c r="E800" s="18" t="inlineStr">
        <is>
          <t>DS 2023-2024</t>
        </is>
      </c>
      <c r="F800" s="18" t="inlineStr">
        <is>
          <t>Planting</t>
        </is>
      </c>
      <c r="G800" s="7" t="n">
        <v>1.34</v>
      </c>
      <c r="H800" s="8" t="n">
        <v>26.5</v>
      </c>
      <c r="I800" s="8" t="n">
        <v>19.59</v>
      </c>
      <c r="J800" s="8" t="n">
        <v>32.04</v>
      </c>
      <c r="K800" s="8" t="n">
        <v>81.69</v>
      </c>
      <c r="L800" s="8" t="n">
        <v>98.48999999999999</v>
      </c>
      <c r="M800" s="8" t="n">
        <v>17.2</v>
      </c>
      <c r="N800" s="18" t="inlineStr">
        <is>
          <t>Type I – Tropical Monsoon (PAGASA)</t>
        </is>
      </c>
      <c r="O800" s="18" t="inlineStr">
        <is>
          <t>Dry (Cool)</t>
        </is>
      </c>
      <c r="P800" s="18" t="inlineStr">
        <is>
          <t>Silty Clay Loam</t>
        </is>
      </c>
      <c r="Q800" s="18" t="inlineStr">
        <is>
          <t>Flat / Lowland</t>
        </is>
      </c>
      <c r="R800" s="19" t="n">
        <v>30</v>
      </c>
      <c r="S800" s="18" t="inlineStr">
        <is>
          <t>—</t>
        </is>
      </c>
      <c r="T800" s="20" t="n">
        <v>266.28</v>
      </c>
      <c r="U800" s="20" t="n"/>
      <c r="V800" s="20" t="n"/>
      <c r="W800" s="20" t="n">
        <v>38.99</v>
      </c>
      <c r="X800" s="20" t="n"/>
      <c r="Y800" s="20" t="n"/>
      <c r="Z800" s="21" t="n"/>
      <c r="AA800" s="22" t="inlineStr">
        <is>
          <t>Direct Seeding (Furrow Method on Raised Beds)</t>
        </is>
      </c>
      <c r="AB800" s="22" t="inlineStr">
        <is>
          <t>Deep Tillage (25 cm): 1–2 plowings; form raised beds 20–25 cm high to prevent waterlogging</t>
        </is>
      </c>
      <c r="AC800" s="22" t="inlineStr">
        <is>
          <t>Furrow irrigation only (not flood); ensure bed drainage; drain excess after rain</t>
        </is>
      </c>
    </row>
    <row r="801" ht="21.75" customHeight="1" s="101">
      <c r="A801" s="23" t="inlineStr">
        <is>
          <t>Corn</t>
        </is>
      </c>
      <c r="B801" s="23" t="inlineStr">
        <is>
          <t>Dumayat</t>
        </is>
      </c>
      <c r="C801" s="23" t="inlineStr">
        <is>
          <t>March</t>
        </is>
      </c>
      <c r="D801" s="23" t="inlineStr">
        <is>
          <t>2024</t>
        </is>
      </c>
      <c r="E801" s="23" t="inlineStr">
        <is>
          <t>DS 2023-2024</t>
        </is>
      </c>
      <c r="F801" s="23" t="inlineStr">
        <is>
          <t>Harvest</t>
        </is>
      </c>
      <c r="G801" s="27" t="n">
        <v>45</v>
      </c>
      <c r="H801" s="28" t="n">
        <v>26.5</v>
      </c>
      <c r="I801" s="28" t="n">
        <v>22.1</v>
      </c>
      <c r="J801" s="28" t="n">
        <v>31.6</v>
      </c>
      <c r="K801" s="28" t="n">
        <v>70</v>
      </c>
      <c r="L801" s="28" t="n"/>
      <c r="M801" s="28" t="n"/>
      <c r="N801" s="23" t="inlineStr">
        <is>
          <t>Type I – Tropical Monsoon (PAGASA)</t>
        </is>
      </c>
      <c r="O801" s="23" t="inlineStr">
        <is>
          <t>Dry (Hot)</t>
        </is>
      </c>
      <c r="P801" s="23" t="inlineStr">
        <is>
          <t>Silty Clay Loam</t>
        </is>
      </c>
      <c r="Q801" s="23" t="inlineStr">
        <is>
          <t>Flat / Lowland</t>
        </is>
      </c>
      <c r="R801" s="24" t="n">
        <v>30</v>
      </c>
      <c r="S801" s="23" t="inlineStr">
        <is>
          <t>—</t>
        </is>
      </c>
      <c r="T801" s="25" t="n">
        <v>266.28</v>
      </c>
      <c r="U801" s="25" t="n"/>
      <c r="V801" s="25" t="n"/>
      <c r="W801" s="25" t="n"/>
      <c r="X801" s="25" t="n">
        <v>37.64</v>
      </c>
      <c r="Y801" s="25" t="n">
        <v>271.61</v>
      </c>
      <c r="Z801" s="26" t="n">
        <v>7.22</v>
      </c>
      <c r="AA801" s="17" t="inlineStr">
        <is>
          <t>Direct Seeding (Furrow Method on Raised Beds)</t>
        </is>
      </c>
      <c r="AB801" s="17" t="inlineStr">
        <is>
          <t>Deep Tillage (25 cm): 1–2 plowings; form raised beds 20–25 cm high to prevent waterlogging</t>
        </is>
      </c>
      <c r="AC801" s="17" t="inlineStr">
        <is>
          <t>Furrow irrigation only (not flood); ensure bed drainage; drain excess after rain</t>
        </is>
      </c>
    </row>
    <row r="802" ht="21.75" customHeight="1" s="101">
      <c r="A802" s="18" t="inlineStr">
        <is>
          <t>Corn</t>
        </is>
      </c>
      <c r="B802" s="18" t="inlineStr">
        <is>
          <t>Camanggaan</t>
        </is>
      </c>
      <c r="C802" s="18" t="inlineStr">
        <is>
          <t>November</t>
        </is>
      </c>
      <c r="D802" s="18" t="inlineStr">
        <is>
          <t>2023</t>
        </is>
      </c>
      <c r="E802" s="18" t="inlineStr">
        <is>
          <t>DS 2023-2024</t>
        </is>
      </c>
      <c r="F802" s="18" t="inlineStr">
        <is>
          <t>Planting</t>
        </is>
      </c>
      <c r="G802" s="7" t="n">
        <v>1.34</v>
      </c>
      <c r="H802" s="8" t="n">
        <v>26.5</v>
      </c>
      <c r="I802" s="8" t="n">
        <v>19.59</v>
      </c>
      <c r="J802" s="8" t="n">
        <v>32.04</v>
      </c>
      <c r="K802" s="8" t="n">
        <v>81.69</v>
      </c>
      <c r="L802" s="8" t="n">
        <v>98.48999999999999</v>
      </c>
      <c r="M802" s="8" t="n">
        <v>17.2</v>
      </c>
      <c r="N802" s="18" t="inlineStr">
        <is>
          <t>Type I – Tropical Monsoon (PAGASA)</t>
        </is>
      </c>
      <c r="O802" s="18" t="inlineStr">
        <is>
          <t>Dry (Cool)</t>
        </is>
      </c>
      <c r="P802" s="18" t="inlineStr">
        <is>
          <t>Sandy Loam</t>
        </is>
      </c>
      <c r="Q802" s="18" t="inlineStr">
        <is>
          <t>Flat / Lowland</t>
        </is>
      </c>
      <c r="R802" s="19" t="n">
        <v>30</v>
      </c>
      <c r="S802" s="18" t="inlineStr">
        <is>
          <t>—</t>
        </is>
      </c>
      <c r="T802" s="20" t="n">
        <v>244.44</v>
      </c>
      <c r="U802" s="20" t="n"/>
      <c r="V802" s="20" t="n"/>
      <c r="W802" s="20" t="n">
        <v>28.86</v>
      </c>
      <c r="X802" s="20" t="n"/>
      <c r="Y802" s="20" t="n"/>
      <c r="Z802" s="21" t="n"/>
      <c r="AA802" s="22" t="inlineStr">
        <is>
          <t>Direct Seeding (Hill Planting / Furrow Method)</t>
        </is>
      </c>
      <c r="AB802" s="22" t="inlineStr">
        <is>
          <t>Conventional Tillage: 1 deep plow (20–25 cm) + 1 harrowing; good tilth easily achieved</t>
        </is>
      </c>
      <c r="AC802" s="22" t="inlineStr">
        <is>
          <t>Furrow or sprinkler irrigation; AWD or weekly irrigation; good drainage natural</t>
        </is>
      </c>
    </row>
    <row r="803" ht="21.75" customHeight="1" s="101">
      <c r="A803" s="23" t="inlineStr">
        <is>
          <t>Corn</t>
        </is>
      </c>
      <c r="B803" s="23" t="inlineStr">
        <is>
          <t>Camanggaan</t>
        </is>
      </c>
      <c r="C803" s="23" t="inlineStr">
        <is>
          <t>March</t>
        </is>
      </c>
      <c r="D803" s="23" t="inlineStr">
        <is>
          <t>2024</t>
        </is>
      </c>
      <c r="E803" s="23" t="inlineStr">
        <is>
          <t>DS 2023-2024</t>
        </is>
      </c>
      <c r="F803" s="23" t="inlineStr">
        <is>
          <t>Harvest</t>
        </is>
      </c>
      <c r="G803" s="27" t="n">
        <v>45</v>
      </c>
      <c r="H803" s="28" t="n">
        <v>26.5</v>
      </c>
      <c r="I803" s="28" t="n">
        <v>22.1</v>
      </c>
      <c r="J803" s="28" t="n">
        <v>31.6</v>
      </c>
      <c r="K803" s="28" t="n">
        <v>70</v>
      </c>
      <c r="L803" s="28" t="n"/>
      <c r="M803" s="28" t="n"/>
      <c r="N803" s="23" t="inlineStr">
        <is>
          <t>Type I – Tropical Monsoon (PAGASA)</t>
        </is>
      </c>
      <c r="O803" s="23" t="inlineStr">
        <is>
          <t>Dry (Hot)</t>
        </is>
      </c>
      <c r="P803" s="23" t="inlineStr">
        <is>
          <t>Sandy Loam</t>
        </is>
      </c>
      <c r="Q803" s="23" t="inlineStr">
        <is>
          <t>Flat / Lowland</t>
        </is>
      </c>
      <c r="R803" s="24" t="n">
        <v>30</v>
      </c>
      <c r="S803" s="23" t="inlineStr">
        <is>
          <t>—</t>
        </is>
      </c>
      <c r="T803" s="25" t="n">
        <v>244.44</v>
      </c>
      <c r="U803" s="25" t="n"/>
      <c r="V803" s="25" t="n"/>
      <c r="W803" s="25" t="n"/>
      <c r="X803" s="25" t="n">
        <v>27.86</v>
      </c>
      <c r="Y803" s="25" t="n">
        <v>201.05</v>
      </c>
      <c r="Z803" s="26" t="n">
        <v>7.22</v>
      </c>
      <c r="AA803" s="17" t="inlineStr">
        <is>
          <t>Direct Seeding (Hill Planting / Furrow Method)</t>
        </is>
      </c>
      <c r="AB803" s="17" t="inlineStr">
        <is>
          <t>Conventional Tillage: 1 deep plow (20–25 cm) + 1 harrowing; good tilth easily achieved</t>
        </is>
      </c>
      <c r="AC803" s="17" t="inlineStr">
        <is>
          <t>Furrow or sprinkler irrigation; AWD or weekly irrigation; good drainage natural</t>
        </is>
      </c>
    </row>
    <row r="804" ht="21.75" customHeight="1" s="101">
      <c r="A804" s="18" t="inlineStr">
        <is>
          <t>Corn</t>
        </is>
      </c>
      <c r="B804" s="18" t="inlineStr">
        <is>
          <t>Vacante</t>
        </is>
      </c>
      <c r="C804" s="18" t="inlineStr">
        <is>
          <t>November</t>
        </is>
      </c>
      <c r="D804" s="18" t="inlineStr">
        <is>
          <t>2023</t>
        </is>
      </c>
      <c r="E804" s="18" t="inlineStr">
        <is>
          <t>DS 2023-2024</t>
        </is>
      </c>
      <c r="F804" s="18" t="inlineStr">
        <is>
          <t>Planting</t>
        </is>
      </c>
      <c r="G804" s="7" t="n">
        <v>1.34</v>
      </c>
      <c r="H804" s="8" t="n">
        <v>26.5</v>
      </c>
      <c r="I804" s="8" t="n">
        <v>19.59</v>
      </c>
      <c r="J804" s="8" t="n">
        <v>32.04</v>
      </c>
      <c r="K804" s="8" t="n">
        <v>81.69</v>
      </c>
      <c r="L804" s="8" t="n">
        <v>98.48999999999999</v>
      </c>
      <c r="M804" s="8" t="n">
        <v>17.2</v>
      </c>
      <c r="N804" s="18" t="inlineStr">
        <is>
          <t>Type I – Tropical Monsoon (PAGASA)</t>
        </is>
      </c>
      <c r="O804" s="18" t="inlineStr">
        <is>
          <t>Dry (Cool)</t>
        </is>
      </c>
      <c r="P804" s="18" t="inlineStr">
        <is>
          <t>Silty Clay Loam</t>
        </is>
      </c>
      <c r="Q804" s="18" t="inlineStr">
        <is>
          <t>Flat / Lowland</t>
        </is>
      </c>
      <c r="R804" s="19" t="n">
        <v>30</v>
      </c>
      <c r="S804" s="18" t="inlineStr">
        <is>
          <t>Aloragat River</t>
        </is>
      </c>
      <c r="T804" s="20" t="n">
        <v>484.68</v>
      </c>
      <c r="U804" s="20" t="n"/>
      <c r="V804" s="20" t="n"/>
      <c r="W804" s="20" t="n">
        <v>55.68</v>
      </c>
      <c r="X804" s="20" t="n"/>
      <c r="Y804" s="20" t="n"/>
      <c r="Z804" s="21" t="n"/>
      <c r="AA804" s="22" t="inlineStr">
        <is>
          <t>Direct Seeding (Furrow Method on Raised Beds)</t>
        </is>
      </c>
      <c r="AB804" s="22" t="inlineStr">
        <is>
          <t>Deep Tillage (25 cm): 1–2 plowings; form raised beds 20–25 cm high to prevent waterlogging</t>
        </is>
      </c>
      <c r="AC804" s="22" t="inlineStr">
        <is>
          <t>Furrow irrigation only (not flood); ensure bed drainage; drain excess after rain</t>
        </is>
      </c>
    </row>
    <row r="805" ht="21.75" customHeight="1" s="101">
      <c r="A805" s="23" t="inlineStr">
        <is>
          <t>Corn</t>
        </is>
      </c>
      <c r="B805" s="23" t="inlineStr">
        <is>
          <t>Vacante</t>
        </is>
      </c>
      <c r="C805" s="23" t="inlineStr">
        <is>
          <t>March</t>
        </is>
      </c>
      <c r="D805" s="23" t="inlineStr">
        <is>
          <t>2024</t>
        </is>
      </c>
      <c r="E805" s="23" t="inlineStr">
        <is>
          <t>DS 2023-2024</t>
        </is>
      </c>
      <c r="F805" s="23" t="inlineStr">
        <is>
          <t>Harvest</t>
        </is>
      </c>
      <c r="G805" s="27" t="n">
        <v>45</v>
      </c>
      <c r="H805" s="28" t="n">
        <v>26.5</v>
      </c>
      <c r="I805" s="28" t="n">
        <v>22.1</v>
      </c>
      <c r="J805" s="28" t="n">
        <v>31.6</v>
      </c>
      <c r="K805" s="28" t="n">
        <v>70</v>
      </c>
      <c r="L805" s="28" t="n"/>
      <c r="M805" s="28" t="n"/>
      <c r="N805" s="23" t="inlineStr">
        <is>
          <t>Type I – Tropical Monsoon (PAGASA)</t>
        </is>
      </c>
      <c r="O805" s="23" t="inlineStr">
        <is>
          <t>Dry (Hot)</t>
        </is>
      </c>
      <c r="P805" s="23" t="inlineStr">
        <is>
          <t>Silty Clay Loam</t>
        </is>
      </c>
      <c r="Q805" s="23" t="inlineStr">
        <is>
          <t>Flat / Lowland</t>
        </is>
      </c>
      <c r="R805" s="24" t="n">
        <v>30</v>
      </c>
      <c r="S805" s="23" t="inlineStr">
        <is>
          <t>Aloragat River</t>
        </is>
      </c>
      <c r="T805" s="25" t="n">
        <v>484.68</v>
      </c>
      <c r="U805" s="25" t="n"/>
      <c r="V805" s="25" t="n"/>
      <c r="W805" s="25" t="n"/>
      <c r="X805" s="25" t="n">
        <v>53.75</v>
      </c>
      <c r="Y805" s="25" t="n">
        <v>387.86</v>
      </c>
      <c r="Z805" s="26" t="n">
        <v>7.22</v>
      </c>
      <c r="AA805" s="17" t="inlineStr">
        <is>
          <t>Direct Seeding (Furrow Method on Raised Beds)</t>
        </is>
      </c>
      <c r="AB805" s="17" t="inlineStr">
        <is>
          <t>Deep Tillage (25 cm): 1–2 plowings; form raised beds 20–25 cm high to prevent waterlogging</t>
        </is>
      </c>
      <c r="AC805" s="17" t="inlineStr">
        <is>
          <t>Furrow irrigation only (not flood); ensure bed drainage; drain excess after rain</t>
        </is>
      </c>
    </row>
    <row r="806" ht="21.75" customHeight="1" s="101">
      <c r="A806" s="18" t="inlineStr">
        <is>
          <t>Corn</t>
        </is>
      </c>
      <c r="B806" s="18" t="inlineStr">
        <is>
          <t>Sta. Catalina</t>
        </is>
      </c>
      <c r="C806" s="18" t="inlineStr">
        <is>
          <t>November</t>
        </is>
      </c>
      <c r="D806" s="18" t="inlineStr">
        <is>
          <t>2023</t>
        </is>
      </c>
      <c r="E806" s="18" t="inlineStr">
        <is>
          <t>DS 2023-2024</t>
        </is>
      </c>
      <c r="F806" s="18" t="inlineStr">
        <is>
          <t>Planting</t>
        </is>
      </c>
      <c r="G806" s="7" t="n">
        <v>1.34</v>
      </c>
      <c r="H806" s="8" t="n">
        <v>26.5</v>
      </c>
      <c r="I806" s="8" t="n">
        <v>19.59</v>
      </c>
      <c r="J806" s="8" t="n">
        <v>32.04</v>
      </c>
      <c r="K806" s="8" t="n">
        <v>81.69</v>
      </c>
      <c r="L806" s="8" t="n">
        <v>98.48999999999999</v>
      </c>
      <c r="M806" s="8" t="n">
        <v>17.2</v>
      </c>
      <c r="N806" s="18" t="inlineStr">
        <is>
          <t>Type I – Tropical Monsoon (PAGASA)</t>
        </is>
      </c>
      <c r="O806" s="18" t="inlineStr">
        <is>
          <t>Dry (Cool)</t>
        </is>
      </c>
      <c r="P806" s="18" t="inlineStr">
        <is>
          <t>Fine Sand / Sandy Loam</t>
        </is>
      </c>
      <c r="Q806" s="18" t="inlineStr">
        <is>
          <t>Moderately Sloping / Highland</t>
        </is>
      </c>
      <c r="R806" s="19" t="n">
        <v>90</v>
      </c>
      <c r="S806" s="18" t="inlineStr">
        <is>
          <t>—</t>
        </is>
      </c>
      <c r="T806" s="20" t="n">
        <v>709.8</v>
      </c>
      <c r="U806" s="20" t="n"/>
      <c r="V806" s="20" t="n"/>
      <c r="W806" s="20" t="n">
        <v>94.73</v>
      </c>
      <c r="X806" s="20" t="n"/>
      <c r="Y806" s="20" t="n"/>
      <c r="Z806" s="21" t="n"/>
      <c r="AA806" s="22" t="inlineStr">
        <is>
          <t>Direct Seeding (Hills or Furrow Method)</t>
        </is>
      </c>
      <c r="AB806" s="22" t="inlineStr">
        <is>
          <t>Minimum Tillage; deep ripping to break hardpan; avoid over-disturbance</t>
        </is>
      </c>
      <c r="AC806" s="22" t="inlineStr">
        <is>
          <t>Furrow irrigation; frequent light watering; mulch to retain soil moisture</t>
        </is>
      </c>
    </row>
    <row r="807" ht="21.75" customHeight="1" s="101">
      <c r="A807" s="23" t="inlineStr">
        <is>
          <t>Corn</t>
        </is>
      </c>
      <c r="B807" s="23" t="inlineStr">
        <is>
          <t>Sta. Catalina</t>
        </is>
      </c>
      <c r="C807" s="23" t="inlineStr">
        <is>
          <t>March</t>
        </is>
      </c>
      <c r="D807" s="23" t="inlineStr">
        <is>
          <t>2024</t>
        </is>
      </c>
      <c r="E807" s="23" t="inlineStr">
        <is>
          <t>DS 2023-2024</t>
        </is>
      </c>
      <c r="F807" s="23" t="inlineStr">
        <is>
          <t>Harvest</t>
        </is>
      </c>
      <c r="G807" s="27" t="n">
        <v>45</v>
      </c>
      <c r="H807" s="28" t="n">
        <v>26.5</v>
      </c>
      <c r="I807" s="28" t="n">
        <v>22.1</v>
      </c>
      <c r="J807" s="28" t="n">
        <v>31.6</v>
      </c>
      <c r="K807" s="28" t="n">
        <v>70</v>
      </c>
      <c r="L807" s="28" t="n"/>
      <c r="M807" s="28" t="n"/>
      <c r="N807" s="23" t="inlineStr">
        <is>
          <t>Type I – Tropical Monsoon (PAGASA)</t>
        </is>
      </c>
      <c r="O807" s="23" t="inlineStr">
        <is>
          <t>Dry (Hot)</t>
        </is>
      </c>
      <c r="P807" s="23" t="inlineStr">
        <is>
          <t>Fine Sand / Sandy Loam</t>
        </is>
      </c>
      <c r="Q807" s="23" t="inlineStr">
        <is>
          <t>Moderately Sloping / Highland</t>
        </is>
      </c>
      <c r="R807" s="24" t="n">
        <v>90</v>
      </c>
      <c r="S807" s="23" t="inlineStr">
        <is>
          <t>—</t>
        </is>
      </c>
      <c r="T807" s="25" t="n">
        <v>709.8</v>
      </c>
      <c r="U807" s="25" t="n"/>
      <c r="V807" s="25" t="n"/>
      <c r="W807" s="25" t="n"/>
      <c r="X807" s="25" t="n">
        <v>91.45</v>
      </c>
      <c r="Y807" s="25" t="n">
        <v>659.95</v>
      </c>
      <c r="Z807" s="26" t="n">
        <v>7.22</v>
      </c>
      <c r="AA807" s="17" t="inlineStr">
        <is>
          <t>Direct Seeding (Hills or Furrow Method)</t>
        </is>
      </c>
      <c r="AB807" s="17" t="inlineStr">
        <is>
          <t>Minimum Tillage; deep ripping to break hardpan; avoid over-disturbance</t>
        </is>
      </c>
      <c r="AC807" s="17" t="inlineStr">
        <is>
          <t>Furrow irrigation; frequent light watering; mulch to retain soil moisture</t>
        </is>
      </c>
    </row>
    <row r="808" ht="21.75" customHeight="1" s="101">
      <c r="A808" s="18" t="inlineStr">
        <is>
          <t>Corn</t>
        </is>
      </c>
      <c r="B808" s="18" t="inlineStr">
        <is>
          <t>Moreno</t>
        </is>
      </c>
      <c r="C808" s="18" t="inlineStr">
        <is>
          <t>November</t>
        </is>
      </c>
      <c r="D808" s="18" t="inlineStr">
        <is>
          <t>2023</t>
        </is>
      </c>
      <c r="E808" s="18" t="inlineStr">
        <is>
          <t>DS 2023-2024</t>
        </is>
      </c>
      <c r="F808" s="18" t="inlineStr">
        <is>
          <t>Planting</t>
        </is>
      </c>
      <c r="G808" s="7" t="n">
        <v>1.34</v>
      </c>
      <c r="H808" s="8" t="n">
        <v>26.5</v>
      </c>
      <c r="I808" s="8" t="n">
        <v>19.59</v>
      </c>
      <c r="J808" s="8" t="n">
        <v>32.04</v>
      </c>
      <c r="K808" s="8" t="n">
        <v>81.69</v>
      </c>
      <c r="L808" s="8" t="n">
        <v>98.48999999999999</v>
      </c>
      <c r="M808" s="8" t="n">
        <v>17.2</v>
      </c>
      <c r="N808" s="18" t="inlineStr">
        <is>
          <t>Type I – Tropical Monsoon (PAGASA)</t>
        </is>
      </c>
      <c r="O808" s="18" t="inlineStr">
        <is>
          <t>Dry (Cool)</t>
        </is>
      </c>
      <c r="P808" s="18" t="inlineStr">
        <is>
          <t>Sandy Loam</t>
        </is>
      </c>
      <c r="Q808" s="18" t="inlineStr">
        <is>
          <t>Moderately Sloping / Highland</t>
        </is>
      </c>
      <c r="R808" s="19" t="n">
        <v>90</v>
      </c>
      <c r="S808" s="18" t="inlineStr">
        <is>
          <t>Alibeng River</t>
        </is>
      </c>
      <c r="T808" s="20" t="n">
        <v>641.76</v>
      </c>
      <c r="U808" s="20" t="n"/>
      <c r="V808" s="20" t="n"/>
      <c r="W808" s="20" t="n">
        <v>67.87</v>
      </c>
      <c r="X808" s="20" t="n"/>
      <c r="Y808" s="20" t="n"/>
      <c r="Z808" s="21" t="n"/>
      <c r="AA808" s="22" t="inlineStr">
        <is>
          <t>Direct Seeding (Hill Planting / Furrow Method)</t>
        </is>
      </c>
      <c r="AB808" s="22" t="inlineStr">
        <is>
          <t>Conventional Tillage: 1 deep plow (20–25 cm) + 1 harrowing; good tilth easily achieved</t>
        </is>
      </c>
      <c r="AC808" s="22" t="inlineStr">
        <is>
          <t>Furrow or sprinkler irrigation; AWD or weekly irrigation; good drainage natural</t>
        </is>
      </c>
    </row>
    <row r="809" ht="21.75" customHeight="1" s="101">
      <c r="A809" s="23" t="inlineStr">
        <is>
          <t>Corn</t>
        </is>
      </c>
      <c r="B809" s="23" t="inlineStr">
        <is>
          <t>Moreno</t>
        </is>
      </c>
      <c r="C809" s="23" t="inlineStr">
        <is>
          <t>March</t>
        </is>
      </c>
      <c r="D809" s="23" t="inlineStr">
        <is>
          <t>2024</t>
        </is>
      </c>
      <c r="E809" s="23" t="inlineStr">
        <is>
          <t>DS 2023-2024</t>
        </is>
      </c>
      <c r="F809" s="23" t="inlineStr">
        <is>
          <t>Harvest</t>
        </is>
      </c>
      <c r="G809" s="27" t="n">
        <v>45</v>
      </c>
      <c r="H809" s="28" t="n">
        <v>26.5</v>
      </c>
      <c r="I809" s="28" t="n">
        <v>22.1</v>
      </c>
      <c r="J809" s="28" t="n">
        <v>31.6</v>
      </c>
      <c r="K809" s="28" t="n">
        <v>70</v>
      </c>
      <c r="L809" s="28" t="n"/>
      <c r="M809" s="28" t="n"/>
      <c r="N809" s="23" t="inlineStr">
        <is>
          <t>Type I – Tropical Monsoon (PAGASA)</t>
        </is>
      </c>
      <c r="O809" s="23" t="inlineStr">
        <is>
          <t>Dry (Hot)</t>
        </is>
      </c>
      <c r="P809" s="23" t="inlineStr">
        <is>
          <t>Sandy Loam</t>
        </is>
      </c>
      <c r="Q809" s="23" t="inlineStr">
        <is>
          <t>Moderately Sloping / Highland</t>
        </is>
      </c>
      <c r="R809" s="24" t="n">
        <v>90</v>
      </c>
      <c r="S809" s="23" t="inlineStr">
        <is>
          <t>Alibeng River</t>
        </is>
      </c>
      <c r="T809" s="25" t="n">
        <v>641.76</v>
      </c>
      <c r="U809" s="25" t="n"/>
      <c r="V809" s="25" t="n"/>
      <c r="W809" s="25" t="n"/>
      <c r="X809" s="25" t="n">
        <v>65.51000000000001</v>
      </c>
      <c r="Y809" s="25" t="n">
        <v>472.78</v>
      </c>
      <c r="Z809" s="26" t="n">
        <v>7.22</v>
      </c>
      <c r="AA809" s="17" t="inlineStr">
        <is>
          <t>Direct Seeding (Hill Planting / Furrow Method)</t>
        </is>
      </c>
      <c r="AB809" s="17" t="inlineStr">
        <is>
          <t>Conventional Tillage: 1 deep plow (20–25 cm) + 1 harrowing; good tilth easily achieved</t>
        </is>
      </c>
      <c r="AC809" s="17" t="inlineStr">
        <is>
          <t>Furrow or sprinkler irrigation; AWD or weekly irrigation; good drainage natural</t>
        </is>
      </c>
    </row>
    <row r="810" ht="21.75" customHeight="1" s="101">
      <c r="A810" s="18" t="inlineStr">
        <is>
          <t>Corn</t>
        </is>
      </c>
      <c r="B810" s="18" t="inlineStr">
        <is>
          <t>Cili</t>
        </is>
      </c>
      <c r="C810" s="18" t="inlineStr">
        <is>
          <t>November</t>
        </is>
      </c>
      <c r="D810" s="18" t="inlineStr">
        <is>
          <t>2023</t>
        </is>
      </c>
      <c r="E810" s="18" t="inlineStr">
        <is>
          <t>DS 2023-2024</t>
        </is>
      </c>
      <c r="F810" s="18" t="inlineStr">
        <is>
          <t>Planting</t>
        </is>
      </c>
      <c r="G810" s="7" t="n">
        <v>1.34</v>
      </c>
      <c r="H810" s="8" t="n">
        <v>26.5</v>
      </c>
      <c r="I810" s="8" t="n">
        <v>19.59</v>
      </c>
      <c r="J810" s="8" t="n">
        <v>32.04</v>
      </c>
      <c r="K810" s="8" t="n">
        <v>81.69</v>
      </c>
      <c r="L810" s="8" t="n">
        <v>98.48999999999999</v>
      </c>
      <c r="M810" s="8" t="n">
        <v>17.2</v>
      </c>
      <c r="N810" s="18" t="inlineStr">
        <is>
          <t>Type I – Tropical Monsoon (PAGASA)</t>
        </is>
      </c>
      <c r="O810" s="18" t="inlineStr">
        <is>
          <t>Dry (Cool)</t>
        </is>
      </c>
      <c r="P810" s="18" t="inlineStr">
        <is>
          <t>Silty Clay Loam</t>
        </is>
      </c>
      <c r="Q810" s="18" t="inlineStr">
        <is>
          <t>Flat / Lowland</t>
        </is>
      </c>
      <c r="R810" s="19" t="n">
        <v>30</v>
      </c>
      <c r="S810" s="18" t="inlineStr">
        <is>
          <t>Alibeng River</t>
        </is>
      </c>
      <c r="T810" s="20" t="n">
        <v>264.6</v>
      </c>
      <c r="U810" s="20" t="n"/>
      <c r="V810" s="20" t="n"/>
      <c r="W810" s="20" t="n">
        <v>63.36</v>
      </c>
      <c r="X810" s="20" t="n"/>
      <c r="Y810" s="20" t="n"/>
      <c r="Z810" s="21" t="n"/>
      <c r="AA810" s="22" t="inlineStr">
        <is>
          <t>Direct Seeding (Furrow Method on Raised Beds)</t>
        </is>
      </c>
      <c r="AB810" s="22" t="inlineStr">
        <is>
          <t>Deep Tillage (25 cm): 1–2 plowings; form raised beds 20–25 cm high to prevent waterlogging</t>
        </is>
      </c>
      <c r="AC810" s="22" t="inlineStr">
        <is>
          <t>Furrow irrigation only (not flood); ensure bed drainage; drain excess after rain</t>
        </is>
      </c>
    </row>
    <row r="811" ht="21.75" customHeight="1" s="101">
      <c r="A811" s="23" t="inlineStr">
        <is>
          <t>Corn</t>
        </is>
      </c>
      <c r="B811" s="23" t="inlineStr">
        <is>
          <t>Cili</t>
        </is>
      </c>
      <c r="C811" s="23" t="inlineStr">
        <is>
          <t>March</t>
        </is>
      </c>
      <c r="D811" s="23" t="inlineStr">
        <is>
          <t>2024</t>
        </is>
      </c>
      <c r="E811" s="23" t="inlineStr">
        <is>
          <t>DS 2023-2024</t>
        </is>
      </c>
      <c r="F811" s="23" t="inlineStr">
        <is>
          <t>Harvest</t>
        </is>
      </c>
      <c r="G811" s="27" t="n">
        <v>45</v>
      </c>
      <c r="H811" s="28" t="n">
        <v>26.5</v>
      </c>
      <c r="I811" s="28" t="n">
        <v>22.1</v>
      </c>
      <c r="J811" s="28" t="n">
        <v>31.6</v>
      </c>
      <c r="K811" s="28" t="n">
        <v>70</v>
      </c>
      <c r="L811" s="28" t="n"/>
      <c r="M811" s="28" t="n"/>
      <c r="N811" s="23" t="inlineStr">
        <is>
          <t>Type I – Tropical Monsoon (PAGASA)</t>
        </is>
      </c>
      <c r="O811" s="23" t="inlineStr">
        <is>
          <t>Dry (Hot)</t>
        </is>
      </c>
      <c r="P811" s="23" t="inlineStr">
        <is>
          <t>Silty Clay Loam</t>
        </is>
      </c>
      <c r="Q811" s="23" t="inlineStr">
        <is>
          <t>Flat / Lowland</t>
        </is>
      </c>
      <c r="R811" s="24" t="n">
        <v>30</v>
      </c>
      <c r="S811" s="23" t="inlineStr">
        <is>
          <t>Alibeng River</t>
        </is>
      </c>
      <c r="T811" s="25" t="n">
        <v>264.6</v>
      </c>
      <c r="U811" s="25" t="n"/>
      <c r="V811" s="25" t="n"/>
      <c r="W811" s="25" t="n"/>
      <c r="X811" s="25" t="n">
        <v>61.17</v>
      </c>
      <c r="Y811" s="25" t="n">
        <v>441.41</v>
      </c>
      <c r="Z811" s="26" t="n">
        <v>7.22</v>
      </c>
      <c r="AA811" s="17" t="inlineStr">
        <is>
          <t>Direct Seeding (Furrow Method on Raised Beds)</t>
        </is>
      </c>
      <c r="AB811" s="17" t="inlineStr">
        <is>
          <t>Deep Tillage (25 cm): 1–2 plowings; form raised beds 20–25 cm high to prevent waterlogging</t>
        </is>
      </c>
      <c r="AC811" s="17" t="inlineStr">
        <is>
          <t>Furrow irrigation only (not flood); ensure bed drainage; drain excess after rain</t>
        </is>
      </c>
    </row>
    <row r="812" ht="21.75" customHeight="1" s="101">
      <c r="A812" s="18" t="inlineStr">
        <is>
          <t>Corn</t>
        </is>
      </c>
      <c r="B812" s="18" t="inlineStr">
        <is>
          <t>Linmansangan</t>
        </is>
      </c>
      <c r="C812" s="18" t="inlineStr">
        <is>
          <t>November</t>
        </is>
      </c>
      <c r="D812" s="18" t="inlineStr">
        <is>
          <t>2023</t>
        </is>
      </c>
      <c r="E812" s="18" t="inlineStr">
        <is>
          <t>DS 2023-2024</t>
        </is>
      </c>
      <c r="F812" s="18" t="inlineStr">
        <is>
          <t>Planting</t>
        </is>
      </c>
      <c r="G812" s="7" t="n">
        <v>1.34</v>
      </c>
      <c r="H812" s="8" t="n">
        <v>26.5</v>
      </c>
      <c r="I812" s="8" t="n">
        <v>19.59</v>
      </c>
      <c r="J812" s="8" t="n">
        <v>32.04</v>
      </c>
      <c r="K812" s="8" t="n">
        <v>81.69</v>
      </c>
      <c r="L812" s="8" t="n">
        <v>98.48999999999999</v>
      </c>
      <c r="M812" s="8" t="n">
        <v>17.2</v>
      </c>
      <c r="N812" s="18" t="inlineStr">
        <is>
          <t>Type I – Tropical Monsoon (PAGASA)</t>
        </is>
      </c>
      <c r="O812" s="18" t="inlineStr">
        <is>
          <t>Dry (Cool)</t>
        </is>
      </c>
      <c r="P812" s="18" t="inlineStr">
        <is>
          <t>Silty Clay Loam</t>
        </is>
      </c>
      <c r="Q812" s="18" t="inlineStr">
        <is>
          <t>Flat / Lowland</t>
        </is>
      </c>
      <c r="R812" s="19" t="n">
        <v>30</v>
      </c>
      <c r="S812" s="18" t="inlineStr">
        <is>
          <t>—</t>
        </is>
      </c>
      <c r="T812" s="20" t="n">
        <v>492.24</v>
      </c>
      <c r="U812" s="20" t="n"/>
      <c r="V812" s="20" t="n"/>
      <c r="W812" s="20" t="n">
        <v>95.16</v>
      </c>
      <c r="X812" s="20" t="n"/>
      <c r="Y812" s="20" t="n"/>
      <c r="Z812" s="21" t="n"/>
      <c r="AA812" s="22" t="inlineStr">
        <is>
          <t>Direct Seeding (Furrow Method on Raised Beds)</t>
        </is>
      </c>
      <c r="AB812" s="22" t="inlineStr">
        <is>
          <t>Deep Tillage (25 cm): 1–2 plowings; form raised beds 20–25 cm high to prevent waterlogging</t>
        </is>
      </c>
      <c r="AC812" s="22" t="inlineStr">
        <is>
          <t>Furrow irrigation only (not flood); ensure bed drainage; drain excess after rain</t>
        </is>
      </c>
    </row>
    <row r="813" ht="21.75" customHeight="1" s="101">
      <c r="A813" s="23" t="inlineStr">
        <is>
          <t>Corn</t>
        </is>
      </c>
      <c r="B813" s="23" t="inlineStr">
        <is>
          <t>Linmansangan</t>
        </is>
      </c>
      <c r="C813" s="23" t="inlineStr">
        <is>
          <t>March</t>
        </is>
      </c>
      <c r="D813" s="23" t="inlineStr">
        <is>
          <t>2024</t>
        </is>
      </c>
      <c r="E813" s="23" t="inlineStr">
        <is>
          <t>DS 2023-2024</t>
        </is>
      </c>
      <c r="F813" s="23" t="inlineStr">
        <is>
          <t>Harvest</t>
        </is>
      </c>
      <c r="G813" s="27" t="n">
        <v>45</v>
      </c>
      <c r="H813" s="28" t="n">
        <v>26.5</v>
      </c>
      <c r="I813" s="28" t="n">
        <v>22.1</v>
      </c>
      <c r="J813" s="28" t="n">
        <v>31.6</v>
      </c>
      <c r="K813" s="28" t="n">
        <v>70</v>
      </c>
      <c r="L813" s="28" t="n"/>
      <c r="M813" s="28" t="n"/>
      <c r="N813" s="23" t="inlineStr">
        <is>
          <t>Type I – Tropical Monsoon (PAGASA)</t>
        </is>
      </c>
      <c r="O813" s="23" t="inlineStr">
        <is>
          <t>Dry (Hot)</t>
        </is>
      </c>
      <c r="P813" s="23" t="inlineStr">
        <is>
          <t>Silty Clay Loam</t>
        </is>
      </c>
      <c r="Q813" s="23" t="inlineStr">
        <is>
          <t>Flat / Lowland</t>
        </is>
      </c>
      <c r="R813" s="24" t="n">
        <v>30</v>
      </c>
      <c r="S813" s="23" t="inlineStr">
        <is>
          <t>—</t>
        </is>
      </c>
      <c r="T813" s="25" t="n">
        <v>492.24</v>
      </c>
      <c r="U813" s="25" t="n"/>
      <c r="V813" s="25" t="n"/>
      <c r="W813" s="25" t="n"/>
      <c r="X813" s="25" t="n">
        <v>91.87</v>
      </c>
      <c r="Y813" s="25" t="n">
        <v>662.96</v>
      </c>
      <c r="Z813" s="26" t="n">
        <v>7.22</v>
      </c>
      <c r="AA813" s="17" t="inlineStr">
        <is>
          <t>Direct Seeding (Furrow Method on Raised Beds)</t>
        </is>
      </c>
      <c r="AB813" s="17" t="inlineStr">
        <is>
          <t>Deep Tillage (25 cm): 1–2 plowings; form raised beds 20–25 cm high to prevent waterlogging</t>
        </is>
      </c>
      <c r="AC813" s="17" t="inlineStr">
        <is>
          <t>Furrow irrigation only (not flood); ensure bed drainage; drain excess after rain</t>
        </is>
      </c>
    </row>
    <row r="814" ht="21.75" customHeight="1" s="101">
      <c r="A814" s="18" t="inlineStr">
        <is>
          <t>Corn</t>
        </is>
      </c>
      <c r="B814" s="18" t="inlineStr">
        <is>
          <t>Sumabnit</t>
        </is>
      </c>
      <c r="C814" s="18" t="inlineStr">
        <is>
          <t>November</t>
        </is>
      </c>
      <c r="D814" s="18" t="inlineStr">
        <is>
          <t>2023</t>
        </is>
      </c>
      <c r="E814" s="18" t="inlineStr">
        <is>
          <t>DS 2023-2024</t>
        </is>
      </c>
      <c r="F814" s="18" t="inlineStr">
        <is>
          <t>Planting</t>
        </is>
      </c>
      <c r="G814" s="7" t="n">
        <v>1.34</v>
      </c>
      <c r="H814" s="8" t="n">
        <v>26.5</v>
      </c>
      <c r="I814" s="8" t="n">
        <v>19.59</v>
      </c>
      <c r="J814" s="8" t="n">
        <v>32.04</v>
      </c>
      <c r="K814" s="8" t="n">
        <v>81.69</v>
      </c>
      <c r="L814" s="8" t="n">
        <v>98.48999999999999</v>
      </c>
      <c r="M814" s="8" t="n">
        <v>17.2</v>
      </c>
      <c r="N814" s="18" t="inlineStr">
        <is>
          <t>Type I – Tropical Monsoon (PAGASA)</t>
        </is>
      </c>
      <c r="O814" s="18" t="inlineStr">
        <is>
          <t>Dry (Cool)</t>
        </is>
      </c>
      <c r="P814" s="18" t="inlineStr">
        <is>
          <t>Silty Clay Loam / Fine Sandy Loam</t>
        </is>
      </c>
      <c r="Q814" s="18" t="inlineStr">
        <is>
          <t>Flat / Lowland</t>
        </is>
      </c>
      <c r="R814" s="19" t="n">
        <v>30</v>
      </c>
      <c r="S814" s="18" t="inlineStr">
        <is>
          <t>Tagamusing River</t>
        </is>
      </c>
      <c r="T814" s="20" t="n">
        <v>406.56</v>
      </c>
      <c r="U814" s="20" t="n"/>
      <c r="V814" s="20" t="n"/>
      <c r="W814" s="20" t="n">
        <v>85.69</v>
      </c>
      <c r="X814" s="20" t="n"/>
      <c r="Y814" s="20" t="n"/>
      <c r="Z814" s="21" t="n"/>
      <c r="AA814" s="22" t="inlineStr">
        <is>
          <t>Direct Seeding (Hills or Furrow Method)</t>
        </is>
      </c>
      <c r="AB814" s="22" t="inlineStr">
        <is>
          <t>Minimum Tillage; deep ripping to break hardpan; avoid over-disturbance</t>
        </is>
      </c>
      <c r="AC814" s="22" t="inlineStr">
        <is>
          <t>Furrow irrigation; frequent light watering; mulch to retain soil moisture</t>
        </is>
      </c>
    </row>
    <row r="815" ht="21.75" customHeight="1" s="101">
      <c r="A815" s="23" t="inlineStr">
        <is>
          <t>Corn</t>
        </is>
      </c>
      <c r="B815" s="23" t="inlineStr">
        <is>
          <t>Sumabnit</t>
        </is>
      </c>
      <c r="C815" s="23" t="inlineStr">
        <is>
          <t>March</t>
        </is>
      </c>
      <c r="D815" s="23" t="inlineStr">
        <is>
          <t>2024</t>
        </is>
      </c>
      <c r="E815" s="23" t="inlineStr">
        <is>
          <t>DS 2023-2024</t>
        </is>
      </c>
      <c r="F815" s="23" t="inlineStr">
        <is>
          <t>Harvest</t>
        </is>
      </c>
      <c r="G815" s="27" t="n">
        <v>45</v>
      </c>
      <c r="H815" s="28" t="n">
        <v>26.5</v>
      </c>
      <c r="I815" s="28" t="n">
        <v>22.1</v>
      </c>
      <c r="J815" s="28" t="n">
        <v>31.6</v>
      </c>
      <c r="K815" s="28" t="n">
        <v>70</v>
      </c>
      <c r="L815" s="28" t="n"/>
      <c r="M815" s="28" t="n"/>
      <c r="N815" s="23" t="inlineStr">
        <is>
          <t>Type I – Tropical Monsoon (PAGASA)</t>
        </is>
      </c>
      <c r="O815" s="23" t="inlineStr">
        <is>
          <t>Dry (Hot)</t>
        </is>
      </c>
      <c r="P815" s="23" t="inlineStr">
        <is>
          <t>Silty Clay Loam / Fine Sandy Loam</t>
        </is>
      </c>
      <c r="Q815" s="23" t="inlineStr">
        <is>
          <t>Flat / Lowland</t>
        </is>
      </c>
      <c r="R815" s="24" t="n">
        <v>30</v>
      </c>
      <c r="S815" s="23" t="inlineStr">
        <is>
          <t>Tagamusing River</t>
        </is>
      </c>
      <c r="T815" s="25" t="n">
        <v>406.56</v>
      </c>
      <c r="U815" s="25" t="n"/>
      <c r="V815" s="25" t="n"/>
      <c r="W815" s="25" t="n"/>
      <c r="X815" s="25" t="n">
        <v>82.72</v>
      </c>
      <c r="Y815" s="25" t="n">
        <v>596.95</v>
      </c>
      <c r="Z815" s="26" t="n">
        <v>7.22</v>
      </c>
      <c r="AA815" s="17" t="inlineStr">
        <is>
          <t>Direct Seeding (Hills or Furrow Method)</t>
        </is>
      </c>
      <c r="AB815" s="17" t="inlineStr">
        <is>
          <t>Minimum Tillage; deep ripping to break hardpan; avoid over-disturbance</t>
        </is>
      </c>
      <c r="AC815" s="17" t="inlineStr">
        <is>
          <t>Furrow irrigation; frequent light watering; mulch to retain soil moisture</t>
        </is>
      </c>
    </row>
    <row r="816" ht="21.75" customHeight="1" s="101">
      <c r="A816" s="18" t="inlineStr">
        <is>
          <t>Corn</t>
        </is>
      </c>
      <c r="B816" s="18" t="inlineStr">
        <is>
          <t>Capas</t>
        </is>
      </c>
      <c r="C816" s="18" t="inlineStr">
        <is>
          <t>November</t>
        </is>
      </c>
      <c r="D816" s="18" t="inlineStr">
        <is>
          <t>2023</t>
        </is>
      </c>
      <c r="E816" s="18" t="inlineStr">
        <is>
          <t>DS 2023-2024</t>
        </is>
      </c>
      <c r="F816" s="18" t="inlineStr">
        <is>
          <t>Planting</t>
        </is>
      </c>
      <c r="G816" s="7" t="n">
        <v>1.34</v>
      </c>
      <c r="H816" s="8" t="n">
        <v>26.5</v>
      </c>
      <c r="I816" s="8" t="n">
        <v>19.59</v>
      </c>
      <c r="J816" s="8" t="n">
        <v>32.04</v>
      </c>
      <c r="K816" s="8" t="n">
        <v>81.69</v>
      </c>
      <c r="L816" s="8" t="n">
        <v>98.48999999999999</v>
      </c>
      <c r="M816" s="8" t="n">
        <v>17.2</v>
      </c>
      <c r="N816" s="18" t="inlineStr">
        <is>
          <t>Type I – Tropical Monsoon (PAGASA)</t>
        </is>
      </c>
      <c r="O816" s="18" t="inlineStr">
        <is>
          <t>Dry (Cool)</t>
        </is>
      </c>
      <c r="P816" s="18" t="inlineStr">
        <is>
          <t>Sandy Loam</t>
        </is>
      </c>
      <c r="Q816" s="18" t="inlineStr">
        <is>
          <t>Flat / Lowland</t>
        </is>
      </c>
      <c r="R816" s="19" t="n">
        <v>30</v>
      </c>
      <c r="S816" s="18" t="inlineStr">
        <is>
          <t>—</t>
        </is>
      </c>
      <c r="T816" s="20" t="n">
        <v>377.16</v>
      </c>
      <c r="U816" s="20" t="n"/>
      <c r="V816" s="20" t="n"/>
      <c r="W816" s="20" t="n">
        <v>120.51</v>
      </c>
      <c r="X816" s="20" t="n"/>
      <c r="Y816" s="20" t="n"/>
      <c r="Z816" s="21" t="n"/>
      <c r="AA816" s="22" t="inlineStr">
        <is>
          <t>Direct Seeding (Hill Planting / Furrow Method)</t>
        </is>
      </c>
      <c r="AB816" s="22" t="inlineStr">
        <is>
          <t>Conventional Tillage: 1 deep plow (20–25 cm) + 1 harrowing; good tilth easily achieved</t>
        </is>
      </c>
      <c r="AC816" s="22" t="inlineStr">
        <is>
          <t>Furrow or sprinkler irrigation; AWD or weekly irrigation; good drainage natural</t>
        </is>
      </c>
    </row>
    <row r="817" ht="21.75" customHeight="1" s="101">
      <c r="A817" s="23" t="inlineStr">
        <is>
          <t>Corn</t>
        </is>
      </c>
      <c r="B817" s="23" t="inlineStr">
        <is>
          <t>Capas</t>
        </is>
      </c>
      <c r="C817" s="23" t="inlineStr">
        <is>
          <t>March</t>
        </is>
      </c>
      <c r="D817" s="23" t="inlineStr">
        <is>
          <t>2024</t>
        </is>
      </c>
      <c r="E817" s="23" t="inlineStr">
        <is>
          <t>DS 2023-2024</t>
        </is>
      </c>
      <c r="F817" s="23" t="inlineStr">
        <is>
          <t>Harvest</t>
        </is>
      </c>
      <c r="G817" s="27" t="n">
        <v>45</v>
      </c>
      <c r="H817" s="28" t="n">
        <v>26.5</v>
      </c>
      <c r="I817" s="28" t="n">
        <v>22.1</v>
      </c>
      <c r="J817" s="28" t="n">
        <v>31.6</v>
      </c>
      <c r="K817" s="28" t="n">
        <v>70</v>
      </c>
      <c r="L817" s="28" t="n"/>
      <c r="M817" s="28" t="n"/>
      <c r="N817" s="23" t="inlineStr">
        <is>
          <t>Type I – Tropical Monsoon (PAGASA)</t>
        </is>
      </c>
      <c r="O817" s="23" t="inlineStr">
        <is>
          <t>Dry (Hot)</t>
        </is>
      </c>
      <c r="P817" s="23" t="inlineStr">
        <is>
          <t>Sandy Loam</t>
        </is>
      </c>
      <c r="Q817" s="23" t="inlineStr">
        <is>
          <t>Flat / Lowland</t>
        </is>
      </c>
      <c r="R817" s="24" t="n">
        <v>30</v>
      </c>
      <c r="S817" s="23" t="inlineStr">
        <is>
          <t>—</t>
        </is>
      </c>
      <c r="T817" s="25" t="n">
        <v>377.16</v>
      </c>
      <c r="U817" s="25" t="n"/>
      <c r="V817" s="25" t="n"/>
      <c r="W817" s="25" t="n"/>
      <c r="X817" s="25" t="n">
        <v>116.34</v>
      </c>
      <c r="Y817" s="25" t="n">
        <v>839.54</v>
      </c>
      <c r="Z817" s="26" t="n">
        <v>7.22</v>
      </c>
      <c r="AA817" s="17" t="inlineStr">
        <is>
          <t>Direct Seeding (Hill Planting / Furrow Method)</t>
        </is>
      </c>
      <c r="AB817" s="17" t="inlineStr">
        <is>
          <t>Conventional Tillage: 1 deep plow (20–25 cm) + 1 harrowing; good tilth easily achieved</t>
        </is>
      </c>
      <c r="AC817" s="17" t="inlineStr">
        <is>
          <t>Furrow or sprinkler irrigation; AWD or weekly irrigation; good drainage natural</t>
        </is>
      </c>
    </row>
    <row r="818" ht="21.75" customHeight="1" s="101">
      <c r="A818" s="18" t="inlineStr">
        <is>
          <t>Corn</t>
        </is>
      </c>
      <c r="B818" s="18" t="inlineStr">
        <is>
          <t>Mangkasuy</t>
        </is>
      </c>
      <c r="C818" s="18" t="inlineStr">
        <is>
          <t>November</t>
        </is>
      </c>
      <c r="D818" s="18" t="inlineStr">
        <is>
          <t>2023</t>
        </is>
      </c>
      <c r="E818" s="18" t="inlineStr">
        <is>
          <t>DS 2023-2024</t>
        </is>
      </c>
      <c r="F818" s="18" t="inlineStr">
        <is>
          <t>Planting</t>
        </is>
      </c>
      <c r="G818" s="7" t="n">
        <v>1.34</v>
      </c>
      <c r="H818" s="8" t="n">
        <v>26.5</v>
      </c>
      <c r="I818" s="8" t="n">
        <v>19.59</v>
      </c>
      <c r="J818" s="8" t="n">
        <v>32.04</v>
      </c>
      <c r="K818" s="8" t="n">
        <v>81.69</v>
      </c>
      <c r="L818" s="8" t="n">
        <v>98.48999999999999</v>
      </c>
      <c r="M818" s="8" t="n">
        <v>17.2</v>
      </c>
      <c r="N818" s="18" t="inlineStr">
        <is>
          <t>Type I – Tropical Monsoon (PAGASA)</t>
        </is>
      </c>
      <c r="O818" s="18" t="inlineStr">
        <is>
          <t>Dry (Cool)</t>
        </is>
      </c>
      <c r="P818" s="18" t="inlineStr">
        <is>
          <t>Sandy Loam</t>
        </is>
      </c>
      <c r="Q818" s="18" t="inlineStr">
        <is>
          <t>Flat / Lowland</t>
        </is>
      </c>
      <c r="R818" s="19" t="n">
        <v>30</v>
      </c>
      <c r="S818" s="18" t="inlineStr">
        <is>
          <t>Tagamusing River</t>
        </is>
      </c>
      <c r="T818" s="20" t="n">
        <v>802.2</v>
      </c>
      <c r="U818" s="20" t="n"/>
      <c r="V818" s="20" t="n"/>
      <c r="W818" s="20" t="n">
        <v>108.36</v>
      </c>
      <c r="X818" s="20" t="n"/>
      <c r="Y818" s="20" t="n"/>
      <c r="Z818" s="21" t="n"/>
      <c r="AA818" s="22" t="inlineStr">
        <is>
          <t>Direct Seeding (Hill Planting / Furrow Method)</t>
        </is>
      </c>
      <c r="AB818" s="22" t="inlineStr">
        <is>
          <t>Conventional Tillage: 1 deep plow (20–25 cm) + 1 harrowing; good tilth easily achieved</t>
        </is>
      </c>
      <c r="AC818" s="22" t="inlineStr">
        <is>
          <t>Furrow or sprinkler irrigation; AWD or weekly irrigation; good drainage natural</t>
        </is>
      </c>
    </row>
    <row r="819" ht="21.75" customHeight="1" s="101">
      <c r="A819" s="23" t="inlineStr">
        <is>
          <t>Corn</t>
        </is>
      </c>
      <c r="B819" s="23" t="inlineStr">
        <is>
          <t>Mangkasuy</t>
        </is>
      </c>
      <c r="C819" s="23" t="inlineStr">
        <is>
          <t>March</t>
        </is>
      </c>
      <c r="D819" s="23" t="inlineStr">
        <is>
          <t>2024</t>
        </is>
      </c>
      <c r="E819" s="23" t="inlineStr">
        <is>
          <t>DS 2023-2024</t>
        </is>
      </c>
      <c r="F819" s="23" t="inlineStr">
        <is>
          <t>Harvest</t>
        </is>
      </c>
      <c r="G819" s="27" t="n">
        <v>45</v>
      </c>
      <c r="H819" s="28" t="n">
        <v>26.5</v>
      </c>
      <c r="I819" s="28" t="n">
        <v>22.1</v>
      </c>
      <c r="J819" s="28" t="n">
        <v>31.6</v>
      </c>
      <c r="K819" s="28" t="n">
        <v>70</v>
      </c>
      <c r="L819" s="28" t="n"/>
      <c r="M819" s="28" t="n"/>
      <c r="N819" s="23" t="inlineStr">
        <is>
          <t>Type I – Tropical Monsoon (PAGASA)</t>
        </is>
      </c>
      <c r="O819" s="23" t="inlineStr">
        <is>
          <t>Dry (Hot)</t>
        </is>
      </c>
      <c r="P819" s="23" t="inlineStr">
        <is>
          <t>Sandy Loam</t>
        </is>
      </c>
      <c r="Q819" s="23" t="inlineStr">
        <is>
          <t>Flat / Lowland</t>
        </is>
      </c>
      <c r="R819" s="24" t="n">
        <v>30</v>
      </c>
      <c r="S819" s="23" t="inlineStr">
        <is>
          <t>Tagamusing River</t>
        </is>
      </c>
      <c r="T819" s="25" t="n">
        <v>802.2</v>
      </c>
      <c r="U819" s="25" t="n"/>
      <c r="V819" s="25" t="n"/>
      <c r="W819" s="25" t="n"/>
      <c r="X819" s="25" t="n">
        <v>104.6</v>
      </c>
      <c r="Y819" s="25" t="n">
        <v>754.86</v>
      </c>
      <c r="Z819" s="26" t="n">
        <v>7.22</v>
      </c>
      <c r="AA819" s="17" t="inlineStr">
        <is>
          <t>Direct Seeding (Hill Planting / Furrow Method)</t>
        </is>
      </c>
      <c r="AB819" s="17" t="inlineStr">
        <is>
          <t>Conventional Tillage: 1 deep plow (20–25 cm) + 1 harrowing; good tilth easily achieved</t>
        </is>
      </c>
      <c r="AC819" s="17" t="inlineStr">
        <is>
          <t>Furrow or sprinkler irrigation; AWD or weekly irrigation; good drainage natural</t>
        </is>
      </c>
    </row>
    <row r="820" ht="21.75" customHeight="1" s="101">
      <c r="A820" s="18" t="inlineStr">
        <is>
          <t>Corn</t>
        </is>
      </c>
      <c r="B820" s="18" t="inlineStr">
        <is>
          <t>San Pablo</t>
        </is>
      </c>
      <c r="C820" s="18" t="inlineStr">
        <is>
          <t>November</t>
        </is>
      </c>
      <c r="D820" s="18" t="inlineStr">
        <is>
          <t>2023</t>
        </is>
      </c>
      <c r="E820" s="18" t="inlineStr">
        <is>
          <t>DS 2023-2024</t>
        </is>
      </c>
      <c r="F820" s="18" t="inlineStr">
        <is>
          <t>Planting</t>
        </is>
      </c>
      <c r="G820" s="7" t="n">
        <v>1.34</v>
      </c>
      <c r="H820" s="8" t="n">
        <v>26.5</v>
      </c>
      <c r="I820" s="8" t="n">
        <v>19.59</v>
      </c>
      <c r="J820" s="8" t="n">
        <v>32.04</v>
      </c>
      <c r="K820" s="8" t="n">
        <v>81.69</v>
      </c>
      <c r="L820" s="8" t="n">
        <v>98.48999999999999</v>
      </c>
      <c r="M820" s="8" t="n">
        <v>17.2</v>
      </c>
      <c r="N820" s="18" t="inlineStr">
        <is>
          <t>Type I – Tropical Monsoon (PAGASA)</t>
        </is>
      </c>
      <c r="O820" s="18" t="inlineStr">
        <is>
          <t>Dry (Cool)</t>
        </is>
      </c>
      <c r="P820" s="18" t="inlineStr">
        <is>
          <t>Sandy Loam</t>
        </is>
      </c>
      <c r="Q820" s="18" t="inlineStr">
        <is>
          <t>Flat / Lowland</t>
        </is>
      </c>
      <c r="R820" s="19" t="n">
        <v>30</v>
      </c>
      <c r="S820" s="18" t="inlineStr">
        <is>
          <t>San Pablo Creek</t>
        </is>
      </c>
      <c r="T820" s="20" t="n">
        <v>215.04</v>
      </c>
      <c r="U820" s="20" t="n"/>
      <c r="V820" s="20" t="n"/>
      <c r="W820" s="20" t="n">
        <v>62.43</v>
      </c>
      <c r="X820" s="20" t="n"/>
      <c r="Y820" s="20" t="n"/>
      <c r="Z820" s="21" t="n"/>
      <c r="AA820" s="22" t="inlineStr">
        <is>
          <t>Direct Seeding (Hill Planting / Furrow Method)</t>
        </is>
      </c>
      <c r="AB820" s="22" t="inlineStr">
        <is>
          <t>Conventional Tillage: 1 deep plow (20–25 cm) + 1 harrowing; good tilth easily achieved</t>
        </is>
      </c>
      <c r="AC820" s="22" t="inlineStr">
        <is>
          <t>Furrow or sprinkler irrigation; AWD or weekly irrigation; good drainage natural</t>
        </is>
      </c>
    </row>
    <row r="821" ht="21.75" customHeight="1" s="101">
      <c r="A821" s="23" t="inlineStr">
        <is>
          <t>Corn</t>
        </is>
      </c>
      <c r="B821" s="23" t="inlineStr">
        <is>
          <t>San Pablo</t>
        </is>
      </c>
      <c r="C821" s="23" t="inlineStr">
        <is>
          <t>March</t>
        </is>
      </c>
      <c r="D821" s="23" t="inlineStr">
        <is>
          <t>2024</t>
        </is>
      </c>
      <c r="E821" s="23" t="inlineStr">
        <is>
          <t>DS 2023-2024</t>
        </is>
      </c>
      <c r="F821" s="23" t="inlineStr">
        <is>
          <t>Harvest</t>
        </is>
      </c>
      <c r="G821" s="27" t="n">
        <v>45</v>
      </c>
      <c r="H821" s="28" t="n">
        <v>26.5</v>
      </c>
      <c r="I821" s="28" t="n">
        <v>22.1</v>
      </c>
      <c r="J821" s="28" t="n">
        <v>31.6</v>
      </c>
      <c r="K821" s="28" t="n">
        <v>70</v>
      </c>
      <c r="L821" s="28" t="n"/>
      <c r="M821" s="28" t="n"/>
      <c r="N821" s="23" t="inlineStr">
        <is>
          <t>Type I – Tropical Monsoon (PAGASA)</t>
        </is>
      </c>
      <c r="O821" s="23" t="inlineStr">
        <is>
          <t>Dry (Hot)</t>
        </is>
      </c>
      <c r="P821" s="23" t="inlineStr">
        <is>
          <t>Sandy Loam</t>
        </is>
      </c>
      <c r="Q821" s="23" t="inlineStr">
        <is>
          <t>Flat / Lowland</t>
        </is>
      </c>
      <c r="R821" s="24" t="n">
        <v>30</v>
      </c>
      <c r="S821" s="23" t="inlineStr">
        <is>
          <t>San Pablo Creek</t>
        </is>
      </c>
      <c r="T821" s="25" t="n">
        <v>215.04</v>
      </c>
      <c r="U821" s="25" t="n"/>
      <c r="V821" s="25" t="n"/>
      <c r="W821" s="25" t="n"/>
      <c r="X821" s="25" t="n">
        <v>60.27</v>
      </c>
      <c r="Y821" s="25" t="n">
        <v>434.93</v>
      </c>
      <c r="Z821" s="26" t="n">
        <v>7.22</v>
      </c>
      <c r="AA821" s="17" t="inlineStr">
        <is>
          <t>Direct Seeding (Hill Planting / Furrow Method)</t>
        </is>
      </c>
      <c r="AB821" s="17" t="inlineStr">
        <is>
          <t>Conventional Tillage: 1 deep plow (20–25 cm) + 1 harrowing; good tilth easily achieved</t>
        </is>
      </c>
      <c r="AC821" s="17" t="inlineStr">
        <is>
          <t>Furrow or sprinkler irrigation; AWD or weekly irrigation; good drainage natural</t>
        </is>
      </c>
    </row>
    <row r="822" ht="21.75" customHeight="1" s="101">
      <c r="A822" s="18" t="inlineStr">
        <is>
          <t>Corn</t>
        </is>
      </c>
      <c r="B822" s="18" t="inlineStr">
        <is>
          <t>Balangobong</t>
        </is>
      </c>
      <c r="C822" s="18" t="inlineStr">
        <is>
          <t>November</t>
        </is>
      </c>
      <c r="D822" s="18" t="inlineStr">
        <is>
          <t>2023</t>
        </is>
      </c>
      <c r="E822" s="18" t="inlineStr">
        <is>
          <t>DS 2023-2024</t>
        </is>
      </c>
      <c r="F822" s="18" t="inlineStr">
        <is>
          <t>Planting</t>
        </is>
      </c>
      <c r="G822" s="7" t="n">
        <v>1.34</v>
      </c>
      <c r="H822" s="8" t="n">
        <v>26.5</v>
      </c>
      <c r="I822" s="8" t="n">
        <v>19.59</v>
      </c>
      <c r="J822" s="8" t="n">
        <v>32.04</v>
      </c>
      <c r="K822" s="8" t="n">
        <v>81.69</v>
      </c>
      <c r="L822" s="8" t="n">
        <v>98.48999999999999</v>
      </c>
      <c r="M822" s="8" t="n">
        <v>17.2</v>
      </c>
      <c r="N822" s="18" t="inlineStr">
        <is>
          <t>Type I – Tropical Monsoon (PAGASA)</t>
        </is>
      </c>
      <c r="O822" s="18" t="inlineStr">
        <is>
          <t>Dry (Cool)</t>
        </is>
      </c>
      <c r="P822" s="18" t="inlineStr">
        <is>
          <t>Silty Clay Loam</t>
        </is>
      </c>
      <c r="Q822" s="18" t="inlineStr">
        <is>
          <t>Flat / Lowland</t>
        </is>
      </c>
      <c r="R822" s="19" t="n">
        <v>30</v>
      </c>
      <c r="S822" s="18" t="inlineStr">
        <is>
          <t>—</t>
        </is>
      </c>
      <c r="T822" s="20" t="n">
        <v>281.4</v>
      </c>
      <c r="U822" s="20" t="n"/>
      <c r="V822" s="20" t="n"/>
      <c r="W822" s="20" t="n">
        <v>62.46</v>
      </c>
      <c r="X822" s="20" t="n"/>
      <c r="Y822" s="20" t="n"/>
      <c r="Z822" s="21" t="n"/>
      <c r="AA822" s="22" t="inlineStr">
        <is>
          <t>Direct Seeding (Furrow Method on Raised Beds)</t>
        </is>
      </c>
      <c r="AB822" s="22" t="inlineStr">
        <is>
          <t>Deep Tillage (25 cm): 1–2 plowings; form raised beds 20–25 cm high to prevent waterlogging</t>
        </is>
      </c>
      <c r="AC822" s="22" t="inlineStr">
        <is>
          <t>Furrow irrigation only (not flood); ensure bed drainage; drain excess after rain</t>
        </is>
      </c>
    </row>
    <row r="823" ht="21.75" customHeight="1" s="101">
      <c r="A823" s="23" t="inlineStr">
        <is>
          <t>Corn</t>
        </is>
      </c>
      <c r="B823" s="23" t="inlineStr">
        <is>
          <t>Balangobong</t>
        </is>
      </c>
      <c r="C823" s="23" t="inlineStr">
        <is>
          <t>March</t>
        </is>
      </c>
      <c r="D823" s="23" t="inlineStr">
        <is>
          <t>2024</t>
        </is>
      </c>
      <c r="E823" s="23" t="inlineStr">
        <is>
          <t>DS 2023-2024</t>
        </is>
      </c>
      <c r="F823" s="23" t="inlineStr">
        <is>
          <t>Harvest</t>
        </is>
      </c>
      <c r="G823" s="27" t="n">
        <v>45</v>
      </c>
      <c r="H823" s="28" t="n">
        <v>26.5</v>
      </c>
      <c r="I823" s="28" t="n">
        <v>22.1</v>
      </c>
      <c r="J823" s="28" t="n">
        <v>31.6</v>
      </c>
      <c r="K823" s="28" t="n">
        <v>70</v>
      </c>
      <c r="L823" s="28" t="n"/>
      <c r="M823" s="28" t="n"/>
      <c r="N823" s="23" t="inlineStr">
        <is>
          <t>Type I – Tropical Monsoon (PAGASA)</t>
        </is>
      </c>
      <c r="O823" s="23" t="inlineStr">
        <is>
          <t>Dry (Hot)</t>
        </is>
      </c>
      <c r="P823" s="23" t="inlineStr">
        <is>
          <t>Silty Clay Loam</t>
        </is>
      </c>
      <c r="Q823" s="23" t="inlineStr">
        <is>
          <t>Flat / Lowland</t>
        </is>
      </c>
      <c r="R823" s="24" t="n">
        <v>30</v>
      </c>
      <c r="S823" s="23" t="inlineStr">
        <is>
          <t>—</t>
        </is>
      </c>
      <c r="T823" s="25" t="n">
        <v>281.4</v>
      </c>
      <c r="U823" s="25" t="n"/>
      <c r="V823" s="25" t="n"/>
      <c r="W823" s="25" t="n"/>
      <c r="X823" s="25" t="n">
        <v>60.3</v>
      </c>
      <c r="Y823" s="25" t="n">
        <v>435.16</v>
      </c>
      <c r="Z823" s="26" t="n">
        <v>7.22</v>
      </c>
      <c r="AA823" s="17" t="inlineStr">
        <is>
          <t>Direct Seeding (Furrow Method on Raised Beds)</t>
        </is>
      </c>
      <c r="AB823" s="17" t="inlineStr">
        <is>
          <t>Deep Tillage (25 cm): 1–2 plowings; form raised beds 20–25 cm high to prevent waterlogging</t>
        </is>
      </c>
      <c r="AC823" s="17" t="inlineStr">
        <is>
          <t>Furrow irrigation only (not flood); ensure bed drainage; drain excess after rain</t>
        </is>
      </c>
    </row>
    <row r="824" ht="21.75" customHeight="1" s="101">
      <c r="A824" s="18" t="inlineStr">
        <is>
          <t>Corn</t>
        </is>
      </c>
      <c r="B824" s="18" t="inlineStr">
        <is>
          <t>San Felipe Central</t>
        </is>
      </c>
      <c r="C824" s="18" t="inlineStr">
        <is>
          <t>November</t>
        </is>
      </c>
      <c r="D824" s="18" t="inlineStr">
        <is>
          <t>2023</t>
        </is>
      </c>
      <c r="E824" s="18" t="inlineStr">
        <is>
          <t>DS 2023-2024</t>
        </is>
      </c>
      <c r="F824" s="18" t="inlineStr">
        <is>
          <t>Planting</t>
        </is>
      </c>
      <c r="G824" s="7" t="n">
        <v>1.34</v>
      </c>
      <c r="H824" s="8" t="n">
        <v>26.5</v>
      </c>
      <c r="I824" s="8" t="n">
        <v>19.59</v>
      </c>
      <c r="J824" s="8" t="n">
        <v>32.04</v>
      </c>
      <c r="K824" s="8" t="n">
        <v>81.69</v>
      </c>
      <c r="L824" s="8" t="n">
        <v>98.48999999999999</v>
      </c>
      <c r="M824" s="8" t="n">
        <v>17.2</v>
      </c>
      <c r="N824" s="18" t="inlineStr">
        <is>
          <t>Type I – Tropical Monsoon (PAGASA)</t>
        </is>
      </c>
      <c r="O824" s="18" t="inlineStr">
        <is>
          <t>Dry (Cool)</t>
        </is>
      </c>
      <c r="P824" s="18" t="inlineStr">
        <is>
          <t>Sandy Loam</t>
        </is>
      </c>
      <c r="Q824" s="18" t="inlineStr">
        <is>
          <t>Flat / Lowland</t>
        </is>
      </c>
      <c r="R824" s="19" t="n">
        <v>30</v>
      </c>
      <c r="S824" s="18" t="inlineStr">
        <is>
          <t>—</t>
        </is>
      </c>
      <c r="T824" s="20" t="n">
        <v>452.76</v>
      </c>
      <c r="U824" s="20" t="n"/>
      <c r="V824" s="20" t="n"/>
      <c r="W824" s="20" t="n">
        <v>77.88</v>
      </c>
      <c r="X824" s="20" t="n"/>
      <c r="Y824" s="20" t="n"/>
      <c r="Z824" s="21" t="n"/>
      <c r="AA824" s="22" t="inlineStr">
        <is>
          <t>Direct Seeding (Hill Planting / Furrow Method)</t>
        </is>
      </c>
      <c r="AB824" s="22" t="inlineStr">
        <is>
          <t>Conventional Tillage: 1 deep plow (20–25 cm) + 1 harrowing; good tilth easily achieved</t>
        </is>
      </c>
      <c r="AC824" s="22" t="inlineStr">
        <is>
          <t>Furrow or sprinkler irrigation; AWD or weekly irrigation; good drainage natural</t>
        </is>
      </c>
    </row>
    <row r="825" ht="21.75" customHeight="1" s="101">
      <c r="A825" s="23" t="inlineStr">
        <is>
          <t>Corn</t>
        </is>
      </c>
      <c r="B825" s="23" t="inlineStr">
        <is>
          <t>San Felipe Central</t>
        </is>
      </c>
      <c r="C825" s="23" t="inlineStr">
        <is>
          <t>March</t>
        </is>
      </c>
      <c r="D825" s="23" t="inlineStr">
        <is>
          <t>2024</t>
        </is>
      </c>
      <c r="E825" s="23" t="inlineStr">
        <is>
          <t>DS 2023-2024</t>
        </is>
      </c>
      <c r="F825" s="23" t="inlineStr">
        <is>
          <t>Harvest</t>
        </is>
      </c>
      <c r="G825" s="27" t="n">
        <v>45</v>
      </c>
      <c r="H825" s="28" t="n">
        <v>26.5</v>
      </c>
      <c r="I825" s="28" t="n">
        <v>22.1</v>
      </c>
      <c r="J825" s="28" t="n">
        <v>31.6</v>
      </c>
      <c r="K825" s="28" t="n">
        <v>70</v>
      </c>
      <c r="L825" s="28" t="n"/>
      <c r="M825" s="28" t="n"/>
      <c r="N825" s="23" t="inlineStr">
        <is>
          <t>Type I – Tropical Monsoon (PAGASA)</t>
        </is>
      </c>
      <c r="O825" s="23" t="inlineStr">
        <is>
          <t>Dry (Hot)</t>
        </is>
      </c>
      <c r="P825" s="23" t="inlineStr">
        <is>
          <t>Sandy Loam</t>
        </is>
      </c>
      <c r="Q825" s="23" t="inlineStr">
        <is>
          <t>Flat / Lowland</t>
        </is>
      </c>
      <c r="R825" s="24" t="n">
        <v>30</v>
      </c>
      <c r="S825" s="23" t="inlineStr">
        <is>
          <t>—</t>
        </is>
      </c>
      <c r="T825" s="25" t="n">
        <v>452.76</v>
      </c>
      <c r="U825" s="25" t="n"/>
      <c r="V825" s="25" t="n"/>
      <c r="W825" s="25" t="n"/>
      <c r="X825" s="25" t="n">
        <v>75.18000000000001</v>
      </c>
      <c r="Y825" s="25" t="n">
        <v>542.52</v>
      </c>
      <c r="Z825" s="26" t="n">
        <v>7.22</v>
      </c>
      <c r="AA825" s="17" t="inlineStr">
        <is>
          <t>Direct Seeding (Hill Planting / Furrow Method)</t>
        </is>
      </c>
      <c r="AB825" s="17" t="inlineStr">
        <is>
          <t>Conventional Tillage: 1 deep plow (20–25 cm) + 1 harrowing; good tilth easily achieved</t>
        </is>
      </c>
      <c r="AC825" s="17" t="inlineStr">
        <is>
          <t>Furrow or sprinkler irrigation; AWD or weekly irrigation; good drainage natural</t>
        </is>
      </c>
    </row>
    <row r="826" ht="21.75" customHeight="1" s="101">
      <c r="A826" s="18" t="inlineStr">
        <is>
          <t>Corn</t>
        </is>
      </c>
      <c r="B826" s="18" t="inlineStr">
        <is>
          <t>San Felipe Sur</t>
        </is>
      </c>
      <c r="C826" s="18" t="inlineStr">
        <is>
          <t>November</t>
        </is>
      </c>
      <c r="D826" s="18" t="inlineStr">
        <is>
          <t>2023</t>
        </is>
      </c>
      <c r="E826" s="18" t="inlineStr">
        <is>
          <t>DS 2023-2024</t>
        </is>
      </c>
      <c r="F826" s="18" t="inlineStr">
        <is>
          <t>Planting</t>
        </is>
      </c>
      <c r="G826" s="7" t="n">
        <v>1.34</v>
      </c>
      <c r="H826" s="8" t="n">
        <v>26.5</v>
      </c>
      <c r="I826" s="8" t="n">
        <v>19.59</v>
      </c>
      <c r="J826" s="8" t="n">
        <v>32.04</v>
      </c>
      <c r="K826" s="8" t="n">
        <v>81.69</v>
      </c>
      <c r="L826" s="8" t="n">
        <v>98.48999999999999</v>
      </c>
      <c r="M826" s="8" t="n">
        <v>17.2</v>
      </c>
      <c r="N826" s="18" t="inlineStr">
        <is>
          <t>Type I – Tropical Monsoon (PAGASA)</t>
        </is>
      </c>
      <c r="O826" s="18" t="inlineStr">
        <is>
          <t>Dry (Cool)</t>
        </is>
      </c>
      <c r="P826" s="18" t="inlineStr">
        <is>
          <t>Sandy Loam</t>
        </is>
      </c>
      <c r="Q826" s="18" t="inlineStr">
        <is>
          <t>Flat / Lowland</t>
        </is>
      </c>
      <c r="R826" s="19" t="n">
        <v>30</v>
      </c>
      <c r="S826" s="18" t="inlineStr">
        <is>
          <t>Tagamusing River</t>
        </is>
      </c>
      <c r="T826" s="20" t="n">
        <v>504</v>
      </c>
      <c r="U826" s="20" t="n"/>
      <c r="V826" s="20" t="n"/>
      <c r="W826" s="20" t="n">
        <v>80.73999999999999</v>
      </c>
      <c r="X826" s="20" t="n"/>
      <c r="Y826" s="20" t="n"/>
      <c r="Z826" s="21" t="n"/>
      <c r="AA826" s="22" t="inlineStr">
        <is>
          <t>Direct Seeding (Hill Planting / Furrow Method)</t>
        </is>
      </c>
      <c r="AB826" s="22" t="inlineStr">
        <is>
          <t>Conventional Tillage: 1 deep plow (20–25 cm) + 1 harrowing; good tilth easily achieved</t>
        </is>
      </c>
      <c r="AC826" s="22" t="inlineStr">
        <is>
          <t>Furrow or sprinkler irrigation; AWD or weekly irrigation; good drainage natural</t>
        </is>
      </c>
    </row>
    <row r="827" ht="21.75" customHeight="1" s="101">
      <c r="A827" s="23" t="inlineStr">
        <is>
          <t>Corn</t>
        </is>
      </c>
      <c r="B827" s="23" t="inlineStr">
        <is>
          <t>San Felipe Sur</t>
        </is>
      </c>
      <c r="C827" s="23" t="inlineStr">
        <is>
          <t>March</t>
        </is>
      </c>
      <c r="D827" s="23" t="inlineStr">
        <is>
          <t>2024</t>
        </is>
      </c>
      <c r="E827" s="23" t="inlineStr">
        <is>
          <t>DS 2023-2024</t>
        </is>
      </c>
      <c r="F827" s="23" t="inlineStr">
        <is>
          <t>Harvest</t>
        </is>
      </c>
      <c r="G827" s="27" t="n">
        <v>45</v>
      </c>
      <c r="H827" s="28" t="n">
        <v>26.5</v>
      </c>
      <c r="I827" s="28" t="n">
        <v>22.1</v>
      </c>
      <c r="J827" s="28" t="n">
        <v>31.6</v>
      </c>
      <c r="K827" s="28" t="n">
        <v>70</v>
      </c>
      <c r="L827" s="28" t="n"/>
      <c r="M827" s="28" t="n"/>
      <c r="N827" s="23" t="inlineStr">
        <is>
          <t>Type I – Tropical Monsoon (PAGASA)</t>
        </is>
      </c>
      <c r="O827" s="23" t="inlineStr">
        <is>
          <t>Dry (Hot)</t>
        </is>
      </c>
      <c r="P827" s="23" t="inlineStr">
        <is>
          <t>Sandy Loam</t>
        </is>
      </c>
      <c r="Q827" s="23" t="inlineStr">
        <is>
          <t>Flat / Lowland</t>
        </is>
      </c>
      <c r="R827" s="24" t="n">
        <v>30</v>
      </c>
      <c r="S827" s="23" t="inlineStr">
        <is>
          <t>Tagamusing River</t>
        </is>
      </c>
      <c r="T827" s="25" t="n">
        <v>504</v>
      </c>
      <c r="U827" s="25" t="n"/>
      <c r="V827" s="25" t="n"/>
      <c r="W827" s="25" t="n"/>
      <c r="X827" s="25" t="n">
        <v>77.94</v>
      </c>
      <c r="Y827" s="25" t="n">
        <v>562.46</v>
      </c>
      <c r="Z827" s="26" t="n">
        <v>7.22</v>
      </c>
      <c r="AA827" s="17" t="inlineStr">
        <is>
          <t>Direct Seeding (Hill Planting / Furrow Method)</t>
        </is>
      </c>
      <c r="AB827" s="17" t="inlineStr">
        <is>
          <t>Conventional Tillage: 1 deep plow (20–25 cm) + 1 harrowing; good tilth easily achieved</t>
        </is>
      </c>
      <c r="AC827" s="17" t="inlineStr">
        <is>
          <t>Furrow or sprinkler irrigation; AWD or weekly irrigation; good drainage natural</t>
        </is>
      </c>
    </row>
    <row r="828" ht="21.75" customHeight="1" s="101">
      <c r="A828" s="18" t="inlineStr">
        <is>
          <t>Corn</t>
        </is>
      </c>
      <c r="B828" s="18" t="inlineStr">
        <is>
          <t>Pasileng Sur</t>
        </is>
      </c>
      <c r="C828" s="18" t="inlineStr">
        <is>
          <t>November</t>
        </is>
      </c>
      <c r="D828" s="18" t="inlineStr">
        <is>
          <t>2023</t>
        </is>
      </c>
      <c r="E828" s="18" t="inlineStr">
        <is>
          <t>DS 2023-2024</t>
        </is>
      </c>
      <c r="F828" s="18" t="inlineStr">
        <is>
          <t>Planting</t>
        </is>
      </c>
      <c r="G828" s="7" t="n">
        <v>1.34</v>
      </c>
      <c r="H828" s="8" t="n">
        <v>26.5</v>
      </c>
      <c r="I828" s="8" t="n">
        <v>19.59</v>
      </c>
      <c r="J828" s="8" t="n">
        <v>32.04</v>
      </c>
      <c r="K828" s="8" t="n">
        <v>81.69</v>
      </c>
      <c r="L828" s="8" t="n">
        <v>98.48999999999999</v>
      </c>
      <c r="M828" s="8" t="n">
        <v>17.2</v>
      </c>
      <c r="N828" s="18" t="inlineStr">
        <is>
          <t>Type I – Tropical Monsoon (PAGASA)</t>
        </is>
      </c>
      <c r="O828" s="18" t="inlineStr">
        <is>
          <t>Dry (Cool)</t>
        </is>
      </c>
      <c r="P828" s="18" t="inlineStr">
        <is>
          <t>Sandy Loam</t>
        </is>
      </c>
      <c r="Q828" s="18" t="inlineStr">
        <is>
          <t>Flat / Lowland</t>
        </is>
      </c>
      <c r="R828" s="19" t="n">
        <v>30</v>
      </c>
      <c r="S828" s="18" t="inlineStr">
        <is>
          <t>Tagamusing River</t>
        </is>
      </c>
      <c r="T828" s="20" t="n">
        <v>414.96</v>
      </c>
      <c r="U828" s="20" t="n"/>
      <c r="V828" s="20" t="n"/>
      <c r="W828" s="20" t="n">
        <v>81.90000000000001</v>
      </c>
      <c r="X828" s="20" t="n"/>
      <c r="Y828" s="20" t="n"/>
      <c r="Z828" s="21" t="n"/>
      <c r="AA828" s="22" t="inlineStr">
        <is>
          <t>Direct Seeding (Hill Planting / Furrow Method)</t>
        </is>
      </c>
      <c r="AB828" s="22" t="inlineStr">
        <is>
          <t>Conventional Tillage: 1 deep plow (20–25 cm) + 1 harrowing; good tilth easily achieved</t>
        </is>
      </c>
      <c r="AC828" s="22" t="inlineStr">
        <is>
          <t>Furrow or sprinkler irrigation; AWD or weekly irrigation; good drainage natural</t>
        </is>
      </c>
    </row>
    <row r="829" ht="21.75" customHeight="1" s="101">
      <c r="A829" s="23" t="inlineStr">
        <is>
          <t>Corn</t>
        </is>
      </c>
      <c r="B829" s="23" t="inlineStr">
        <is>
          <t>Pasileng Sur</t>
        </is>
      </c>
      <c r="C829" s="23" t="inlineStr">
        <is>
          <t>March</t>
        </is>
      </c>
      <c r="D829" s="23" t="inlineStr">
        <is>
          <t>2024</t>
        </is>
      </c>
      <c r="E829" s="23" t="inlineStr">
        <is>
          <t>DS 2023-2024</t>
        </is>
      </c>
      <c r="F829" s="23" t="inlineStr">
        <is>
          <t>Harvest</t>
        </is>
      </c>
      <c r="G829" s="27" t="n">
        <v>45</v>
      </c>
      <c r="H829" s="28" t="n">
        <v>26.5</v>
      </c>
      <c r="I829" s="28" t="n">
        <v>22.1</v>
      </c>
      <c r="J829" s="28" t="n">
        <v>31.6</v>
      </c>
      <c r="K829" s="28" t="n">
        <v>70</v>
      </c>
      <c r="L829" s="28" t="n"/>
      <c r="M829" s="28" t="n"/>
      <c r="N829" s="23" t="inlineStr">
        <is>
          <t>Type I – Tropical Monsoon (PAGASA)</t>
        </is>
      </c>
      <c r="O829" s="23" t="inlineStr">
        <is>
          <t>Dry (Hot)</t>
        </is>
      </c>
      <c r="P829" s="23" t="inlineStr">
        <is>
          <t>Sandy Loam</t>
        </is>
      </c>
      <c r="Q829" s="23" t="inlineStr">
        <is>
          <t>Flat / Lowland</t>
        </is>
      </c>
      <c r="R829" s="24" t="n">
        <v>30</v>
      </c>
      <c r="S829" s="23" t="inlineStr">
        <is>
          <t>Tagamusing River</t>
        </is>
      </c>
      <c r="T829" s="25" t="n">
        <v>414.96</v>
      </c>
      <c r="U829" s="25" t="n"/>
      <c r="V829" s="25" t="n"/>
      <c r="W829" s="25" t="n"/>
      <c r="X829" s="25" t="n">
        <v>79.06</v>
      </c>
      <c r="Y829" s="25" t="n">
        <v>570.55</v>
      </c>
      <c r="Z829" s="26" t="n">
        <v>7.22</v>
      </c>
      <c r="AA829" s="17" t="inlineStr">
        <is>
          <t>Direct Seeding (Hill Planting / Furrow Method)</t>
        </is>
      </c>
      <c r="AB829" s="17" t="inlineStr">
        <is>
          <t>Conventional Tillage: 1 deep plow (20–25 cm) + 1 harrowing; good tilth easily achieved</t>
        </is>
      </c>
      <c r="AC829" s="17" t="inlineStr">
        <is>
          <t>Furrow or sprinkler irrigation; AWD or weekly irrigation; good drainage natural</t>
        </is>
      </c>
    </row>
    <row r="830" ht="21.75" customHeight="1" s="101">
      <c r="A830" s="18" t="inlineStr">
        <is>
          <t>Corn</t>
        </is>
      </c>
      <c r="B830" s="18" t="inlineStr">
        <is>
          <t>Sta. Maria Norte</t>
        </is>
      </c>
      <c r="C830" s="18" t="inlineStr">
        <is>
          <t>November</t>
        </is>
      </c>
      <c r="D830" s="18" t="inlineStr">
        <is>
          <t>2023</t>
        </is>
      </c>
      <c r="E830" s="18" t="inlineStr">
        <is>
          <t>DS 2023-2024</t>
        </is>
      </c>
      <c r="F830" s="18" t="inlineStr">
        <is>
          <t>Planting</t>
        </is>
      </c>
      <c r="G830" s="7" t="n">
        <v>1.34</v>
      </c>
      <c r="H830" s="8" t="n">
        <v>26.5</v>
      </c>
      <c r="I830" s="8" t="n">
        <v>19.59</v>
      </c>
      <c r="J830" s="8" t="n">
        <v>32.04</v>
      </c>
      <c r="K830" s="8" t="n">
        <v>81.69</v>
      </c>
      <c r="L830" s="8" t="n">
        <v>98.48999999999999</v>
      </c>
      <c r="M830" s="8" t="n">
        <v>17.2</v>
      </c>
      <c r="N830" s="18" t="inlineStr">
        <is>
          <t>Type I – Tropical Monsoon (PAGASA)</t>
        </is>
      </c>
      <c r="O830" s="18" t="inlineStr">
        <is>
          <t>Dry (Cool)</t>
        </is>
      </c>
      <c r="P830" s="18" t="inlineStr">
        <is>
          <t>Sandy Loam</t>
        </is>
      </c>
      <c r="Q830" s="18" t="inlineStr">
        <is>
          <t>Flat / Lowland</t>
        </is>
      </c>
      <c r="R830" s="19" t="n">
        <v>30</v>
      </c>
      <c r="S830" s="18" t="inlineStr">
        <is>
          <t>Tagamusing River</t>
        </is>
      </c>
      <c r="T830" s="20" t="n">
        <v>157.08</v>
      </c>
      <c r="U830" s="20" t="n"/>
      <c r="V830" s="20" t="n"/>
      <c r="W830" s="20" t="n">
        <v>27.79</v>
      </c>
      <c r="X830" s="20" t="n"/>
      <c r="Y830" s="20" t="n"/>
      <c r="Z830" s="21" t="n"/>
      <c r="AA830" s="22" t="inlineStr">
        <is>
          <t>Direct Seeding (Hill Planting / Furrow Method)</t>
        </is>
      </c>
      <c r="AB830" s="22" t="inlineStr">
        <is>
          <t>Conventional Tillage: 1 deep plow (20–25 cm) + 1 harrowing; good tilth easily achieved</t>
        </is>
      </c>
      <c r="AC830" s="22" t="inlineStr">
        <is>
          <t>Furrow or sprinkler irrigation; AWD or weekly irrigation; good drainage natural</t>
        </is>
      </c>
    </row>
    <row r="831" ht="21.75" customHeight="1" s="101">
      <c r="A831" s="23" t="inlineStr">
        <is>
          <t>Corn</t>
        </is>
      </c>
      <c r="B831" s="23" t="inlineStr">
        <is>
          <t>Sta. Maria Norte</t>
        </is>
      </c>
      <c r="C831" s="23" t="inlineStr">
        <is>
          <t>March</t>
        </is>
      </c>
      <c r="D831" s="23" t="inlineStr">
        <is>
          <t>2024</t>
        </is>
      </c>
      <c r="E831" s="23" t="inlineStr">
        <is>
          <t>DS 2023-2024</t>
        </is>
      </c>
      <c r="F831" s="23" t="inlineStr">
        <is>
          <t>Harvest</t>
        </is>
      </c>
      <c r="G831" s="27" t="n">
        <v>45</v>
      </c>
      <c r="H831" s="28" t="n">
        <v>26.5</v>
      </c>
      <c r="I831" s="28" t="n">
        <v>22.1</v>
      </c>
      <c r="J831" s="28" t="n">
        <v>31.6</v>
      </c>
      <c r="K831" s="28" t="n">
        <v>70</v>
      </c>
      <c r="L831" s="28" t="n"/>
      <c r="M831" s="28" t="n"/>
      <c r="N831" s="23" t="inlineStr">
        <is>
          <t>Type I – Tropical Monsoon (PAGASA)</t>
        </is>
      </c>
      <c r="O831" s="23" t="inlineStr">
        <is>
          <t>Dry (Hot)</t>
        </is>
      </c>
      <c r="P831" s="23" t="inlineStr">
        <is>
          <t>Sandy Loam</t>
        </is>
      </c>
      <c r="Q831" s="23" t="inlineStr">
        <is>
          <t>Flat / Lowland</t>
        </is>
      </c>
      <c r="R831" s="24" t="n">
        <v>30</v>
      </c>
      <c r="S831" s="23" t="inlineStr">
        <is>
          <t>Tagamusing River</t>
        </is>
      </c>
      <c r="T831" s="25" t="n">
        <v>157.08</v>
      </c>
      <c r="U831" s="25" t="n"/>
      <c r="V831" s="25" t="n"/>
      <c r="W831" s="25" t="n"/>
      <c r="X831" s="25" t="n">
        <v>26.82</v>
      </c>
      <c r="Y831" s="25" t="n">
        <v>193.57</v>
      </c>
      <c r="Z831" s="26" t="n">
        <v>7.22</v>
      </c>
      <c r="AA831" s="17" t="inlineStr">
        <is>
          <t>Direct Seeding (Hill Planting / Furrow Method)</t>
        </is>
      </c>
      <c r="AB831" s="17" t="inlineStr">
        <is>
          <t>Conventional Tillage: 1 deep plow (20–25 cm) + 1 harrowing; good tilth easily achieved</t>
        </is>
      </c>
      <c r="AC831" s="17" t="inlineStr">
        <is>
          <t>Furrow or sprinkler irrigation; AWD or weekly irrigation; good drainage natural</t>
        </is>
      </c>
    </row>
    <row r="832" ht="21.75" customHeight="1" s="101">
      <c r="A832" s="18" t="inlineStr">
        <is>
          <t>Corn</t>
        </is>
      </c>
      <c r="B832" s="18" t="inlineStr">
        <is>
          <t>Bugayong</t>
        </is>
      </c>
      <c r="C832" s="18" t="inlineStr">
        <is>
          <t>November</t>
        </is>
      </c>
      <c r="D832" s="18" t="inlineStr">
        <is>
          <t>2023</t>
        </is>
      </c>
      <c r="E832" s="18" t="inlineStr">
        <is>
          <t>DS 2023-2024</t>
        </is>
      </c>
      <c r="F832" s="18" t="inlineStr">
        <is>
          <t>Planting</t>
        </is>
      </c>
      <c r="G832" s="7" t="n">
        <v>1.34</v>
      </c>
      <c r="H832" s="8" t="n">
        <v>26.5</v>
      </c>
      <c r="I832" s="8" t="n">
        <v>19.59</v>
      </c>
      <c r="J832" s="8" t="n">
        <v>32.04</v>
      </c>
      <c r="K832" s="8" t="n">
        <v>81.69</v>
      </c>
      <c r="L832" s="8" t="n">
        <v>98.48999999999999</v>
      </c>
      <c r="M832" s="8" t="n">
        <v>17.2</v>
      </c>
      <c r="N832" s="18" t="inlineStr">
        <is>
          <t>Type I – Tropical Monsoon (PAGASA)</t>
        </is>
      </c>
      <c r="O832" s="18" t="inlineStr">
        <is>
          <t>Dry (Cool)</t>
        </is>
      </c>
      <c r="P832" s="18" t="inlineStr">
        <is>
          <t>Sandy Loam / Silty Clay Loam</t>
        </is>
      </c>
      <c r="Q832" s="18" t="inlineStr">
        <is>
          <t>Flat / Lowland</t>
        </is>
      </c>
      <c r="R832" s="19" t="n">
        <v>30</v>
      </c>
      <c r="S832" s="18" t="inlineStr">
        <is>
          <t>Aloragat River</t>
        </is>
      </c>
      <c r="T832" s="20" t="n">
        <v>346.08</v>
      </c>
      <c r="U832" s="20" t="n"/>
      <c r="V832" s="20" t="n"/>
      <c r="W832" s="20" t="n">
        <v>24.98</v>
      </c>
      <c r="X832" s="20" t="n"/>
      <c r="Y832" s="20" t="n"/>
      <c r="Z832" s="21" t="n"/>
      <c r="AA832" s="22" t="inlineStr">
        <is>
          <t>Direct Seeding (Furrow or Hill Method)</t>
        </is>
      </c>
      <c r="AB832" s="22" t="inlineStr">
        <is>
          <t>Conventional Tillage: 1 deep plow + harrowing; ensure good drainage channels</t>
        </is>
      </c>
      <c r="AC832" s="22" t="inlineStr">
        <is>
          <t>Furrow irrigation; avoid waterlogging — clay fraction retains excess moisture</t>
        </is>
      </c>
    </row>
    <row r="833" ht="21.75" customHeight="1" s="101">
      <c r="A833" s="23" t="inlineStr">
        <is>
          <t>Corn</t>
        </is>
      </c>
      <c r="B833" s="23" t="inlineStr">
        <is>
          <t>Bugayong</t>
        </is>
      </c>
      <c r="C833" s="23" t="inlineStr">
        <is>
          <t>March</t>
        </is>
      </c>
      <c r="D833" s="23" t="inlineStr">
        <is>
          <t>2024</t>
        </is>
      </c>
      <c r="E833" s="23" t="inlineStr">
        <is>
          <t>DS 2023-2024</t>
        </is>
      </c>
      <c r="F833" s="23" t="inlineStr">
        <is>
          <t>Harvest</t>
        </is>
      </c>
      <c r="G833" s="27" t="n">
        <v>45</v>
      </c>
      <c r="H833" s="28" t="n">
        <v>26.5</v>
      </c>
      <c r="I833" s="28" t="n">
        <v>22.1</v>
      </c>
      <c r="J833" s="28" t="n">
        <v>31.6</v>
      </c>
      <c r="K833" s="28" t="n">
        <v>70</v>
      </c>
      <c r="L833" s="28" t="n"/>
      <c r="M833" s="28" t="n"/>
      <c r="N833" s="23" t="inlineStr">
        <is>
          <t>Type I – Tropical Monsoon (PAGASA)</t>
        </is>
      </c>
      <c r="O833" s="23" t="inlineStr">
        <is>
          <t>Dry (Hot)</t>
        </is>
      </c>
      <c r="P833" s="23" t="inlineStr">
        <is>
          <t>Sandy Loam / Silty Clay Loam</t>
        </is>
      </c>
      <c r="Q833" s="23" t="inlineStr">
        <is>
          <t>Flat / Lowland</t>
        </is>
      </c>
      <c r="R833" s="24" t="n">
        <v>30</v>
      </c>
      <c r="S833" s="23" t="inlineStr">
        <is>
          <t>Aloragat River</t>
        </is>
      </c>
      <c r="T833" s="25" t="n">
        <v>346.08</v>
      </c>
      <c r="U833" s="25" t="n"/>
      <c r="V833" s="25" t="n"/>
      <c r="W833" s="25" t="n"/>
      <c r="X833" s="25" t="n">
        <v>24.12</v>
      </c>
      <c r="Y833" s="25" t="n">
        <v>174.04</v>
      </c>
      <c r="Z833" s="26" t="n">
        <v>7.22</v>
      </c>
      <c r="AA833" s="17" t="inlineStr">
        <is>
          <t>Direct Seeding (Furrow or Hill Method)</t>
        </is>
      </c>
      <c r="AB833" s="17" t="inlineStr">
        <is>
          <t>Conventional Tillage: 1 deep plow + harrowing; ensure good drainage channels</t>
        </is>
      </c>
      <c r="AC833" s="17" t="inlineStr">
        <is>
          <t>Furrow irrigation; avoid waterlogging — clay fraction retains excess moisture</t>
        </is>
      </c>
    </row>
    <row r="834" ht="21.75" customHeight="1" s="101">
      <c r="A834" s="18" t="inlineStr">
        <is>
          <t>Corn</t>
        </is>
      </c>
      <c r="B834" s="18" t="inlineStr">
        <is>
          <t>Santiago</t>
        </is>
      </c>
      <c r="C834" s="18" t="inlineStr">
        <is>
          <t>November</t>
        </is>
      </c>
      <c r="D834" s="18" t="inlineStr">
        <is>
          <t>2023</t>
        </is>
      </c>
      <c r="E834" s="18" t="inlineStr">
        <is>
          <t>DS 2023-2024</t>
        </is>
      </c>
      <c r="F834" s="18" t="inlineStr">
        <is>
          <t>Planting</t>
        </is>
      </c>
      <c r="G834" s="7" t="n">
        <v>1.34</v>
      </c>
      <c r="H834" s="8" t="n">
        <v>26.5</v>
      </c>
      <c r="I834" s="8" t="n">
        <v>19.59</v>
      </c>
      <c r="J834" s="8" t="n">
        <v>32.04</v>
      </c>
      <c r="K834" s="8" t="n">
        <v>81.69</v>
      </c>
      <c r="L834" s="8" t="n">
        <v>98.48999999999999</v>
      </c>
      <c r="M834" s="8" t="n">
        <v>17.2</v>
      </c>
      <c r="N834" s="18" t="inlineStr">
        <is>
          <t>Type I – Tropical Monsoon (PAGASA)</t>
        </is>
      </c>
      <c r="O834" s="18" t="inlineStr">
        <is>
          <t>Dry (Cool)</t>
        </is>
      </c>
      <c r="P834" s="18" t="inlineStr">
        <is>
          <t>Silty Clay Loam</t>
        </is>
      </c>
      <c r="Q834" s="18" t="inlineStr">
        <is>
          <t>Flat / Lowland</t>
        </is>
      </c>
      <c r="R834" s="19" t="n">
        <v>30</v>
      </c>
      <c r="S834" s="18" t="inlineStr">
        <is>
          <t>—</t>
        </is>
      </c>
      <c r="T834" s="20" t="n">
        <v>283.08</v>
      </c>
      <c r="U834" s="20" t="n"/>
      <c r="V834" s="20" t="n"/>
      <c r="W834" s="20" t="n">
        <v>82.84</v>
      </c>
      <c r="X834" s="20" t="n"/>
      <c r="Y834" s="20" t="n"/>
      <c r="Z834" s="21" t="n"/>
      <c r="AA834" s="22" t="inlineStr">
        <is>
          <t>Direct Seeding (Furrow Method on Raised Beds)</t>
        </is>
      </c>
      <c r="AB834" s="22" t="inlineStr">
        <is>
          <t>Deep Tillage (25 cm): 1–2 plowings; form raised beds 20–25 cm high to prevent waterlogging</t>
        </is>
      </c>
      <c r="AC834" s="22" t="inlineStr">
        <is>
          <t>Furrow irrigation only (not flood); ensure bed drainage; drain excess after rain</t>
        </is>
      </c>
    </row>
    <row r="835" ht="21.75" customHeight="1" s="101">
      <c r="A835" s="23" t="inlineStr">
        <is>
          <t>Corn</t>
        </is>
      </c>
      <c r="B835" s="23" t="inlineStr">
        <is>
          <t>Santiago</t>
        </is>
      </c>
      <c r="C835" s="23" t="inlineStr">
        <is>
          <t>March</t>
        </is>
      </c>
      <c r="D835" s="23" t="inlineStr">
        <is>
          <t>2024</t>
        </is>
      </c>
      <c r="E835" s="23" t="inlineStr">
        <is>
          <t>DS 2023-2024</t>
        </is>
      </c>
      <c r="F835" s="23" t="inlineStr">
        <is>
          <t>Harvest</t>
        </is>
      </c>
      <c r="G835" s="27" t="n">
        <v>45</v>
      </c>
      <c r="H835" s="28" t="n">
        <v>26.5</v>
      </c>
      <c r="I835" s="28" t="n">
        <v>22.1</v>
      </c>
      <c r="J835" s="28" t="n">
        <v>31.6</v>
      </c>
      <c r="K835" s="28" t="n">
        <v>70</v>
      </c>
      <c r="L835" s="28" t="n"/>
      <c r="M835" s="28" t="n"/>
      <c r="N835" s="23" t="inlineStr">
        <is>
          <t>Type I – Tropical Monsoon (PAGASA)</t>
        </is>
      </c>
      <c r="O835" s="23" t="inlineStr">
        <is>
          <t>Dry (Hot)</t>
        </is>
      </c>
      <c r="P835" s="23" t="inlineStr">
        <is>
          <t>Silty Clay Loam</t>
        </is>
      </c>
      <c r="Q835" s="23" t="inlineStr">
        <is>
          <t>Flat / Lowland</t>
        </is>
      </c>
      <c r="R835" s="24" t="n">
        <v>30</v>
      </c>
      <c r="S835" s="23" t="inlineStr">
        <is>
          <t>—</t>
        </is>
      </c>
      <c r="T835" s="25" t="n">
        <v>283.08</v>
      </c>
      <c r="U835" s="25" t="n"/>
      <c r="V835" s="25" t="n"/>
      <c r="W835" s="25" t="n"/>
      <c r="X835" s="25" t="n">
        <v>79.98</v>
      </c>
      <c r="Y835" s="25" t="n">
        <v>577.14</v>
      </c>
      <c r="Z835" s="26" t="n">
        <v>7.22</v>
      </c>
      <c r="AA835" s="17" t="inlineStr">
        <is>
          <t>Direct Seeding (Furrow Method on Raised Beds)</t>
        </is>
      </c>
      <c r="AB835" s="17" t="inlineStr">
        <is>
          <t>Deep Tillage (25 cm): 1–2 plowings; form raised beds 20–25 cm high to prevent waterlogging</t>
        </is>
      </c>
      <c r="AC835" s="17" t="inlineStr">
        <is>
          <t>Furrow irrigation only (not flood); ensure bed drainage; drain excess after rain</t>
        </is>
      </c>
    </row>
    <row r="836" ht="21.75" customHeight="1" s="101">
      <c r="A836" s="18" t="inlineStr">
        <is>
          <t>Corn</t>
        </is>
      </c>
      <c r="B836" s="18" t="inlineStr">
        <is>
          <t>Pasileng Norte</t>
        </is>
      </c>
      <c r="C836" s="18" t="inlineStr">
        <is>
          <t>November</t>
        </is>
      </c>
      <c r="D836" s="18" t="inlineStr">
        <is>
          <t>2024</t>
        </is>
      </c>
      <c r="E836" s="18" t="inlineStr">
        <is>
          <t>DS 2024-2025</t>
        </is>
      </c>
      <c r="F836" s="18" t="inlineStr">
        <is>
          <t>Planting</t>
        </is>
      </c>
      <c r="G836" s="27" t="n">
        <v>88</v>
      </c>
      <c r="H836" s="28" t="n">
        <v>25.8</v>
      </c>
      <c r="I836" s="28" t="n">
        <v>22.2</v>
      </c>
      <c r="J836" s="28" t="n">
        <v>30.2</v>
      </c>
      <c r="K836" s="28" t="n">
        <v>79</v>
      </c>
      <c r="L836" s="28" t="n"/>
      <c r="M836" s="28" t="n"/>
      <c r="N836" s="18" t="inlineStr">
        <is>
          <t>Type I – Tropical Monsoon (PAGASA)</t>
        </is>
      </c>
      <c r="O836" s="18" t="inlineStr">
        <is>
          <t>Dry (Cool)</t>
        </is>
      </c>
      <c r="P836" s="18" t="inlineStr">
        <is>
          <t>Sandy Loam</t>
        </is>
      </c>
      <c r="Q836" s="18" t="inlineStr">
        <is>
          <t>Flat / Lowland</t>
        </is>
      </c>
      <c r="R836" s="19" t="n">
        <v>30</v>
      </c>
      <c r="S836" s="18" t="inlineStr">
        <is>
          <t>Tagamusing River</t>
        </is>
      </c>
      <c r="T836" s="20" t="n">
        <v>140.28</v>
      </c>
      <c r="U836" s="20" t="n"/>
      <c r="V836" s="20" t="n"/>
      <c r="W836" s="20" t="n">
        <v>44.51</v>
      </c>
      <c r="X836" s="20" t="n"/>
      <c r="Y836" s="20" t="n"/>
      <c r="Z836" s="21" t="n"/>
      <c r="AA836" s="22" t="inlineStr">
        <is>
          <t>Direct Seeding (Hill Planting / Furrow Method)</t>
        </is>
      </c>
      <c r="AB836" s="22" t="inlineStr">
        <is>
          <t>Conventional Tillage: 1 deep plow (20–25 cm) + 1 harrowing; good tilth easily achieved</t>
        </is>
      </c>
      <c r="AC836" s="22" t="inlineStr">
        <is>
          <t>Furrow or sprinkler irrigation; AWD or weekly irrigation; good drainage natural</t>
        </is>
      </c>
    </row>
    <row r="837" ht="21.75" customHeight="1" s="101">
      <c r="A837" s="23" t="inlineStr">
        <is>
          <t>Corn</t>
        </is>
      </c>
      <c r="B837" s="23" t="inlineStr">
        <is>
          <t>Pasileng Norte</t>
        </is>
      </c>
      <c r="C837" s="23" t="inlineStr">
        <is>
          <t>March</t>
        </is>
      </c>
      <c r="D837" s="23" t="inlineStr">
        <is>
          <t>2025</t>
        </is>
      </c>
      <c r="E837" s="23" t="inlineStr">
        <is>
          <t>DS 2024-2025</t>
        </is>
      </c>
      <c r="F837" s="23" t="inlineStr">
        <is>
          <t>Harvest</t>
        </is>
      </c>
      <c r="G837" s="27" t="n">
        <v>45</v>
      </c>
      <c r="H837" s="28" t="n">
        <v>26.5</v>
      </c>
      <c r="I837" s="28" t="n">
        <v>22.1</v>
      </c>
      <c r="J837" s="28" t="n">
        <v>31.6</v>
      </c>
      <c r="K837" s="28" t="n">
        <v>70</v>
      </c>
      <c r="L837" s="28" t="n"/>
      <c r="M837" s="28" t="n"/>
      <c r="N837" s="23" t="inlineStr">
        <is>
          <t>Type I – Tropical Monsoon (PAGASA)</t>
        </is>
      </c>
      <c r="O837" s="23" t="inlineStr">
        <is>
          <t>Dry (Hot)</t>
        </is>
      </c>
      <c r="P837" s="23" t="inlineStr">
        <is>
          <t>Sandy Loam</t>
        </is>
      </c>
      <c r="Q837" s="23" t="inlineStr">
        <is>
          <t>Flat / Lowland</t>
        </is>
      </c>
      <c r="R837" s="24" t="n">
        <v>30</v>
      </c>
      <c r="S837" s="23" t="inlineStr">
        <is>
          <t>Tagamusing River</t>
        </is>
      </c>
      <c r="T837" s="25" t="n">
        <v>140.28</v>
      </c>
      <c r="U837" s="25" t="n"/>
      <c r="V837" s="25" t="n"/>
      <c r="W837" s="25" t="n"/>
      <c r="X837" s="25" t="n">
        <v>44.51</v>
      </c>
      <c r="Y837" s="25" t="n">
        <v>347.2</v>
      </c>
      <c r="Z837" s="26" t="n">
        <v>7.8</v>
      </c>
      <c r="AA837" s="17" t="inlineStr">
        <is>
          <t>Direct Seeding (Hill Planting / Furrow Method)</t>
        </is>
      </c>
      <c r="AB837" s="17" t="inlineStr">
        <is>
          <t>Conventional Tillage: 1 deep plow (20–25 cm) + 1 harrowing; good tilth easily achieved</t>
        </is>
      </c>
      <c r="AC837" s="17" t="inlineStr">
        <is>
          <t>Furrow or sprinkler irrigation; AWD or weekly irrigation; good drainage natural</t>
        </is>
      </c>
    </row>
    <row r="838" ht="21.75" customHeight="1" s="101">
      <c r="A838" s="18" t="inlineStr">
        <is>
          <t>Corn</t>
        </is>
      </c>
      <c r="B838" s="18" t="inlineStr">
        <is>
          <t>Tabuyoc</t>
        </is>
      </c>
      <c r="C838" s="18" t="inlineStr">
        <is>
          <t>November</t>
        </is>
      </c>
      <c r="D838" s="18" t="inlineStr">
        <is>
          <t>2024</t>
        </is>
      </c>
      <c r="E838" s="18" t="inlineStr">
        <is>
          <t>DS 2024-2025</t>
        </is>
      </c>
      <c r="F838" s="18" t="inlineStr">
        <is>
          <t>Planting</t>
        </is>
      </c>
      <c r="G838" s="27" t="n">
        <v>88</v>
      </c>
      <c r="H838" s="28" t="n">
        <v>25.8</v>
      </c>
      <c r="I838" s="28" t="n">
        <v>22.2</v>
      </c>
      <c r="J838" s="28" t="n">
        <v>30.2</v>
      </c>
      <c r="K838" s="28" t="n">
        <v>79</v>
      </c>
      <c r="L838" s="28" t="n"/>
      <c r="M838" s="28" t="n"/>
      <c r="N838" s="18" t="inlineStr">
        <is>
          <t>Type I – Tropical Monsoon (PAGASA)</t>
        </is>
      </c>
      <c r="O838" s="18" t="inlineStr">
        <is>
          <t>Dry (Cool)</t>
        </is>
      </c>
      <c r="P838" s="18" t="inlineStr">
        <is>
          <t>Silty Clay Loam</t>
        </is>
      </c>
      <c r="Q838" s="18" t="inlineStr">
        <is>
          <t>Flat / Lowland</t>
        </is>
      </c>
      <c r="R838" s="19" t="n">
        <v>30</v>
      </c>
      <c r="S838" s="18" t="inlineStr">
        <is>
          <t>—</t>
        </is>
      </c>
      <c r="T838" s="20" t="n">
        <v>277.2</v>
      </c>
      <c r="U838" s="20" t="n"/>
      <c r="V838" s="20" t="n"/>
      <c r="W838" s="20" t="n">
        <v>68.93000000000001</v>
      </c>
      <c r="X838" s="20" t="n"/>
      <c r="Y838" s="20" t="n"/>
      <c r="Z838" s="21" t="n"/>
      <c r="AA838" s="22" t="inlineStr">
        <is>
          <t>Direct Seeding (Furrow Method on Raised Beds)</t>
        </is>
      </c>
      <c r="AB838" s="22" t="inlineStr">
        <is>
          <t>Deep Tillage (25 cm): 1–2 plowings; form raised beds 20–25 cm high to prevent waterlogging</t>
        </is>
      </c>
      <c r="AC838" s="22" t="inlineStr">
        <is>
          <t>Furrow irrigation only (not flood); ensure bed drainage; drain excess after rain</t>
        </is>
      </c>
    </row>
    <row r="839" ht="21.75" customHeight="1" s="101">
      <c r="A839" s="23" t="inlineStr">
        <is>
          <t>Corn</t>
        </is>
      </c>
      <c r="B839" s="23" t="inlineStr">
        <is>
          <t>Tabuyoc</t>
        </is>
      </c>
      <c r="C839" s="23" t="inlineStr">
        <is>
          <t>March</t>
        </is>
      </c>
      <c r="D839" s="23" t="inlineStr">
        <is>
          <t>2025</t>
        </is>
      </c>
      <c r="E839" s="23" t="inlineStr">
        <is>
          <t>DS 2024-2025</t>
        </is>
      </c>
      <c r="F839" s="23" t="inlineStr">
        <is>
          <t>Harvest</t>
        </is>
      </c>
      <c r="G839" s="27" t="n">
        <v>45</v>
      </c>
      <c r="H839" s="28" t="n">
        <v>26.5</v>
      </c>
      <c r="I839" s="28" t="n">
        <v>22.1</v>
      </c>
      <c r="J839" s="28" t="n">
        <v>31.6</v>
      </c>
      <c r="K839" s="28" t="n">
        <v>70</v>
      </c>
      <c r="L839" s="28" t="n"/>
      <c r="M839" s="28" t="n"/>
      <c r="N839" s="23" t="inlineStr">
        <is>
          <t>Type I – Tropical Monsoon (PAGASA)</t>
        </is>
      </c>
      <c r="O839" s="23" t="inlineStr">
        <is>
          <t>Dry (Hot)</t>
        </is>
      </c>
      <c r="P839" s="23" t="inlineStr">
        <is>
          <t>Silty Clay Loam</t>
        </is>
      </c>
      <c r="Q839" s="23" t="inlineStr">
        <is>
          <t>Flat / Lowland</t>
        </is>
      </c>
      <c r="R839" s="24" t="n">
        <v>30</v>
      </c>
      <c r="S839" s="23" t="inlineStr">
        <is>
          <t>—</t>
        </is>
      </c>
      <c r="T839" s="25" t="n">
        <v>277.2</v>
      </c>
      <c r="U839" s="25" t="n"/>
      <c r="V839" s="25" t="n"/>
      <c r="W839" s="25" t="n"/>
      <c r="X839" s="25" t="n">
        <v>68.93000000000001</v>
      </c>
      <c r="Y839" s="25" t="n">
        <v>537.67</v>
      </c>
      <c r="Z839" s="26" t="n">
        <v>7.8</v>
      </c>
      <c r="AA839" s="17" t="inlineStr">
        <is>
          <t>Direct Seeding (Furrow Method on Raised Beds)</t>
        </is>
      </c>
      <c r="AB839" s="17" t="inlineStr">
        <is>
          <t>Deep Tillage (25 cm): 1–2 plowings; form raised beds 20–25 cm high to prevent waterlogging</t>
        </is>
      </c>
      <c r="AC839" s="17" t="inlineStr">
        <is>
          <t>Furrow irrigation only (not flood); ensure bed drainage; drain excess after rain</t>
        </is>
      </c>
    </row>
    <row r="840" ht="21.75" customHeight="1" s="101">
      <c r="A840" s="18" t="inlineStr">
        <is>
          <t>Corn</t>
        </is>
      </c>
      <c r="B840" s="18" t="inlineStr">
        <is>
          <t>Bued</t>
        </is>
      </c>
      <c r="C840" s="18" t="inlineStr">
        <is>
          <t>November</t>
        </is>
      </c>
      <c r="D840" s="18" t="inlineStr">
        <is>
          <t>2024</t>
        </is>
      </c>
      <c r="E840" s="18" t="inlineStr">
        <is>
          <t>DS 2024-2025</t>
        </is>
      </c>
      <c r="F840" s="18" t="inlineStr">
        <is>
          <t>Planting</t>
        </is>
      </c>
      <c r="G840" s="27" t="n">
        <v>88</v>
      </c>
      <c r="H840" s="28" t="n">
        <v>25.8</v>
      </c>
      <c r="I840" s="28" t="n">
        <v>22.2</v>
      </c>
      <c r="J840" s="28" t="n">
        <v>30.2</v>
      </c>
      <c r="K840" s="28" t="n">
        <v>79</v>
      </c>
      <c r="L840" s="28" t="n"/>
      <c r="M840" s="28" t="n"/>
      <c r="N840" s="18" t="inlineStr">
        <is>
          <t>Type I – Tropical Monsoon (PAGASA)</t>
        </is>
      </c>
      <c r="O840" s="18" t="inlineStr">
        <is>
          <t>Dry (Cool)</t>
        </is>
      </c>
      <c r="P840" s="18" t="inlineStr">
        <is>
          <t>Silty Clay Loam</t>
        </is>
      </c>
      <c r="Q840" s="18" t="inlineStr">
        <is>
          <t>Flat / Lowland</t>
        </is>
      </c>
      <c r="R840" s="19" t="n">
        <v>30</v>
      </c>
      <c r="S840" s="18" t="inlineStr">
        <is>
          <t>Tagamusing River</t>
        </is>
      </c>
      <c r="T840" s="20" t="n">
        <v>210.84</v>
      </c>
      <c r="U840" s="20" t="n"/>
      <c r="V840" s="20" t="n"/>
      <c r="W840" s="20" t="n">
        <v>52.07</v>
      </c>
      <c r="X840" s="20" t="n"/>
      <c r="Y840" s="20" t="n"/>
      <c r="Z840" s="21" t="n"/>
      <c r="AA840" s="22" t="inlineStr">
        <is>
          <t>Direct Seeding (Furrow Method on Raised Beds)</t>
        </is>
      </c>
      <c r="AB840" s="22" t="inlineStr">
        <is>
          <t>Deep Tillage (25 cm): 1–2 plowings; form raised beds 20–25 cm high to prevent waterlogging</t>
        </is>
      </c>
      <c r="AC840" s="22" t="inlineStr">
        <is>
          <t>Furrow irrigation only (not flood); ensure bed drainage; drain excess after rain</t>
        </is>
      </c>
    </row>
    <row r="841" ht="21.75" customHeight="1" s="101">
      <c r="A841" s="23" t="inlineStr">
        <is>
          <t>Corn</t>
        </is>
      </c>
      <c r="B841" s="23" t="inlineStr">
        <is>
          <t>Bued</t>
        </is>
      </c>
      <c r="C841" s="23" t="inlineStr">
        <is>
          <t>March</t>
        </is>
      </c>
      <c r="D841" s="23" t="inlineStr">
        <is>
          <t>2025</t>
        </is>
      </c>
      <c r="E841" s="23" t="inlineStr">
        <is>
          <t>DS 2024-2025</t>
        </is>
      </c>
      <c r="F841" s="23" t="inlineStr">
        <is>
          <t>Harvest</t>
        </is>
      </c>
      <c r="G841" s="27" t="n">
        <v>45</v>
      </c>
      <c r="H841" s="28" t="n">
        <v>26.5</v>
      </c>
      <c r="I841" s="28" t="n">
        <v>22.1</v>
      </c>
      <c r="J841" s="28" t="n">
        <v>31.6</v>
      </c>
      <c r="K841" s="28" t="n">
        <v>70</v>
      </c>
      <c r="L841" s="28" t="n"/>
      <c r="M841" s="28" t="n"/>
      <c r="N841" s="23" t="inlineStr">
        <is>
          <t>Type I – Tropical Monsoon (PAGASA)</t>
        </is>
      </c>
      <c r="O841" s="23" t="inlineStr">
        <is>
          <t>Dry (Hot)</t>
        </is>
      </c>
      <c r="P841" s="23" t="inlineStr">
        <is>
          <t>Silty Clay Loam</t>
        </is>
      </c>
      <c r="Q841" s="23" t="inlineStr">
        <is>
          <t>Flat / Lowland</t>
        </is>
      </c>
      <c r="R841" s="24" t="n">
        <v>30</v>
      </c>
      <c r="S841" s="23" t="inlineStr">
        <is>
          <t>Tagamusing River</t>
        </is>
      </c>
      <c r="T841" s="25" t="n">
        <v>210.84</v>
      </c>
      <c r="U841" s="25" t="n"/>
      <c r="V841" s="25" t="n"/>
      <c r="W841" s="25" t="n"/>
      <c r="X841" s="25" t="n">
        <v>52.07</v>
      </c>
      <c r="Y841" s="25" t="n">
        <v>406.14</v>
      </c>
      <c r="Z841" s="26" t="n">
        <v>7.8</v>
      </c>
      <c r="AA841" s="17" t="inlineStr">
        <is>
          <t>Direct Seeding (Furrow Method on Raised Beds)</t>
        </is>
      </c>
      <c r="AB841" s="17" t="inlineStr">
        <is>
          <t>Deep Tillage (25 cm): 1–2 plowings; form raised beds 20–25 cm high to prevent waterlogging</t>
        </is>
      </c>
      <c r="AC841" s="17" t="inlineStr">
        <is>
          <t>Furrow irrigation only (not flood); ensure bed drainage; drain excess after rain</t>
        </is>
      </c>
    </row>
    <row r="842" ht="21.75" customHeight="1" s="101">
      <c r="A842" s="18" t="inlineStr">
        <is>
          <t>Corn</t>
        </is>
      </c>
      <c r="B842" s="18" t="inlineStr">
        <is>
          <t>Dumayat</t>
        </is>
      </c>
      <c r="C842" s="18" t="inlineStr">
        <is>
          <t>November</t>
        </is>
      </c>
      <c r="D842" s="18" t="inlineStr">
        <is>
          <t>2024</t>
        </is>
      </c>
      <c r="E842" s="18" t="inlineStr">
        <is>
          <t>DS 2024-2025</t>
        </is>
      </c>
      <c r="F842" s="18" t="inlineStr">
        <is>
          <t>Planting</t>
        </is>
      </c>
      <c r="G842" s="27" t="n">
        <v>88</v>
      </c>
      <c r="H842" s="28" t="n">
        <v>25.8</v>
      </c>
      <c r="I842" s="28" t="n">
        <v>22.2</v>
      </c>
      <c r="J842" s="28" t="n">
        <v>30.2</v>
      </c>
      <c r="K842" s="28" t="n">
        <v>79</v>
      </c>
      <c r="L842" s="28" t="n"/>
      <c r="M842" s="28" t="n"/>
      <c r="N842" s="18" t="inlineStr">
        <is>
          <t>Type I – Tropical Monsoon (PAGASA)</t>
        </is>
      </c>
      <c r="O842" s="18" t="inlineStr">
        <is>
          <t>Dry (Cool)</t>
        </is>
      </c>
      <c r="P842" s="18" t="inlineStr">
        <is>
          <t>Silty Clay Loam</t>
        </is>
      </c>
      <c r="Q842" s="18" t="inlineStr">
        <is>
          <t>Flat / Lowland</t>
        </is>
      </c>
      <c r="R842" s="19" t="n">
        <v>30</v>
      </c>
      <c r="S842" s="18" t="inlineStr">
        <is>
          <t>—</t>
        </is>
      </c>
      <c r="T842" s="20" t="n">
        <v>266.28</v>
      </c>
      <c r="U842" s="20" t="n"/>
      <c r="V842" s="20" t="n"/>
      <c r="W842" s="20" t="n">
        <v>40.64</v>
      </c>
      <c r="X842" s="20" t="n"/>
      <c r="Y842" s="20" t="n"/>
      <c r="Z842" s="21" t="n"/>
      <c r="AA842" s="22" t="inlineStr">
        <is>
          <t>Direct Seeding (Furrow Method on Raised Beds)</t>
        </is>
      </c>
      <c r="AB842" s="22" t="inlineStr">
        <is>
          <t>Deep Tillage (25 cm): 1–2 plowings; form raised beds 20–25 cm high to prevent waterlogging</t>
        </is>
      </c>
      <c r="AC842" s="22" t="inlineStr">
        <is>
          <t>Furrow irrigation only (not flood); ensure bed drainage; drain excess after rain</t>
        </is>
      </c>
    </row>
    <row r="843" ht="21.75" customHeight="1" s="101">
      <c r="A843" s="23" t="inlineStr">
        <is>
          <t>Corn</t>
        </is>
      </c>
      <c r="B843" s="23" t="inlineStr">
        <is>
          <t>Dumayat</t>
        </is>
      </c>
      <c r="C843" s="23" t="inlineStr">
        <is>
          <t>March</t>
        </is>
      </c>
      <c r="D843" s="23" t="inlineStr">
        <is>
          <t>2025</t>
        </is>
      </c>
      <c r="E843" s="23" t="inlineStr">
        <is>
          <t>DS 2024-2025</t>
        </is>
      </c>
      <c r="F843" s="23" t="inlineStr">
        <is>
          <t>Harvest</t>
        </is>
      </c>
      <c r="G843" s="27" t="n">
        <v>45</v>
      </c>
      <c r="H843" s="28" t="n">
        <v>26.5</v>
      </c>
      <c r="I843" s="28" t="n">
        <v>22.1</v>
      </c>
      <c r="J843" s="28" t="n">
        <v>31.6</v>
      </c>
      <c r="K843" s="28" t="n">
        <v>70</v>
      </c>
      <c r="L843" s="28" t="n"/>
      <c r="M843" s="28" t="n"/>
      <c r="N843" s="23" t="inlineStr">
        <is>
          <t>Type I – Tropical Monsoon (PAGASA)</t>
        </is>
      </c>
      <c r="O843" s="23" t="inlineStr">
        <is>
          <t>Dry (Hot)</t>
        </is>
      </c>
      <c r="P843" s="23" t="inlineStr">
        <is>
          <t>Silty Clay Loam</t>
        </is>
      </c>
      <c r="Q843" s="23" t="inlineStr">
        <is>
          <t>Flat / Lowland</t>
        </is>
      </c>
      <c r="R843" s="24" t="n">
        <v>30</v>
      </c>
      <c r="S843" s="23" t="inlineStr">
        <is>
          <t>—</t>
        </is>
      </c>
      <c r="T843" s="25" t="n">
        <v>266.28</v>
      </c>
      <c r="U843" s="25" t="n"/>
      <c r="V843" s="25" t="n"/>
      <c r="W843" s="25" t="n"/>
      <c r="X843" s="25" t="n">
        <v>40.64</v>
      </c>
      <c r="Y843" s="25" t="n">
        <v>317.03</v>
      </c>
      <c r="Z843" s="26" t="n">
        <v>7.8</v>
      </c>
      <c r="AA843" s="17" t="inlineStr">
        <is>
          <t>Direct Seeding (Furrow Method on Raised Beds)</t>
        </is>
      </c>
      <c r="AB843" s="17" t="inlineStr">
        <is>
          <t>Deep Tillage (25 cm): 1–2 plowings; form raised beds 20–25 cm high to prevent waterlogging</t>
        </is>
      </c>
      <c r="AC843" s="17" t="inlineStr">
        <is>
          <t>Furrow irrigation only (not flood); ensure bed drainage; drain excess after rain</t>
        </is>
      </c>
    </row>
    <row r="844" ht="21.75" customHeight="1" s="101">
      <c r="A844" s="18" t="inlineStr">
        <is>
          <t>Corn</t>
        </is>
      </c>
      <c r="B844" s="18" t="inlineStr">
        <is>
          <t>Camanggaan</t>
        </is>
      </c>
      <c r="C844" s="18" t="inlineStr">
        <is>
          <t>November</t>
        </is>
      </c>
      <c r="D844" s="18" t="inlineStr">
        <is>
          <t>2024</t>
        </is>
      </c>
      <c r="E844" s="18" t="inlineStr">
        <is>
          <t>DS 2024-2025</t>
        </is>
      </c>
      <c r="F844" s="18" t="inlineStr">
        <is>
          <t>Planting</t>
        </is>
      </c>
      <c r="G844" s="27" t="n">
        <v>88</v>
      </c>
      <c r="H844" s="28" t="n">
        <v>25.8</v>
      </c>
      <c r="I844" s="28" t="n">
        <v>22.2</v>
      </c>
      <c r="J844" s="28" t="n">
        <v>30.2</v>
      </c>
      <c r="K844" s="28" t="n">
        <v>79</v>
      </c>
      <c r="L844" s="28" t="n"/>
      <c r="M844" s="28" t="n"/>
      <c r="N844" s="18" t="inlineStr">
        <is>
          <t>Type I – Tropical Monsoon (PAGASA)</t>
        </is>
      </c>
      <c r="O844" s="18" t="inlineStr">
        <is>
          <t>Dry (Cool)</t>
        </is>
      </c>
      <c r="P844" s="18" t="inlineStr">
        <is>
          <t>Sandy Loam</t>
        </is>
      </c>
      <c r="Q844" s="18" t="inlineStr">
        <is>
          <t>Flat / Lowland</t>
        </is>
      </c>
      <c r="R844" s="19" t="n">
        <v>30</v>
      </c>
      <c r="S844" s="18" t="inlineStr">
        <is>
          <t>—</t>
        </is>
      </c>
      <c r="T844" s="20" t="n">
        <v>244.44</v>
      </c>
      <c r="U844" s="20" t="n"/>
      <c r="V844" s="20" t="n"/>
      <c r="W844" s="20" t="n">
        <v>30.09</v>
      </c>
      <c r="X844" s="20" t="n"/>
      <c r="Y844" s="20" t="n"/>
      <c r="Z844" s="21" t="n"/>
      <c r="AA844" s="22" t="inlineStr">
        <is>
          <t>Direct Seeding (Hill Planting / Furrow Method)</t>
        </is>
      </c>
      <c r="AB844" s="22" t="inlineStr">
        <is>
          <t>Conventional Tillage: 1 deep plow (20–25 cm) + 1 harrowing; good tilth easily achieved</t>
        </is>
      </c>
      <c r="AC844" s="22" t="inlineStr">
        <is>
          <t>Furrow or sprinkler irrigation; AWD or weekly irrigation; good drainage natural</t>
        </is>
      </c>
    </row>
    <row r="845" ht="21.75" customHeight="1" s="101">
      <c r="A845" s="23" t="inlineStr">
        <is>
          <t>Corn</t>
        </is>
      </c>
      <c r="B845" s="23" t="inlineStr">
        <is>
          <t>Camanggaan</t>
        </is>
      </c>
      <c r="C845" s="23" t="inlineStr">
        <is>
          <t>March</t>
        </is>
      </c>
      <c r="D845" s="23" t="inlineStr">
        <is>
          <t>2025</t>
        </is>
      </c>
      <c r="E845" s="23" t="inlineStr">
        <is>
          <t>DS 2024-2025</t>
        </is>
      </c>
      <c r="F845" s="23" t="inlineStr">
        <is>
          <t>Harvest</t>
        </is>
      </c>
      <c r="G845" s="27" t="n">
        <v>45</v>
      </c>
      <c r="H845" s="28" t="n">
        <v>26.5</v>
      </c>
      <c r="I845" s="28" t="n">
        <v>22.1</v>
      </c>
      <c r="J845" s="28" t="n">
        <v>31.6</v>
      </c>
      <c r="K845" s="28" t="n">
        <v>70</v>
      </c>
      <c r="L845" s="28" t="n"/>
      <c r="M845" s="28" t="n"/>
      <c r="N845" s="23" t="inlineStr">
        <is>
          <t>Type I – Tropical Monsoon (PAGASA)</t>
        </is>
      </c>
      <c r="O845" s="23" t="inlineStr">
        <is>
          <t>Dry (Hot)</t>
        </is>
      </c>
      <c r="P845" s="23" t="inlineStr">
        <is>
          <t>Sandy Loam</t>
        </is>
      </c>
      <c r="Q845" s="23" t="inlineStr">
        <is>
          <t>Flat / Lowland</t>
        </is>
      </c>
      <c r="R845" s="24" t="n">
        <v>30</v>
      </c>
      <c r="S845" s="23" t="inlineStr">
        <is>
          <t>—</t>
        </is>
      </c>
      <c r="T845" s="25" t="n">
        <v>244.44</v>
      </c>
      <c r="U845" s="25" t="n"/>
      <c r="V845" s="25" t="n"/>
      <c r="W845" s="25" t="n"/>
      <c r="X845" s="25" t="n">
        <v>30.09</v>
      </c>
      <c r="Y845" s="25" t="n">
        <v>234.67</v>
      </c>
      <c r="Z845" s="26" t="n">
        <v>7.8</v>
      </c>
      <c r="AA845" s="17" t="inlineStr">
        <is>
          <t>Direct Seeding (Hill Planting / Furrow Method)</t>
        </is>
      </c>
      <c r="AB845" s="17" t="inlineStr">
        <is>
          <t>Conventional Tillage: 1 deep plow (20–25 cm) + 1 harrowing; good tilth easily achieved</t>
        </is>
      </c>
      <c r="AC845" s="17" t="inlineStr">
        <is>
          <t>Furrow or sprinkler irrigation; AWD or weekly irrigation; good drainage natural</t>
        </is>
      </c>
    </row>
    <row r="846" ht="21.75" customHeight="1" s="101">
      <c r="A846" s="18" t="inlineStr">
        <is>
          <t>Corn</t>
        </is>
      </c>
      <c r="B846" s="18" t="inlineStr">
        <is>
          <t>Vacante</t>
        </is>
      </c>
      <c r="C846" s="18" t="inlineStr">
        <is>
          <t>November</t>
        </is>
      </c>
      <c r="D846" s="18" t="inlineStr">
        <is>
          <t>2024</t>
        </is>
      </c>
      <c r="E846" s="18" t="inlineStr">
        <is>
          <t>DS 2024-2025</t>
        </is>
      </c>
      <c r="F846" s="18" t="inlineStr">
        <is>
          <t>Planting</t>
        </is>
      </c>
      <c r="G846" s="27" t="n">
        <v>88</v>
      </c>
      <c r="H846" s="28" t="n">
        <v>25.8</v>
      </c>
      <c r="I846" s="28" t="n">
        <v>22.2</v>
      </c>
      <c r="J846" s="28" t="n">
        <v>30.2</v>
      </c>
      <c r="K846" s="28" t="n">
        <v>79</v>
      </c>
      <c r="L846" s="28" t="n"/>
      <c r="M846" s="28" t="n"/>
      <c r="N846" s="18" t="inlineStr">
        <is>
          <t>Type I – Tropical Monsoon (PAGASA)</t>
        </is>
      </c>
      <c r="O846" s="18" t="inlineStr">
        <is>
          <t>Dry (Cool)</t>
        </is>
      </c>
      <c r="P846" s="18" t="inlineStr">
        <is>
          <t>Silty Clay Loam</t>
        </is>
      </c>
      <c r="Q846" s="18" t="inlineStr">
        <is>
          <t>Flat / Lowland</t>
        </is>
      </c>
      <c r="R846" s="19" t="n">
        <v>30</v>
      </c>
      <c r="S846" s="18" t="inlineStr">
        <is>
          <t>Aloragat River</t>
        </is>
      </c>
      <c r="T846" s="20" t="n">
        <v>484.68</v>
      </c>
      <c r="U846" s="20" t="n"/>
      <c r="V846" s="20" t="n"/>
      <c r="W846" s="20" t="n">
        <v>58.04</v>
      </c>
      <c r="X846" s="20" t="n"/>
      <c r="Y846" s="20" t="n"/>
      <c r="Z846" s="21" t="n"/>
      <c r="AA846" s="22" t="inlineStr">
        <is>
          <t>Direct Seeding (Furrow Method on Raised Beds)</t>
        </is>
      </c>
      <c r="AB846" s="22" t="inlineStr">
        <is>
          <t>Deep Tillage (25 cm): 1–2 plowings; form raised beds 20–25 cm high to prevent waterlogging</t>
        </is>
      </c>
      <c r="AC846" s="22" t="inlineStr">
        <is>
          <t>Furrow irrigation only (not flood); ensure bed drainage; drain excess after rain</t>
        </is>
      </c>
    </row>
    <row r="847" ht="21.75" customHeight="1" s="101">
      <c r="A847" s="23" t="inlineStr">
        <is>
          <t>Corn</t>
        </is>
      </c>
      <c r="B847" s="23" t="inlineStr">
        <is>
          <t>Vacante</t>
        </is>
      </c>
      <c r="C847" s="23" t="inlineStr">
        <is>
          <t>March</t>
        </is>
      </c>
      <c r="D847" s="23" t="inlineStr">
        <is>
          <t>2025</t>
        </is>
      </c>
      <c r="E847" s="23" t="inlineStr">
        <is>
          <t>DS 2024-2025</t>
        </is>
      </c>
      <c r="F847" s="23" t="inlineStr">
        <is>
          <t>Harvest</t>
        </is>
      </c>
      <c r="G847" s="27" t="n">
        <v>45</v>
      </c>
      <c r="H847" s="28" t="n">
        <v>26.5</v>
      </c>
      <c r="I847" s="28" t="n">
        <v>22.1</v>
      </c>
      <c r="J847" s="28" t="n">
        <v>31.6</v>
      </c>
      <c r="K847" s="28" t="n">
        <v>70</v>
      </c>
      <c r="L847" s="28" t="n"/>
      <c r="M847" s="28" t="n"/>
      <c r="N847" s="23" t="inlineStr">
        <is>
          <t>Type I – Tropical Monsoon (PAGASA)</t>
        </is>
      </c>
      <c r="O847" s="23" t="inlineStr">
        <is>
          <t>Dry (Hot)</t>
        </is>
      </c>
      <c r="P847" s="23" t="inlineStr">
        <is>
          <t>Silty Clay Loam</t>
        </is>
      </c>
      <c r="Q847" s="23" t="inlineStr">
        <is>
          <t>Flat / Lowland</t>
        </is>
      </c>
      <c r="R847" s="24" t="n">
        <v>30</v>
      </c>
      <c r="S847" s="23" t="inlineStr">
        <is>
          <t>Aloragat River</t>
        </is>
      </c>
      <c r="T847" s="25" t="n">
        <v>484.68</v>
      </c>
      <c r="U847" s="25" t="n"/>
      <c r="V847" s="25" t="n"/>
      <c r="W847" s="25" t="n"/>
      <c r="X847" s="25" t="n">
        <v>58.04</v>
      </c>
      <c r="Y847" s="25" t="n">
        <v>452.73</v>
      </c>
      <c r="Z847" s="26" t="n">
        <v>7.8</v>
      </c>
      <c r="AA847" s="17" t="inlineStr">
        <is>
          <t>Direct Seeding (Furrow Method on Raised Beds)</t>
        </is>
      </c>
      <c r="AB847" s="17" t="inlineStr">
        <is>
          <t>Deep Tillage (25 cm): 1–2 plowings; form raised beds 20–25 cm high to prevent waterlogging</t>
        </is>
      </c>
      <c r="AC847" s="17" t="inlineStr">
        <is>
          <t>Furrow irrigation only (not flood); ensure bed drainage; drain excess after rain</t>
        </is>
      </c>
    </row>
    <row r="848" ht="21.75" customHeight="1" s="101">
      <c r="A848" s="18" t="inlineStr">
        <is>
          <t>Corn</t>
        </is>
      </c>
      <c r="B848" s="18" t="inlineStr">
        <is>
          <t>Sta. Catalina</t>
        </is>
      </c>
      <c r="C848" s="18" t="inlineStr">
        <is>
          <t>November</t>
        </is>
      </c>
      <c r="D848" s="18" t="inlineStr">
        <is>
          <t>2024</t>
        </is>
      </c>
      <c r="E848" s="18" t="inlineStr">
        <is>
          <t>DS 2024-2025</t>
        </is>
      </c>
      <c r="F848" s="18" t="inlineStr">
        <is>
          <t>Planting</t>
        </is>
      </c>
      <c r="G848" s="27" t="n">
        <v>88</v>
      </c>
      <c r="H848" s="28" t="n">
        <v>25.8</v>
      </c>
      <c r="I848" s="28" t="n">
        <v>22.2</v>
      </c>
      <c r="J848" s="28" t="n">
        <v>30.2</v>
      </c>
      <c r="K848" s="28" t="n">
        <v>79</v>
      </c>
      <c r="L848" s="28" t="n"/>
      <c r="M848" s="28" t="n"/>
      <c r="N848" s="18" t="inlineStr">
        <is>
          <t>Type I – Tropical Monsoon (PAGASA)</t>
        </is>
      </c>
      <c r="O848" s="18" t="inlineStr">
        <is>
          <t>Dry (Cool)</t>
        </is>
      </c>
      <c r="P848" s="18" t="inlineStr">
        <is>
          <t>Fine Sand / Sandy Loam</t>
        </is>
      </c>
      <c r="Q848" s="18" t="inlineStr">
        <is>
          <t>Moderately Sloping / Highland</t>
        </is>
      </c>
      <c r="R848" s="19" t="n">
        <v>90</v>
      </c>
      <c r="S848" s="18" t="inlineStr">
        <is>
          <t>—</t>
        </is>
      </c>
      <c r="T848" s="20" t="n">
        <v>709.8</v>
      </c>
      <c r="U848" s="20" t="n"/>
      <c r="V848" s="20" t="n"/>
      <c r="W848" s="20" t="n">
        <v>98.76000000000001</v>
      </c>
      <c r="X848" s="20" t="n"/>
      <c r="Y848" s="20" t="n"/>
      <c r="Z848" s="21" t="n"/>
      <c r="AA848" s="22" t="inlineStr">
        <is>
          <t>Direct Seeding (Hills or Furrow Method)</t>
        </is>
      </c>
      <c r="AB848" s="22" t="inlineStr">
        <is>
          <t>Minimum Tillage; deep ripping to break hardpan; avoid over-disturbance</t>
        </is>
      </c>
      <c r="AC848" s="22" t="inlineStr">
        <is>
          <t>Furrow irrigation; frequent light watering; mulch to retain soil moisture</t>
        </is>
      </c>
    </row>
    <row r="849" ht="21.75" customHeight="1" s="101">
      <c r="A849" s="23" t="inlineStr">
        <is>
          <t>Corn</t>
        </is>
      </c>
      <c r="B849" s="23" t="inlineStr">
        <is>
          <t>Sta. Catalina</t>
        </is>
      </c>
      <c r="C849" s="23" t="inlineStr">
        <is>
          <t>March</t>
        </is>
      </c>
      <c r="D849" s="23" t="inlineStr">
        <is>
          <t>2025</t>
        </is>
      </c>
      <c r="E849" s="23" t="inlineStr">
        <is>
          <t>DS 2024-2025</t>
        </is>
      </c>
      <c r="F849" s="23" t="inlineStr">
        <is>
          <t>Harvest</t>
        </is>
      </c>
      <c r="G849" s="27" t="n">
        <v>45</v>
      </c>
      <c r="H849" s="28" t="n">
        <v>26.5</v>
      </c>
      <c r="I849" s="28" t="n">
        <v>22.1</v>
      </c>
      <c r="J849" s="28" t="n">
        <v>31.6</v>
      </c>
      <c r="K849" s="28" t="n">
        <v>70</v>
      </c>
      <c r="L849" s="28" t="n"/>
      <c r="M849" s="28" t="n"/>
      <c r="N849" s="23" t="inlineStr">
        <is>
          <t>Type I – Tropical Monsoon (PAGASA)</t>
        </is>
      </c>
      <c r="O849" s="23" t="inlineStr">
        <is>
          <t>Dry (Hot)</t>
        </is>
      </c>
      <c r="P849" s="23" t="inlineStr">
        <is>
          <t>Fine Sand / Sandy Loam</t>
        </is>
      </c>
      <c r="Q849" s="23" t="inlineStr">
        <is>
          <t>Moderately Sloping / Highland</t>
        </is>
      </c>
      <c r="R849" s="24" t="n">
        <v>90</v>
      </c>
      <c r="S849" s="23" t="inlineStr">
        <is>
          <t>—</t>
        </is>
      </c>
      <c r="T849" s="25" t="n">
        <v>709.8</v>
      </c>
      <c r="U849" s="25" t="n"/>
      <c r="V849" s="25" t="n"/>
      <c r="W849" s="25" t="n"/>
      <c r="X849" s="25" t="n">
        <v>98.76000000000001</v>
      </c>
      <c r="Y849" s="25" t="n">
        <v>770.3099999999999</v>
      </c>
      <c r="Z849" s="26" t="n">
        <v>7.8</v>
      </c>
      <c r="AA849" s="17" t="inlineStr">
        <is>
          <t>Direct Seeding (Hills or Furrow Method)</t>
        </is>
      </c>
      <c r="AB849" s="17" t="inlineStr">
        <is>
          <t>Minimum Tillage; deep ripping to break hardpan; avoid over-disturbance</t>
        </is>
      </c>
      <c r="AC849" s="17" t="inlineStr">
        <is>
          <t>Furrow irrigation; frequent light watering; mulch to retain soil moisture</t>
        </is>
      </c>
    </row>
    <row r="850" ht="21.75" customHeight="1" s="101">
      <c r="A850" s="18" t="inlineStr">
        <is>
          <t>Corn</t>
        </is>
      </c>
      <c r="B850" s="18" t="inlineStr">
        <is>
          <t>Moreno</t>
        </is>
      </c>
      <c r="C850" s="18" t="inlineStr">
        <is>
          <t>November</t>
        </is>
      </c>
      <c r="D850" s="18" t="inlineStr">
        <is>
          <t>2024</t>
        </is>
      </c>
      <c r="E850" s="18" t="inlineStr">
        <is>
          <t>DS 2024-2025</t>
        </is>
      </c>
      <c r="F850" s="18" t="inlineStr">
        <is>
          <t>Planting</t>
        </is>
      </c>
      <c r="G850" s="27" t="n">
        <v>88</v>
      </c>
      <c r="H850" s="28" t="n">
        <v>25.8</v>
      </c>
      <c r="I850" s="28" t="n">
        <v>22.2</v>
      </c>
      <c r="J850" s="28" t="n">
        <v>30.2</v>
      </c>
      <c r="K850" s="28" t="n">
        <v>79</v>
      </c>
      <c r="L850" s="28" t="n"/>
      <c r="M850" s="28" t="n"/>
      <c r="N850" s="18" t="inlineStr">
        <is>
          <t>Type I – Tropical Monsoon (PAGASA)</t>
        </is>
      </c>
      <c r="O850" s="18" t="inlineStr">
        <is>
          <t>Dry (Cool)</t>
        </is>
      </c>
      <c r="P850" s="18" t="inlineStr">
        <is>
          <t>Sandy Loam</t>
        </is>
      </c>
      <c r="Q850" s="18" t="inlineStr">
        <is>
          <t>Moderately Sloping / Highland</t>
        </is>
      </c>
      <c r="R850" s="19" t="n">
        <v>90</v>
      </c>
      <c r="S850" s="18" t="inlineStr">
        <is>
          <t>Alibeng River</t>
        </is>
      </c>
      <c r="T850" s="20" t="n">
        <v>641.76</v>
      </c>
      <c r="U850" s="20" t="n"/>
      <c r="V850" s="20" t="n"/>
      <c r="W850" s="20" t="n">
        <v>70.75</v>
      </c>
      <c r="X850" s="20" t="n"/>
      <c r="Y850" s="20" t="n"/>
      <c r="Z850" s="21" t="n"/>
      <c r="AA850" s="22" t="inlineStr">
        <is>
          <t>Direct Seeding (Hill Planting / Furrow Method)</t>
        </is>
      </c>
      <c r="AB850" s="22" t="inlineStr">
        <is>
          <t>Conventional Tillage: 1 deep plow (20–25 cm) + 1 harrowing; good tilth easily achieved</t>
        </is>
      </c>
      <c r="AC850" s="22" t="inlineStr">
        <is>
          <t>Furrow or sprinkler irrigation; AWD or weekly irrigation; good drainage natural</t>
        </is>
      </c>
    </row>
    <row r="851" ht="21.75" customHeight="1" s="101">
      <c r="A851" s="23" t="inlineStr">
        <is>
          <t>Corn</t>
        </is>
      </c>
      <c r="B851" s="23" t="inlineStr">
        <is>
          <t>Moreno</t>
        </is>
      </c>
      <c r="C851" s="23" t="inlineStr">
        <is>
          <t>March</t>
        </is>
      </c>
      <c r="D851" s="23" t="inlineStr">
        <is>
          <t>2025</t>
        </is>
      </c>
      <c r="E851" s="23" t="inlineStr">
        <is>
          <t>DS 2024-2025</t>
        </is>
      </c>
      <c r="F851" s="23" t="inlineStr">
        <is>
          <t>Harvest</t>
        </is>
      </c>
      <c r="G851" s="27" t="n">
        <v>45</v>
      </c>
      <c r="H851" s="28" t="n">
        <v>26.5</v>
      </c>
      <c r="I851" s="28" t="n">
        <v>22.1</v>
      </c>
      <c r="J851" s="28" t="n">
        <v>31.6</v>
      </c>
      <c r="K851" s="28" t="n">
        <v>70</v>
      </c>
      <c r="L851" s="28" t="n"/>
      <c r="M851" s="28" t="n"/>
      <c r="N851" s="23" t="inlineStr">
        <is>
          <t>Type I – Tropical Monsoon (PAGASA)</t>
        </is>
      </c>
      <c r="O851" s="23" t="inlineStr">
        <is>
          <t>Dry (Hot)</t>
        </is>
      </c>
      <c r="P851" s="23" t="inlineStr">
        <is>
          <t>Sandy Loam</t>
        </is>
      </c>
      <c r="Q851" s="23" t="inlineStr">
        <is>
          <t>Moderately Sloping / Highland</t>
        </is>
      </c>
      <c r="R851" s="24" t="n">
        <v>90</v>
      </c>
      <c r="S851" s="23" t="inlineStr">
        <is>
          <t>Alibeng River</t>
        </is>
      </c>
      <c r="T851" s="25" t="n">
        <v>641.76</v>
      </c>
      <c r="U851" s="25" t="n"/>
      <c r="V851" s="25" t="n"/>
      <c r="W851" s="25" t="n"/>
      <c r="X851" s="25" t="n">
        <v>70.75</v>
      </c>
      <c r="Y851" s="25" t="n">
        <v>551.84</v>
      </c>
      <c r="Z851" s="26" t="n">
        <v>7.8</v>
      </c>
      <c r="AA851" s="17" t="inlineStr">
        <is>
          <t>Direct Seeding (Hill Planting / Furrow Method)</t>
        </is>
      </c>
      <c r="AB851" s="17" t="inlineStr">
        <is>
          <t>Conventional Tillage: 1 deep plow (20–25 cm) + 1 harrowing; good tilth easily achieved</t>
        </is>
      </c>
      <c r="AC851" s="17" t="inlineStr">
        <is>
          <t>Furrow or sprinkler irrigation; AWD or weekly irrigation; good drainage natural</t>
        </is>
      </c>
    </row>
    <row r="852" ht="21.75" customHeight="1" s="101">
      <c r="A852" s="18" t="inlineStr">
        <is>
          <t>Corn</t>
        </is>
      </c>
      <c r="B852" s="18" t="inlineStr">
        <is>
          <t>Cili</t>
        </is>
      </c>
      <c r="C852" s="18" t="inlineStr">
        <is>
          <t>November</t>
        </is>
      </c>
      <c r="D852" s="18" t="inlineStr">
        <is>
          <t>2024</t>
        </is>
      </c>
      <c r="E852" s="18" t="inlineStr">
        <is>
          <t>DS 2024-2025</t>
        </is>
      </c>
      <c r="F852" s="18" t="inlineStr">
        <is>
          <t>Planting</t>
        </is>
      </c>
      <c r="G852" s="27" t="n">
        <v>88</v>
      </c>
      <c r="H852" s="28" t="n">
        <v>25.8</v>
      </c>
      <c r="I852" s="28" t="n">
        <v>22.2</v>
      </c>
      <c r="J852" s="28" t="n">
        <v>30.2</v>
      </c>
      <c r="K852" s="28" t="n">
        <v>79</v>
      </c>
      <c r="L852" s="28" t="n"/>
      <c r="M852" s="28" t="n"/>
      <c r="N852" s="18" t="inlineStr">
        <is>
          <t>Type I – Tropical Monsoon (PAGASA)</t>
        </is>
      </c>
      <c r="O852" s="18" t="inlineStr">
        <is>
          <t>Dry (Cool)</t>
        </is>
      </c>
      <c r="P852" s="18" t="inlineStr">
        <is>
          <t>Silty Clay Loam</t>
        </is>
      </c>
      <c r="Q852" s="18" t="inlineStr">
        <is>
          <t>Flat / Lowland</t>
        </is>
      </c>
      <c r="R852" s="19" t="n">
        <v>30</v>
      </c>
      <c r="S852" s="18" t="inlineStr">
        <is>
          <t>Alibeng River</t>
        </is>
      </c>
      <c r="T852" s="20" t="n">
        <v>264.6</v>
      </c>
      <c r="U852" s="20" t="n"/>
      <c r="V852" s="20" t="n"/>
      <c r="W852" s="20" t="n">
        <v>66.05</v>
      </c>
      <c r="X852" s="20" t="n"/>
      <c r="Y852" s="20" t="n"/>
      <c r="Z852" s="21" t="n"/>
      <c r="AA852" s="22" t="inlineStr">
        <is>
          <t>Direct Seeding (Furrow Method on Raised Beds)</t>
        </is>
      </c>
      <c r="AB852" s="22" t="inlineStr">
        <is>
          <t>Deep Tillage (25 cm): 1–2 plowings; form raised beds 20–25 cm high to prevent waterlogging</t>
        </is>
      </c>
      <c r="AC852" s="22" t="inlineStr">
        <is>
          <t>Furrow irrigation only (not flood); ensure bed drainage; drain excess after rain</t>
        </is>
      </c>
    </row>
    <row r="853" ht="21.75" customHeight="1" s="101">
      <c r="A853" s="23" t="inlineStr">
        <is>
          <t>Corn</t>
        </is>
      </c>
      <c r="B853" s="23" t="inlineStr">
        <is>
          <t>Cili</t>
        </is>
      </c>
      <c r="C853" s="23" t="inlineStr">
        <is>
          <t>March</t>
        </is>
      </c>
      <c r="D853" s="23" t="inlineStr">
        <is>
          <t>2025</t>
        </is>
      </c>
      <c r="E853" s="23" t="inlineStr">
        <is>
          <t>DS 2024-2025</t>
        </is>
      </c>
      <c r="F853" s="23" t="inlineStr">
        <is>
          <t>Harvest</t>
        </is>
      </c>
      <c r="G853" s="27" t="n">
        <v>45</v>
      </c>
      <c r="H853" s="28" t="n">
        <v>26.5</v>
      </c>
      <c r="I853" s="28" t="n">
        <v>22.1</v>
      </c>
      <c r="J853" s="28" t="n">
        <v>31.6</v>
      </c>
      <c r="K853" s="28" t="n">
        <v>70</v>
      </c>
      <c r="L853" s="28" t="n"/>
      <c r="M853" s="28" t="n"/>
      <c r="N853" s="23" t="inlineStr">
        <is>
          <t>Type I – Tropical Monsoon (PAGASA)</t>
        </is>
      </c>
      <c r="O853" s="23" t="inlineStr">
        <is>
          <t>Dry (Hot)</t>
        </is>
      </c>
      <c r="P853" s="23" t="inlineStr">
        <is>
          <t>Silty Clay Loam</t>
        </is>
      </c>
      <c r="Q853" s="23" t="inlineStr">
        <is>
          <t>Flat / Lowland</t>
        </is>
      </c>
      <c r="R853" s="24" t="n">
        <v>30</v>
      </c>
      <c r="S853" s="23" t="inlineStr">
        <is>
          <t>Alibeng River</t>
        </is>
      </c>
      <c r="T853" s="25" t="n">
        <v>264.6</v>
      </c>
      <c r="U853" s="25" t="n"/>
      <c r="V853" s="25" t="n"/>
      <c r="W853" s="25" t="n"/>
      <c r="X853" s="25" t="n">
        <v>66.05</v>
      </c>
      <c r="Y853" s="25" t="n">
        <v>515.23</v>
      </c>
      <c r="Z853" s="26" t="n">
        <v>7.8</v>
      </c>
      <c r="AA853" s="17" t="inlineStr">
        <is>
          <t>Direct Seeding (Furrow Method on Raised Beds)</t>
        </is>
      </c>
      <c r="AB853" s="17" t="inlineStr">
        <is>
          <t>Deep Tillage (25 cm): 1–2 plowings; form raised beds 20–25 cm high to prevent waterlogging</t>
        </is>
      </c>
      <c r="AC853" s="17" t="inlineStr">
        <is>
          <t>Furrow irrigation only (not flood); ensure bed drainage; drain excess after rain</t>
        </is>
      </c>
    </row>
    <row r="854" ht="21.75" customHeight="1" s="101">
      <c r="A854" s="18" t="inlineStr">
        <is>
          <t>Corn</t>
        </is>
      </c>
      <c r="B854" s="18" t="inlineStr">
        <is>
          <t>Linmansangan</t>
        </is>
      </c>
      <c r="C854" s="18" t="inlineStr">
        <is>
          <t>November</t>
        </is>
      </c>
      <c r="D854" s="18" t="inlineStr">
        <is>
          <t>2024</t>
        </is>
      </c>
      <c r="E854" s="18" t="inlineStr">
        <is>
          <t>DS 2024-2025</t>
        </is>
      </c>
      <c r="F854" s="18" t="inlineStr">
        <is>
          <t>Planting</t>
        </is>
      </c>
      <c r="G854" s="27" t="n">
        <v>88</v>
      </c>
      <c r="H854" s="28" t="n">
        <v>25.8</v>
      </c>
      <c r="I854" s="28" t="n">
        <v>22.2</v>
      </c>
      <c r="J854" s="28" t="n">
        <v>30.2</v>
      </c>
      <c r="K854" s="28" t="n">
        <v>79</v>
      </c>
      <c r="L854" s="28" t="n"/>
      <c r="M854" s="28" t="n"/>
      <c r="N854" s="18" t="inlineStr">
        <is>
          <t>Type I – Tropical Monsoon (PAGASA)</t>
        </is>
      </c>
      <c r="O854" s="18" t="inlineStr">
        <is>
          <t>Dry (Cool)</t>
        </is>
      </c>
      <c r="P854" s="18" t="inlineStr">
        <is>
          <t>Silty Clay Loam</t>
        </is>
      </c>
      <c r="Q854" s="18" t="inlineStr">
        <is>
          <t>Flat / Lowland</t>
        </is>
      </c>
      <c r="R854" s="19" t="n">
        <v>30</v>
      </c>
      <c r="S854" s="18" t="inlineStr">
        <is>
          <t>—</t>
        </is>
      </c>
      <c r="T854" s="20" t="n">
        <v>492.24</v>
      </c>
      <c r="U854" s="20" t="n"/>
      <c r="V854" s="20" t="n"/>
      <c r="W854" s="20" t="n">
        <v>99.20999999999999</v>
      </c>
      <c r="X854" s="20" t="n"/>
      <c r="Y854" s="20" t="n"/>
      <c r="Z854" s="21" t="n"/>
      <c r="AA854" s="22" t="inlineStr">
        <is>
          <t>Direct Seeding (Furrow Method on Raised Beds)</t>
        </is>
      </c>
      <c r="AB854" s="22" t="inlineStr">
        <is>
          <t>Deep Tillage (25 cm): 1–2 plowings; form raised beds 20–25 cm high to prevent waterlogging</t>
        </is>
      </c>
      <c r="AC854" s="22" t="inlineStr">
        <is>
          <t>Furrow irrigation only (not flood); ensure bed drainage; drain excess after rain</t>
        </is>
      </c>
    </row>
    <row r="855" ht="21.75" customHeight="1" s="101">
      <c r="A855" s="23" t="inlineStr">
        <is>
          <t>Corn</t>
        </is>
      </c>
      <c r="B855" s="23" t="inlineStr">
        <is>
          <t>Linmansangan</t>
        </is>
      </c>
      <c r="C855" s="23" t="inlineStr">
        <is>
          <t>March</t>
        </is>
      </c>
      <c r="D855" s="23" t="inlineStr">
        <is>
          <t>2025</t>
        </is>
      </c>
      <c r="E855" s="23" t="inlineStr">
        <is>
          <t>DS 2024-2025</t>
        </is>
      </c>
      <c r="F855" s="23" t="inlineStr">
        <is>
          <t>Harvest</t>
        </is>
      </c>
      <c r="G855" s="27" t="n">
        <v>45</v>
      </c>
      <c r="H855" s="28" t="n">
        <v>26.5</v>
      </c>
      <c r="I855" s="28" t="n">
        <v>22.1</v>
      </c>
      <c r="J855" s="28" t="n">
        <v>31.6</v>
      </c>
      <c r="K855" s="28" t="n">
        <v>70</v>
      </c>
      <c r="L855" s="28" t="n"/>
      <c r="M855" s="28" t="n"/>
      <c r="N855" s="23" t="inlineStr">
        <is>
          <t>Type I – Tropical Monsoon (PAGASA)</t>
        </is>
      </c>
      <c r="O855" s="23" t="inlineStr">
        <is>
          <t>Dry (Hot)</t>
        </is>
      </c>
      <c r="P855" s="23" t="inlineStr">
        <is>
          <t>Silty Clay Loam</t>
        </is>
      </c>
      <c r="Q855" s="23" t="inlineStr">
        <is>
          <t>Flat / Lowland</t>
        </is>
      </c>
      <c r="R855" s="24" t="n">
        <v>30</v>
      </c>
      <c r="S855" s="23" t="inlineStr">
        <is>
          <t>—</t>
        </is>
      </c>
      <c r="T855" s="25" t="n">
        <v>492.24</v>
      </c>
      <c r="U855" s="25" t="n"/>
      <c r="V855" s="25" t="n"/>
      <c r="W855" s="25" t="n"/>
      <c r="X855" s="25" t="n">
        <v>99.20999999999999</v>
      </c>
      <c r="Y855" s="25" t="n">
        <v>773.83</v>
      </c>
      <c r="Z855" s="26" t="n">
        <v>7.8</v>
      </c>
      <c r="AA855" s="17" t="inlineStr">
        <is>
          <t>Direct Seeding (Furrow Method on Raised Beds)</t>
        </is>
      </c>
      <c r="AB855" s="17" t="inlineStr">
        <is>
          <t>Deep Tillage (25 cm): 1–2 plowings; form raised beds 20–25 cm high to prevent waterlogging</t>
        </is>
      </c>
      <c r="AC855" s="17" t="inlineStr">
        <is>
          <t>Furrow irrigation only (not flood); ensure bed drainage; drain excess after rain</t>
        </is>
      </c>
    </row>
    <row r="856" ht="21.75" customHeight="1" s="101">
      <c r="A856" s="18" t="inlineStr">
        <is>
          <t>Corn</t>
        </is>
      </c>
      <c r="B856" s="18" t="inlineStr">
        <is>
          <t>Sumabnit</t>
        </is>
      </c>
      <c r="C856" s="18" t="inlineStr">
        <is>
          <t>November</t>
        </is>
      </c>
      <c r="D856" s="18" t="inlineStr">
        <is>
          <t>2024</t>
        </is>
      </c>
      <c r="E856" s="18" t="inlineStr">
        <is>
          <t>DS 2024-2025</t>
        </is>
      </c>
      <c r="F856" s="18" t="inlineStr">
        <is>
          <t>Planting</t>
        </is>
      </c>
      <c r="G856" s="27" t="n">
        <v>88</v>
      </c>
      <c r="H856" s="28" t="n">
        <v>25.8</v>
      </c>
      <c r="I856" s="28" t="n">
        <v>22.2</v>
      </c>
      <c r="J856" s="28" t="n">
        <v>30.2</v>
      </c>
      <c r="K856" s="28" t="n">
        <v>79</v>
      </c>
      <c r="L856" s="28" t="n"/>
      <c r="M856" s="28" t="n"/>
      <c r="N856" s="18" t="inlineStr">
        <is>
          <t>Type I – Tropical Monsoon (PAGASA)</t>
        </is>
      </c>
      <c r="O856" s="18" t="inlineStr">
        <is>
          <t>Dry (Cool)</t>
        </is>
      </c>
      <c r="P856" s="18" t="inlineStr">
        <is>
          <t>Silty Clay Loam / Fine Sandy Loam</t>
        </is>
      </c>
      <c r="Q856" s="18" t="inlineStr">
        <is>
          <t>Flat / Lowland</t>
        </is>
      </c>
      <c r="R856" s="19" t="n">
        <v>30</v>
      </c>
      <c r="S856" s="18" t="inlineStr">
        <is>
          <t>Tagamusing River</t>
        </is>
      </c>
      <c r="T856" s="20" t="n">
        <v>406.56</v>
      </c>
      <c r="U856" s="20" t="n"/>
      <c r="V856" s="20" t="n"/>
      <c r="W856" s="20" t="n">
        <v>89.33</v>
      </c>
      <c r="X856" s="20" t="n"/>
      <c r="Y856" s="20" t="n"/>
      <c r="Z856" s="21" t="n"/>
      <c r="AA856" s="22" t="inlineStr">
        <is>
          <t>Direct Seeding (Hills or Furrow Method)</t>
        </is>
      </c>
      <c r="AB856" s="22" t="inlineStr">
        <is>
          <t>Minimum Tillage; deep ripping to break hardpan; avoid over-disturbance</t>
        </is>
      </c>
      <c r="AC856" s="22" t="inlineStr">
        <is>
          <t>Furrow irrigation; frequent light watering; mulch to retain soil moisture</t>
        </is>
      </c>
    </row>
    <row r="857" ht="21.75" customHeight="1" s="101">
      <c r="A857" s="23" t="inlineStr">
        <is>
          <t>Corn</t>
        </is>
      </c>
      <c r="B857" s="23" t="inlineStr">
        <is>
          <t>Sumabnit</t>
        </is>
      </c>
      <c r="C857" s="23" t="inlineStr">
        <is>
          <t>March</t>
        </is>
      </c>
      <c r="D857" s="23" t="inlineStr">
        <is>
          <t>2025</t>
        </is>
      </c>
      <c r="E857" s="23" t="inlineStr">
        <is>
          <t>DS 2024-2025</t>
        </is>
      </c>
      <c r="F857" s="23" t="inlineStr">
        <is>
          <t>Harvest</t>
        </is>
      </c>
      <c r="G857" s="27" t="n">
        <v>45</v>
      </c>
      <c r="H857" s="28" t="n">
        <v>26.5</v>
      </c>
      <c r="I857" s="28" t="n">
        <v>22.1</v>
      </c>
      <c r="J857" s="28" t="n">
        <v>31.6</v>
      </c>
      <c r="K857" s="28" t="n">
        <v>70</v>
      </c>
      <c r="L857" s="28" t="n"/>
      <c r="M857" s="28" t="n"/>
      <c r="N857" s="23" t="inlineStr">
        <is>
          <t>Type I – Tropical Monsoon (PAGASA)</t>
        </is>
      </c>
      <c r="O857" s="23" t="inlineStr">
        <is>
          <t>Dry (Hot)</t>
        </is>
      </c>
      <c r="P857" s="23" t="inlineStr">
        <is>
          <t>Silty Clay Loam / Fine Sandy Loam</t>
        </is>
      </c>
      <c r="Q857" s="23" t="inlineStr">
        <is>
          <t>Flat / Lowland</t>
        </is>
      </c>
      <c r="R857" s="24" t="n">
        <v>30</v>
      </c>
      <c r="S857" s="23" t="inlineStr">
        <is>
          <t>Tagamusing River</t>
        </is>
      </c>
      <c r="T857" s="25" t="n">
        <v>406.56</v>
      </c>
      <c r="U857" s="25" t="n"/>
      <c r="V857" s="25" t="n"/>
      <c r="W857" s="25" t="n"/>
      <c r="X857" s="25" t="n">
        <v>89.33</v>
      </c>
      <c r="Y857" s="25" t="n">
        <v>696.78</v>
      </c>
      <c r="Z857" s="26" t="n">
        <v>7.8</v>
      </c>
      <c r="AA857" s="17" t="inlineStr">
        <is>
          <t>Direct Seeding (Hills or Furrow Method)</t>
        </is>
      </c>
      <c r="AB857" s="17" t="inlineStr">
        <is>
          <t>Minimum Tillage; deep ripping to break hardpan; avoid over-disturbance</t>
        </is>
      </c>
      <c r="AC857" s="17" t="inlineStr">
        <is>
          <t>Furrow irrigation; frequent light watering; mulch to retain soil moisture</t>
        </is>
      </c>
    </row>
    <row r="858" ht="21.75" customHeight="1" s="101">
      <c r="A858" s="18" t="inlineStr">
        <is>
          <t>Corn</t>
        </is>
      </c>
      <c r="B858" s="18" t="inlineStr">
        <is>
          <t>Capas</t>
        </is>
      </c>
      <c r="C858" s="18" t="inlineStr">
        <is>
          <t>November</t>
        </is>
      </c>
      <c r="D858" s="18" t="inlineStr">
        <is>
          <t>2024</t>
        </is>
      </c>
      <c r="E858" s="18" t="inlineStr">
        <is>
          <t>DS 2024-2025</t>
        </is>
      </c>
      <c r="F858" s="18" t="inlineStr">
        <is>
          <t>Planting</t>
        </is>
      </c>
      <c r="G858" s="27" t="n">
        <v>88</v>
      </c>
      <c r="H858" s="28" t="n">
        <v>25.8</v>
      </c>
      <c r="I858" s="28" t="n">
        <v>22.2</v>
      </c>
      <c r="J858" s="28" t="n">
        <v>30.2</v>
      </c>
      <c r="K858" s="28" t="n">
        <v>79</v>
      </c>
      <c r="L858" s="28" t="n"/>
      <c r="M858" s="28" t="n"/>
      <c r="N858" s="18" t="inlineStr">
        <is>
          <t>Type I – Tropical Monsoon (PAGASA)</t>
        </is>
      </c>
      <c r="O858" s="18" t="inlineStr">
        <is>
          <t>Dry (Cool)</t>
        </is>
      </c>
      <c r="P858" s="18" t="inlineStr">
        <is>
          <t>Sandy Loam</t>
        </is>
      </c>
      <c r="Q858" s="18" t="inlineStr">
        <is>
          <t>Flat / Lowland</t>
        </is>
      </c>
      <c r="R858" s="19" t="n">
        <v>30</v>
      </c>
      <c r="S858" s="18" t="inlineStr">
        <is>
          <t>—</t>
        </is>
      </c>
      <c r="T858" s="20" t="n">
        <v>377.16</v>
      </c>
      <c r="U858" s="20" t="n"/>
      <c r="V858" s="20" t="n"/>
      <c r="W858" s="20" t="n">
        <v>125.63</v>
      </c>
      <c r="X858" s="20" t="n"/>
      <c r="Y858" s="20" t="n"/>
      <c r="Z858" s="21" t="n"/>
      <c r="AA858" s="22" t="inlineStr">
        <is>
          <t>Direct Seeding (Hill Planting / Furrow Method)</t>
        </is>
      </c>
      <c r="AB858" s="22" t="inlineStr">
        <is>
          <t>Conventional Tillage: 1 deep plow (20–25 cm) + 1 harrowing; good tilth easily achieved</t>
        </is>
      </c>
      <c r="AC858" s="22" t="inlineStr">
        <is>
          <t>Furrow or sprinkler irrigation; AWD or weekly irrigation; good drainage natural</t>
        </is>
      </c>
    </row>
    <row r="859" ht="21.75" customHeight="1" s="101">
      <c r="A859" s="23" t="inlineStr">
        <is>
          <t>Corn</t>
        </is>
      </c>
      <c r="B859" s="23" t="inlineStr">
        <is>
          <t>Capas</t>
        </is>
      </c>
      <c r="C859" s="23" t="inlineStr">
        <is>
          <t>March</t>
        </is>
      </c>
      <c r="D859" s="23" t="inlineStr">
        <is>
          <t>2025</t>
        </is>
      </c>
      <c r="E859" s="23" t="inlineStr">
        <is>
          <t>DS 2024-2025</t>
        </is>
      </c>
      <c r="F859" s="23" t="inlineStr">
        <is>
          <t>Harvest</t>
        </is>
      </c>
      <c r="G859" s="27" t="n">
        <v>45</v>
      </c>
      <c r="H859" s="28" t="n">
        <v>26.5</v>
      </c>
      <c r="I859" s="28" t="n">
        <v>22.1</v>
      </c>
      <c r="J859" s="28" t="n">
        <v>31.6</v>
      </c>
      <c r="K859" s="28" t="n">
        <v>70</v>
      </c>
      <c r="L859" s="28" t="n"/>
      <c r="M859" s="28" t="n"/>
      <c r="N859" s="23" t="inlineStr">
        <is>
          <t>Type I – Tropical Monsoon (PAGASA)</t>
        </is>
      </c>
      <c r="O859" s="23" t="inlineStr">
        <is>
          <t>Dry (Hot)</t>
        </is>
      </c>
      <c r="P859" s="23" t="inlineStr">
        <is>
          <t>Sandy Loam</t>
        </is>
      </c>
      <c r="Q859" s="23" t="inlineStr">
        <is>
          <t>Flat / Lowland</t>
        </is>
      </c>
      <c r="R859" s="24" t="n">
        <v>30</v>
      </c>
      <c r="S859" s="23" t="inlineStr">
        <is>
          <t>—</t>
        </is>
      </c>
      <c r="T859" s="25" t="n">
        <v>377.16</v>
      </c>
      <c r="U859" s="25" t="n"/>
      <c r="V859" s="25" t="n"/>
      <c r="W859" s="25" t="n"/>
      <c r="X859" s="25" t="n">
        <v>125.63</v>
      </c>
      <c r="Y859" s="25" t="n">
        <v>979.9400000000001</v>
      </c>
      <c r="Z859" s="26" t="n">
        <v>7.8</v>
      </c>
      <c r="AA859" s="17" t="inlineStr">
        <is>
          <t>Direct Seeding (Hill Planting / Furrow Method)</t>
        </is>
      </c>
      <c r="AB859" s="17" t="inlineStr">
        <is>
          <t>Conventional Tillage: 1 deep plow (20–25 cm) + 1 harrowing; good tilth easily achieved</t>
        </is>
      </c>
      <c r="AC859" s="17" t="inlineStr">
        <is>
          <t>Furrow or sprinkler irrigation; AWD or weekly irrigation; good drainage natural</t>
        </is>
      </c>
    </row>
    <row r="860" ht="21.75" customHeight="1" s="101">
      <c r="A860" s="18" t="inlineStr">
        <is>
          <t>Corn</t>
        </is>
      </c>
      <c r="B860" s="18" t="inlineStr">
        <is>
          <t>Mangkasuy</t>
        </is>
      </c>
      <c r="C860" s="18" t="inlineStr">
        <is>
          <t>November</t>
        </is>
      </c>
      <c r="D860" s="18" t="inlineStr">
        <is>
          <t>2024</t>
        </is>
      </c>
      <c r="E860" s="18" t="inlineStr">
        <is>
          <t>DS 2024-2025</t>
        </is>
      </c>
      <c r="F860" s="18" t="inlineStr">
        <is>
          <t>Planting</t>
        </is>
      </c>
      <c r="G860" s="27" t="n">
        <v>88</v>
      </c>
      <c r="H860" s="28" t="n">
        <v>25.8</v>
      </c>
      <c r="I860" s="28" t="n">
        <v>22.2</v>
      </c>
      <c r="J860" s="28" t="n">
        <v>30.2</v>
      </c>
      <c r="K860" s="28" t="n">
        <v>79</v>
      </c>
      <c r="L860" s="28" t="n"/>
      <c r="M860" s="28" t="n"/>
      <c r="N860" s="18" t="inlineStr">
        <is>
          <t>Type I – Tropical Monsoon (PAGASA)</t>
        </is>
      </c>
      <c r="O860" s="18" t="inlineStr">
        <is>
          <t>Dry (Cool)</t>
        </is>
      </c>
      <c r="P860" s="18" t="inlineStr">
        <is>
          <t>Sandy Loam</t>
        </is>
      </c>
      <c r="Q860" s="18" t="inlineStr">
        <is>
          <t>Flat / Lowland</t>
        </is>
      </c>
      <c r="R860" s="19" t="n">
        <v>30</v>
      </c>
      <c r="S860" s="18" t="inlineStr">
        <is>
          <t>Tagamusing River</t>
        </is>
      </c>
      <c r="T860" s="20" t="n">
        <v>802.2</v>
      </c>
      <c r="U860" s="20" t="n"/>
      <c r="V860" s="20" t="n"/>
      <c r="W860" s="20" t="n">
        <v>112.96</v>
      </c>
      <c r="X860" s="20" t="n"/>
      <c r="Y860" s="20" t="n"/>
      <c r="Z860" s="21" t="n"/>
      <c r="AA860" s="22" t="inlineStr">
        <is>
          <t>Direct Seeding (Hill Planting / Furrow Method)</t>
        </is>
      </c>
      <c r="AB860" s="22" t="inlineStr">
        <is>
          <t>Conventional Tillage: 1 deep plow (20–25 cm) + 1 harrowing; good tilth easily achieved</t>
        </is>
      </c>
      <c r="AC860" s="22" t="inlineStr">
        <is>
          <t>Furrow or sprinkler irrigation; AWD or weekly irrigation; good drainage natural</t>
        </is>
      </c>
    </row>
    <row r="861" ht="21.75" customHeight="1" s="101">
      <c r="A861" s="23" t="inlineStr">
        <is>
          <t>Corn</t>
        </is>
      </c>
      <c r="B861" s="23" t="inlineStr">
        <is>
          <t>Mangkasuy</t>
        </is>
      </c>
      <c r="C861" s="23" t="inlineStr">
        <is>
          <t>March</t>
        </is>
      </c>
      <c r="D861" s="23" t="inlineStr">
        <is>
          <t>2025</t>
        </is>
      </c>
      <c r="E861" s="23" t="inlineStr">
        <is>
          <t>DS 2024-2025</t>
        </is>
      </c>
      <c r="F861" s="23" t="inlineStr">
        <is>
          <t>Harvest</t>
        </is>
      </c>
      <c r="G861" s="27" t="n">
        <v>45</v>
      </c>
      <c r="H861" s="28" t="n">
        <v>26.5</v>
      </c>
      <c r="I861" s="28" t="n">
        <v>22.1</v>
      </c>
      <c r="J861" s="28" t="n">
        <v>31.6</v>
      </c>
      <c r="K861" s="28" t="n">
        <v>70</v>
      </c>
      <c r="L861" s="28" t="n"/>
      <c r="M861" s="28" t="n"/>
      <c r="N861" s="23" t="inlineStr">
        <is>
          <t>Type I – Tropical Monsoon (PAGASA)</t>
        </is>
      </c>
      <c r="O861" s="23" t="inlineStr">
        <is>
          <t>Dry (Hot)</t>
        </is>
      </c>
      <c r="P861" s="23" t="inlineStr">
        <is>
          <t>Sandy Loam</t>
        </is>
      </c>
      <c r="Q861" s="23" t="inlineStr">
        <is>
          <t>Flat / Lowland</t>
        </is>
      </c>
      <c r="R861" s="24" t="n">
        <v>30</v>
      </c>
      <c r="S861" s="23" t="inlineStr">
        <is>
          <t>Tagamusing River</t>
        </is>
      </c>
      <c r="T861" s="25" t="n">
        <v>802.2</v>
      </c>
      <c r="U861" s="25" t="n"/>
      <c r="V861" s="25" t="n"/>
      <c r="W861" s="25" t="n"/>
      <c r="X861" s="25" t="n">
        <v>112.96</v>
      </c>
      <c r="Y861" s="25" t="n">
        <v>881.1</v>
      </c>
      <c r="Z861" s="26" t="n">
        <v>7.8</v>
      </c>
      <c r="AA861" s="17" t="inlineStr">
        <is>
          <t>Direct Seeding (Hill Planting / Furrow Method)</t>
        </is>
      </c>
      <c r="AB861" s="17" t="inlineStr">
        <is>
          <t>Conventional Tillage: 1 deep plow (20–25 cm) + 1 harrowing; good tilth easily achieved</t>
        </is>
      </c>
      <c r="AC861" s="17" t="inlineStr">
        <is>
          <t>Furrow or sprinkler irrigation; AWD or weekly irrigation; good drainage natural</t>
        </is>
      </c>
    </row>
    <row r="862" ht="21.75" customHeight="1" s="101">
      <c r="A862" s="18" t="inlineStr">
        <is>
          <t>Corn</t>
        </is>
      </c>
      <c r="B862" s="18" t="inlineStr">
        <is>
          <t>San Pablo</t>
        </is>
      </c>
      <c r="C862" s="18" t="inlineStr">
        <is>
          <t>November</t>
        </is>
      </c>
      <c r="D862" s="18" t="inlineStr">
        <is>
          <t>2024</t>
        </is>
      </c>
      <c r="E862" s="18" t="inlineStr">
        <is>
          <t>DS 2024-2025</t>
        </is>
      </c>
      <c r="F862" s="18" t="inlineStr">
        <is>
          <t>Planting</t>
        </is>
      </c>
      <c r="G862" s="27" t="n">
        <v>88</v>
      </c>
      <c r="H862" s="28" t="n">
        <v>25.8</v>
      </c>
      <c r="I862" s="28" t="n">
        <v>22.2</v>
      </c>
      <c r="J862" s="28" t="n">
        <v>30.2</v>
      </c>
      <c r="K862" s="28" t="n">
        <v>79</v>
      </c>
      <c r="L862" s="28" t="n"/>
      <c r="M862" s="28" t="n"/>
      <c r="N862" s="18" t="inlineStr">
        <is>
          <t>Type I – Tropical Monsoon (PAGASA)</t>
        </is>
      </c>
      <c r="O862" s="18" t="inlineStr">
        <is>
          <t>Dry (Cool)</t>
        </is>
      </c>
      <c r="P862" s="18" t="inlineStr">
        <is>
          <t>Sandy Loam</t>
        </is>
      </c>
      <c r="Q862" s="18" t="inlineStr">
        <is>
          <t>Flat / Lowland</t>
        </is>
      </c>
      <c r="R862" s="19" t="n">
        <v>30</v>
      </c>
      <c r="S862" s="18" t="inlineStr">
        <is>
          <t>San Pablo Creek</t>
        </is>
      </c>
      <c r="T862" s="20" t="n">
        <v>215.04</v>
      </c>
      <c r="U862" s="20" t="n"/>
      <c r="V862" s="20" t="n"/>
      <c r="W862" s="20" t="n">
        <v>65.08</v>
      </c>
      <c r="X862" s="20" t="n"/>
      <c r="Y862" s="20" t="n"/>
      <c r="Z862" s="21" t="n"/>
      <c r="AA862" s="22" t="inlineStr">
        <is>
          <t>Direct Seeding (Hill Planting / Furrow Method)</t>
        </is>
      </c>
      <c r="AB862" s="22" t="inlineStr">
        <is>
          <t>Conventional Tillage: 1 deep plow (20–25 cm) + 1 harrowing; good tilth easily achieved</t>
        </is>
      </c>
      <c r="AC862" s="22" t="inlineStr">
        <is>
          <t>Furrow or sprinkler irrigation; AWD or weekly irrigation; good drainage natural</t>
        </is>
      </c>
    </row>
    <row r="863" ht="21.75" customHeight="1" s="101">
      <c r="A863" s="23" t="inlineStr">
        <is>
          <t>Corn</t>
        </is>
      </c>
      <c r="B863" s="23" t="inlineStr">
        <is>
          <t>San Pablo</t>
        </is>
      </c>
      <c r="C863" s="23" t="inlineStr">
        <is>
          <t>March</t>
        </is>
      </c>
      <c r="D863" s="23" t="inlineStr">
        <is>
          <t>2025</t>
        </is>
      </c>
      <c r="E863" s="23" t="inlineStr">
        <is>
          <t>DS 2024-2025</t>
        </is>
      </c>
      <c r="F863" s="23" t="inlineStr">
        <is>
          <t>Harvest</t>
        </is>
      </c>
      <c r="G863" s="27" t="n">
        <v>45</v>
      </c>
      <c r="H863" s="28" t="n">
        <v>26.5</v>
      </c>
      <c r="I863" s="28" t="n">
        <v>22.1</v>
      </c>
      <c r="J863" s="28" t="n">
        <v>31.6</v>
      </c>
      <c r="K863" s="28" t="n">
        <v>70</v>
      </c>
      <c r="L863" s="28" t="n"/>
      <c r="M863" s="28" t="n"/>
      <c r="N863" s="23" t="inlineStr">
        <is>
          <t>Type I – Tropical Monsoon (PAGASA)</t>
        </is>
      </c>
      <c r="O863" s="23" t="inlineStr">
        <is>
          <t>Dry (Hot)</t>
        </is>
      </c>
      <c r="P863" s="23" t="inlineStr">
        <is>
          <t>Sandy Loam</t>
        </is>
      </c>
      <c r="Q863" s="23" t="inlineStr">
        <is>
          <t>Flat / Lowland</t>
        </is>
      </c>
      <c r="R863" s="24" t="n">
        <v>30</v>
      </c>
      <c r="S863" s="23" t="inlineStr">
        <is>
          <t>San Pablo Creek</t>
        </is>
      </c>
      <c r="T863" s="25" t="n">
        <v>215.04</v>
      </c>
      <c r="U863" s="25" t="n"/>
      <c r="V863" s="25" t="n"/>
      <c r="W863" s="25" t="n"/>
      <c r="X863" s="25" t="n">
        <v>65.08</v>
      </c>
      <c r="Y863" s="25" t="n">
        <v>507.66</v>
      </c>
      <c r="Z863" s="26" t="n">
        <v>7.8</v>
      </c>
      <c r="AA863" s="17" t="inlineStr">
        <is>
          <t>Direct Seeding (Hill Planting / Furrow Method)</t>
        </is>
      </c>
      <c r="AB863" s="17" t="inlineStr">
        <is>
          <t>Conventional Tillage: 1 deep plow (20–25 cm) + 1 harrowing; good tilth easily achieved</t>
        </is>
      </c>
      <c r="AC863" s="17" t="inlineStr">
        <is>
          <t>Furrow or sprinkler irrigation; AWD or weekly irrigation; good drainage natural</t>
        </is>
      </c>
    </row>
    <row r="864" ht="21.75" customHeight="1" s="101">
      <c r="A864" s="18" t="inlineStr">
        <is>
          <t>Corn</t>
        </is>
      </c>
      <c r="B864" s="18" t="inlineStr">
        <is>
          <t>Balangobong</t>
        </is>
      </c>
      <c r="C864" s="18" t="inlineStr">
        <is>
          <t>November</t>
        </is>
      </c>
      <c r="D864" s="18" t="inlineStr">
        <is>
          <t>2024</t>
        </is>
      </c>
      <c r="E864" s="18" t="inlineStr">
        <is>
          <t>DS 2024-2025</t>
        </is>
      </c>
      <c r="F864" s="18" t="inlineStr">
        <is>
          <t>Planting</t>
        </is>
      </c>
      <c r="G864" s="27" t="n">
        <v>88</v>
      </c>
      <c r="H864" s="28" t="n">
        <v>25.8</v>
      </c>
      <c r="I864" s="28" t="n">
        <v>22.2</v>
      </c>
      <c r="J864" s="28" t="n">
        <v>30.2</v>
      </c>
      <c r="K864" s="28" t="n">
        <v>79</v>
      </c>
      <c r="L864" s="28" t="n"/>
      <c r="M864" s="28" t="n"/>
      <c r="N864" s="18" t="inlineStr">
        <is>
          <t>Type I – Tropical Monsoon (PAGASA)</t>
        </is>
      </c>
      <c r="O864" s="18" t="inlineStr">
        <is>
          <t>Dry (Cool)</t>
        </is>
      </c>
      <c r="P864" s="18" t="inlineStr">
        <is>
          <t>Silty Clay Loam</t>
        </is>
      </c>
      <c r="Q864" s="18" t="inlineStr">
        <is>
          <t>Flat / Lowland</t>
        </is>
      </c>
      <c r="R864" s="19" t="n">
        <v>30</v>
      </c>
      <c r="S864" s="18" t="inlineStr">
        <is>
          <t>—</t>
        </is>
      </c>
      <c r="T864" s="20" t="n">
        <v>281.4</v>
      </c>
      <c r="U864" s="20" t="n"/>
      <c r="V864" s="20" t="n"/>
      <c r="W864" s="20" t="n">
        <v>65.12</v>
      </c>
      <c r="X864" s="20" t="n"/>
      <c r="Y864" s="20" t="n"/>
      <c r="Z864" s="21" t="n"/>
      <c r="AA864" s="22" t="inlineStr">
        <is>
          <t>Direct Seeding (Furrow Method on Raised Beds)</t>
        </is>
      </c>
      <c r="AB864" s="22" t="inlineStr">
        <is>
          <t>Deep Tillage (25 cm): 1–2 plowings; form raised beds 20–25 cm high to prevent waterlogging</t>
        </is>
      </c>
      <c r="AC864" s="22" t="inlineStr">
        <is>
          <t>Furrow irrigation only (not flood); ensure bed drainage; drain excess after rain</t>
        </is>
      </c>
    </row>
    <row r="865" ht="21.75" customHeight="1" s="101">
      <c r="A865" s="23" t="inlineStr">
        <is>
          <t>Corn</t>
        </is>
      </c>
      <c r="B865" s="23" t="inlineStr">
        <is>
          <t>Balangobong</t>
        </is>
      </c>
      <c r="C865" s="23" t="inlineStr">
        <is>
          <t>March</t>
        </is>
      </c>
      <c r="D865" s="23" t="inlineStr">
        <is>
          <t>2025</t>
        </is>
      </c>
      <c r="E865" s="23" t="inlineStr">
        <is>
          <t>DS 2024-2025</t>
        </is>
      </c>
      <c r="F865" s="23" t="inlineStr">
        <is>
          <t>Harvest</t>
        </is>
      </c>
      <c r="G865" s="27" t="n">
        <v>45</v>
      </c>
      <c r="H865" s="28" t="n">
        <v>26.5</v>
      </c>
      <c r="I865" s="28" t="n">
        <v>22.1</v>
      </c>
      <c r="J865" s="28" t="n">
        <v>31.6</v>
      </c>
      <c r="K865" s="28" t="n">
        <v>70</v>
      </c>
      <c r="L865" s="28" t="n"/>
      <c r="M865" s="28" t="n"/>
      <c r="N865" s="23" t="inlineStr">
        <is>
          <t>Type I – Tropical Monsoon (PAGASA)</t>
        </is>
      </c>
      <c r="O865" s="23" t="inlineStr">
        <is>
          <t>Dry (Hot)</t>
        </is>
      </c>
      <c r="P865" s="23" t="inlineStr">
        <is>
          <t>Silty Clay Loam</t>
        </is>
      </c>
      <c r="Q865" s="23" t="inlineStr">
        <is>
          <t>Flat / Lowland</t>
        </is>
      </c>
      <c r="R865" s="24" t="n">
        <v>30</v>
      </c>
      <c r="S865" s="23" t="inlineStr">
        <is>
          <t>—</t>
        </is>
      </c>
      <c r="T865" s="25" t="n">
        <v>281.4</v>
      </c>
      <c r="U865" s="25" t="n"/>
      <c r="V865" s="25" t="n"/>
      <c r="W865" s="25" t="n"/>
      <c r="X865" s="25" t="n">
        <v>65.12</v>
      </c>
      <c r="Y865" s="25" t="n">
        <v>507.93</v>
      </c>
      <c r="Z865" s="26" t="n">
        <v>7.8</v>
      </c>
      <c r="AA865" s="17" t="inlineStr">
        <is>
          <t>Direct Seeding (Furrow Method on Raised Beds)</t>
        </is>
      </c>
      <c r="AB865" s="17" t="inlineStr">
        <is>
          <t>Deep Tillage (25 cm): 1–2 plowings; form raised beds 20–25 cm high to prevent waterlogging</t>
        </is>
      </c>
      <c r="AC865" s="17" t="inlineStr">
        <is>
          <t>Furrow irrigation only (not flood); ensure bed drainage; drain excess after rain</t>
        </is>
      </c>
    </row>
    <row r="866" ht="21.75" customHeight="1" s="101">
      <c r="A866" s="18" t="inlineStr">
        <is>
          <t>Corn</t>
        </is>
      </c>
      <c r="B866" s="18" t="inlineStr">
        <is>
          <t>San Felipe Central</t>
        </is>
      </c>
      <c r="C866" s="18" t="inlineStr">
        <is>
          <t>November</t>
        </is>
      </c>
      <c r="D866" s="18" t="inlineStr">
        <is>
          <t>2024</t>
        </is>
      </c>
      <c r="E866" s="18" t="inlineStr">
        <is>
          <t>DS 2024-2025</t>
        </is>
      </c>
      <c r="F866" s="18" t="inlineStr">
        <is>
          <t>Planting</t>
        </is>
      </c>
      <c r="G866" s="27" t="n">
        <v>88</v>
      </c>
      <c r="H866" s="28" t="n">
        <v>25.8</v>
      </c>
      <c r="I866" s="28" t="n">
        <v>22.2</v>
      </c>
      <c r="J866" s="28" t="n">
        <v>30.2</v>
      </c>
      <c r="K866" s="28" t="n">
        <v>79</v>
      </c>
      <c r="L866" s="28" t="n"/>
      <c r="M866" s="28" t="n"/>
      <c r="N866" s="18" t="inlineStr">
        <is>
          <t>Type I – Tropical Monsoon (PAGASA)</t>
        </is>
      </c>
      <c r="O866" s="18" t="inlineStr">
        <is>
          <t>Dry (Cool)</t>
        </is>
      </c>
      <c r="P866" s="18" t="inlineStr">
        <is>
          <t>Sandy Loam</t>
        </is>
      </c>
      <c r="Q866" s="18" t="inlineStr">
        <is>
          <t>Flat / Lowland</t>
        </is>
      </c>
      <c r="R866" s="19" t="n">
        <v>30</v>
      </c>
      <c r="S866" s="18" t="inlineStr">
        <is>
          <t>—</t>
        </is>
      </c>
      <c r="T866" s="20" t="n">
        <v>452.76</v>
      </c>
      <c r="U866" s="20" t="n"/>
      <c r="V866" s="20" t="n"/>
      <c r="W866" s="20" t="n">
        <v>81.19</v>
      </c>
      <c r="X866" s="20" t="n"/>
      <c r="Y866" s="20" t="n"/>
      <c r="Z866" s="21" t="n"/>
      <c r="AA866" s="22" t="inlineStr">
        <is>
          <t>Direct Seeding (Hill Planting / Furrow Method)</t>
        </is>
      </c>
      <c r="AB866" s="22" t="inlineStr">
        <is>
          <t>Conventional Tillage: 1 deep plow (20–25 cm) + 1 harrowing; good tilth easily achieved</t>
        </is>
      </c>
      <c r="AC866" s="22" t="inlineStr">
        <is>
          <t>Furrow or sprinkler irrigation; AWD or weekly irrigation; good drainage natural</t>
        </is>
      </c>
    </row>
    <row r="867" ht="21.75" customHeight="1" s="101">
      <c r="A867" s="23" t="inlineStr">
        <is>
          <t>Corn</t>
        </is>
      </c>
      <c r="B867" s="23" t="inlineStr">
        <is>
          <t>San Felipe Central</t>
        </is>
      </c>
      <c r="C867" s="23" t="inlineStr">
        <is>
          <t>March</t>
        </is>
      </c>
      <c r="D867" s="23" t="inlineStr">
        <is>
          <t>2025</t>
        </is>
      </c>
      <c r="E867" s="23" t="inlineStr">
        <is>
          <t>DS 2024-2025</t>
        </is>
      </c>
      <c r="F867" s="23" t="inlineStr">
        <is>
          <t>Harvest</t>
        </is>
      </c>
      <c r="G867" s="27" t="n">
        <v>45</v>
      </c>
      <c r="H867" s="28" t="n">
        <v>26.5</v>
      </c>
      <c r="I867" s="28" t="n">
        <v>22.1</v>
      </c>
      <c r="J867" s="28" t="n">
        <v>31.6</v>
      </c>
      <c r="K867" s="28" t="n">
        <v>70</v>
      </c>
      <c r="L867" s="28" t="n"/>
      <c r="M867" s="28" t="n"/>
      <c r="N867" s="23" t="inlineStr">
        <is>
          <t>Type I – Tropical Monsoon (PAGASA)</t>
        </is>
      </c>
      <c r="O867" s="23" t="inlineStr">
        <is>
          <t>Dry (Hot)</t>
        </is>
      </c>
      <c r="P867" s="23" t="inlineStr">
        <is>
          <t>Sandy Loam</t>
        </is>
      </c>
      <c r="Q867" s="23" t="inlineStr">
        <is>
          <t>Flat / Lowland</t>
        </is>
      </c>
      <c r="R867" s="24" t="n">
        <v>30</v>
      </c>
      <c r="S867" s="23" t="inlineStr">
        <is>
          <t>—</t>
        </is>
      </c>
      <c r="T867" s="25" t="n">
        <v>452.76</v>
      </c>
      <c r="U867" s="25" t="n"/>
      <c r="V867" s="25" t="n"/>
      <c r="W867" s="25" t="n"/>
      <c r="X867" s="25" t="n">
        <v>81.19</v>
      </c>
      <c r="Y867" s="25" t="n">
        <v>633.25</v>
      </c>
      <c r="Z867" s="26" t="n">
        <v>7.8</v>
      </c>
      <c r="AA867" s="17" t="inlineStr">
        <is>
          <t>Direct Seeding (Hill Planting / Furrow Method)</t>
        </is>
      </c>
      <c r="AB867" s="17" t="inlineStr">
        <is>
          <t>Conventional Tillage: 1 deep plow (20–25 cm) + 1 harrowing; good tilth easily achieved</t>
        </is>
      </c>
      <c r="AC867" s="17" t="inlineStr">
        <is>
          <t>Furrow or sprinkler irrigation; AWD or weekly irrigation; good drainage natural</t>
        </is>
      </c>
    </row>
    <row r="868" ht="21.75" customHeight="1" s="101">
      <c r="A868" s="18" t="inlineStr">
        <is>
          <t>Corn</t>
        </is>
      </c>
      <c r="B868" s="18" t="inlineStr">
        <is>
          <t>San Felipe Sur</t>
        </is>
      </c>
      <c r="C868" s="18" t="inlineStr">
        <is>
          <t>November</t>
        </is>
      </c>
      <c r="D868" s="18" t="inlineStr">
        <is>
          <t>2024</t>
        </is>
      </c>
      <c r="E868" s="18" t="inlineStr">
        <is>
          <t>DS 2024-2025</t>
        </is>
      </c>
      <c r="F868" s="18" t="inlineStr">
        <is>
          <t>Planting</t>
        </is>
      </c>
      <c r="G868" s="27" t="n">
        <v>88</v>
      </c>
      <c r="H868" s="28" t="n">
        <v>25.8</v>
      </c>
      <c r="I868" s="28" t="n">
        <v>22.2</v>
      </c>
      <c r="J868" s="28" t="n">
        <v>30.2</v>
      </c>
      <c r="K868" s="28" t="n">
        <v>79</v>
      </c>
      <c r="L868" s="28" t="n"/>
      <c r="M868" s="28" t="n"/>
      <c r="N868" s="18" t="inlineStr">
        <is>
          <t>Type I – Tropical Monsoon (PAGASA)</t>
        </is>
      </c>
      <c r="O868" s="18" t="inlineStr">
        <is>
          <t>Dry (Cool)</t>
        </is>
      </c>
      <c r="P868" s="18" t="inlineStr">
        <is>
          <t>Sandy Loam</t>
        </is>
      </c>
      <c r="Q868" s="18" t="inlineStr">
        <is>
          <t>Flat / Lowland</t>
        </is>
      </c>
      <c r="R868" s="19" t="n">
        <v>30</v>
      </c>
      <c r="S868" s="18" t="inlineStr">
        <is>
          <t>Tagamusing River</t>
        </is>
      </c>
      <c r="T868" s="20" t="n">
        <v>504</v>
      </c>
      <c r="U868" s="20" t="n"/>
      <c r="V868" s="20" t="n"/>
      <c r="W868" s="20" t="n">
        <v>84.17</v>
      </c>
      <c r="X868" s="20" t="n"/>
      <c r="Y868" s="20" t="n"/>
      <c r="Z868" s="21" t="n"/>
      <c r="AA868" s="22" t="inlineStr">
        <is>
          <t>Direct Seeding (Hill Planting / Furrow Method)</t>
        </is>
      </c>
      <c r="AB868" s="22" t="inlineStr">
        <is>
          <t>Conventional Tillage: 1 deep plow (20–25 cm) + 1 harrowing; good tilth easily achieved</t>
        </is>
      </c>
      <c r="AC868" s="22" t="inlineStr">
        <is>
          <t>Furrow or sprinkler irrigation; AWD or weekly irrigation; good drainage natural</t>
        </is>
      </c>
    </row>
    <row r="869" ht="21.75" customHeight="1" s="101">
      <c r="A869" s="23" t="inlineStr">
        <is>
          <t>Corn</t>
        </is>
      </c>
      <c r="B869" s="23" t="inlineStr">
        <is>
          <t>San Felipe Sur</t>
        </is>
      </c>
      <c r="C869" s="23" t="inlineStr">
        <is>
          <t>March</t>
        </is>
      </c>
      <c r="D869" s="23" t="inlineStr">
        <is>
          <t>2025</t>
        </is>
      </c>
      <c r="E869" s="23" t="inlineStr">
        <is>
          <t>DS 2024-2025</t>
        </is>
      </c>
      <c r="F869" s="23" t="inlineStr">
        <is>
          <t>Harvest</t>
        </is>
      </c>
      <c r="G869" s="27" t="n">
        <v>45</v>
      </c>
      <c r="H869" s="28" t="n">
        <v>26.5</v>
      </c>
      <c r="I869" s="28" t="n">
        <v>22.1</v>
      </c>
      <c r="J869" s="28" t="n">
        <v>31.6</v>
      </c>
      <c r="K869" s="28" t="n">
        <v>70</v>
      </c>
      <c r="L869" s="28" t="n"/>
      <c r="M869" s="28" t="n"/>
      <c r="N869" s="23" t="inlineStr">
        <is>
          <t>Type I – Tropical Monsoon (PAGASA)</t>
        </is>
      </c>
      <c r="O869" s="23" t="inlineStr">
        <is>
          <t>Dry (Hot)</t>
        </is>
      </c>
      <c r="P869" s="23" t="inlineStr">
        <is>
          <t>Sandy Loam</t>
        </is>
      </c>
      <c r="Q869" s="23" t="inlineStr">
        <is>
          <t>Flat / Lowland</t>
        </is>
      </c>
      <c r="R869" s="24" t="n">
        <v>30</v>
      </c>
      <c r="S869" s="23" t="inlineStr">
        <is>
          <t>Tagamusing River</t>
        </is>
      </c>
      <c r="T869" s="25" t="n">
        <v>504</v>
      </c>
      <c r="U869" s="25" t="n"/>
      <c r="V869" s="25" t="n"/>
      <c r="W869" s="25" t="n"/>
      <c r="X869" s="25" t="n">
        <v>84.17</v>
      </c>
      <c r="Y869" s="25" t="n">
        <v>656.52</v>
      </c>
      <c r="Z869" s="26" t="n">
        <v>7.8</v>
      </c>
      <c r="AA869" s="17" t="inlineStr">
        <is>
          <t>Direct Seeding (Hill Planting / Furrow Method)</t>
        </is>
      </c>
      <c r="AB869" s="17" t="inlineStr">
        <is>
          <t>Conventional Tillage: 1 deep plow (20–25 cm) + 1 harrowing; good tilth easily achieved</t>
        </is>
      </c>
      <c r="AC869" s="17" t="inlineStr">
        <is>
          <t>Furrow or sprinkler irrigation; AWD or weekly irrigation; good drainage natural</t>
        </is>
      </c>
    </row>
    <row r="870" ht="21.75" customHeight="1" s="101">
      <c r="A870" s="18" t="inlineStr">
        <is>
          <t>Corn</t>
        </is>
      </c>
      <c r="B870" s="18" t="inlineStr">
        <is>
          <t>Pasileng Sur</t>
        </is>
      </c>
      <c r="C870" s="18" t="inlineStr">
        <is>
          <t>November</t>
        </is>
      </c>
      <c r="D870" s="18" t="inlineStr">
        <is>
          <t>2024</t>
        </is>
      </c>
      <c r="E870" s="18" t="inlineStr">
        <is>
          <t>DS 2024-2025</t>
        </is>
      </c>
      <c r="F870" s="18" t="inlineStr">
        <is>
          <t>Planting</t>
        </is>
      </c>
      <c r="G870" s="27" t="n">
        <v>88</v>
      </c>
      <c r="H870" s="28" t="n">
        <v>25.8</v>
      </c>
      <c r="I870" s="28" t="n">
        <v>22.2</v>
      </c>
      <c r="J870" s="28" t="n">
        <v>30.2</v>
      </c>
      <c r="K870" s="28" t="n">
        <v>79</v>
      </c>
      <c r="L870" s="28" t="n"/>
      <c r="M870" s="28" t="n"/>
      <c r="N870" s="18" t="inlineStr">
        <is>
          <t>Type I – Tropical Monsoon (PAGASA)</t>
        </is>
      </c>
      <c r="O870" s="18" t="inlineStr">
        <is>
          <t>Dry (Cool)</t>
        </is>
      </c>
      <c r="P870" s="18" t="inlineStr">
        <is>
          <t>Sandy Loam</t>
        </is>
      </c>
      <c r="Q870" s="18" t="inlineStr">
        <is>
          <t>Flat / Lowland</t>
        </is>
      </c>
      <c r="R870" s="19" t="n">
        <v>30</v>
      </c>
      <c r="S870" s="18" t="inlineStr">
        <is>
          <t>Tagamusing River</t>
        </is>
      </c>
      <c r="T870" s="20" t="n">
        <v>414.96</v>
      </c>
      <c r="U870" s="20" t="n"/>
      <c r="V870" s="20" t="n"/>
      <c r="W870" s="20" t="n">
        <v>85.38</v>
      </c>
      <c r="X870" s="20" t="n"/>
      <c r="Y870" s="20" t="n"/>
      <c r="Z870" s="21" t="n"/>
      <c r="AA870" s="22" t="inlineStr">
        <is>
          <t>Direct Seeding (Hill Planting / Furrow Method)</t>
        </is>
      </c>
      <c r="AB870" s="22" t="inlineStr">
        <is>
          <t>Conventional Tillage: 1 deep plow (20–25 cm) + 1 harrowing; good tilth easily achieved</t>
        </is>
      </c>
      <c r="AC870" s="22" t="inlineStr">
        <is>
          <t>Furrow or sprinkler irrigation; AWD or weekly irrigation; good drainage natural</t>
        </is>
      </c>
    </row>
    <row r="871" ht="21.75" customHeight="1" s="101">
      <c r="A871" s="23" t="inlineStr">
        <is>
          <t>Corn</t>
        </is>
      </c>
      <c r="B871" s="23" t="inlineStr">
        <is>
          <t>Pasileng Sur</t>
        </is>
      </c>
      <c r="C871" s="23" t="inlineStr">
        <is>
          <t>March</t>
        </is>
      </c>
      <c r="D871" s="23" t="inlineStr">
        <is>
          <t>2025</t>
        </is>
      </c>
      <c r="E871" s="23" t="inlineStr">
        <is>
          <t>DS 2024-2025</t>
        </is>
      </c>
      <c r="F871" s="23" t="inlineStr">
        <is>
          <t>Harvest</t>
        </is>
      </c>
      <c r="G871" s="27" t="n">
        <v>45</v>
      </c>
      <c r="H871" s="28" t="n">
        <v>26.5</v>
      </c>
      <c r="I871" s="28" t="n">
        <v>22.1</v>
      </c>
      <c r="J871" s="28" t="n">
        <v>31.6</v>
      </c>
      <c r="K871" s="28" t="n">
        <v>70</v>
      </c>
      <c r="L871" s="28" t="n"/>
      <c r="M871" s="28" t="n"/>
      <c r="N871" s="23" t="inlineStr">
        <is>
          <t>Type I – Tropical Monsoon (PAGASA)</t>
        </is>
      </c>
      <c r="O871" s="23" t="inlineStr">
        <is>
          <t>Dry (Hot)</t>
        </is>
      </c>
      <c r="P871" s="23" t="inlineStr">
        <is>
          <t>Sandy Loam</t>
        </is>
      </c>
      <c r="Q871" s="23" t="inlineStr">
        <is>
          <t>Flat / Lowland</t>
        </is>
      </c>
      <c r="R871" s="24" t="n">
        <v>30</v>
      </c>
      <c r="S871" s="23" t="inlineStr">
        <is>
          <t>Tagamusing River</t>
        </is>
      </c>
      <c r="T871" s="25" t="n">
        <v>414.96</v>
      </c>
      <c r="U871" s="25" t="n"/>
      <c r="V871" s="25" t="n"/>
      <c r="W871" s="25" t="n"/>
      <c r="X871" s="25" t="n">
        <v>85.38</v>
      </c>
      <c r="Y871" s="25" t="n">
        <v>665.96</v>
      </c>
      <c r="Z871" s="26" t="n">
        <v>7.8</v>
      </c>
      <c r="AA871" s="17" t="inlineStr">
        <is>
          <t>Direct Seeding (Hill Planting / Furrow Method)</t>
        </is>
      </c>
      <c r="AB871" s="17" t="inlineStr">
        <is>
          <t>Conventional Tillage: 1 deep plow (20–25 cm) + 1 harrowing; good tilth easily achieved</t>
        </is>
      </c>
      <c r="AC871" s="17" t="inlineStr">
        <is>
          <t>Furrow or sprinkler irrigation; AWD or weekly irrigation; good drainage natural</t>
        </is>
      </c>
    </row>
    <row r="872" ht="21.75" customHeight="1" s="101">
      <c r="A872" s="18" t="inlineStr">
        <is>
          <t>Corn</t>
        </is>
      </c>
      <c r="B872" s="18" t="inlineStr">
        <is>
          <t>Sta. Maria Norte</t>
        </is>
      </c>
      <c r="C872" s="18" t="inlineStr">
        <is>
          <t>November</t>
        </is>
      </c>
      <c r="D872" s="18" t="inlineStr">
        <is>
          <t>2024</t>
        </is>
      </c>
      <c r="E872" s="18" t="inlineStr">
        <is>
          <t>DS 2024-2025</t>
        </is>
      </c>
      <c r="F872" s="18" t="inlineStr">
        <is>
          <t>Planting</t>
        </is>
      </c>
      <c r="G872" s="27" t="n">
        <v>88</v>
      </c>
      <c r="H872" s="28" t="n">
        <v>25.8</v>
      </c>
      <c r="I872" s="28" t="n">
        <v>22.2</v>
      </c>
      <c r="J872" s="28" t="n">
        <v>30.2</v>
      </c>
      <c r="K872" s="28" t="n">
        <v>79</v>
      </c>
      <c r="L872" s="28" t="n"/>
      <c r="M872" s="28" t="n"/>
      <c r="N872" s="18" t="inlineStr">
        <is>
          <t>Type I – Tropical Monsoon (PAGASA)</t>
        </is>
      </c>
      <c r="O872" s="18" t="inlineStr">
        <is>
          <t>Dry (Cool)</t>
        </is>
      </c>
      <c r="P872" s="18" t="inlineStr">
        <is>
          <t>Sandy Loam</t>
        </is>
      </c>
      <c r="Q872" s="18" t="inlineStr">
        <is>
          <t>Flat / Lowland</t>
        </is>
      </c>
      <c r="R872" s="19" t="n">
        <v>30</v>
      </c>
      <c r="S872" s="18" t="inlineStr">
        <is>
          <t>Tagamusing River</t>
        </is>
      </c>
      <c r="T872" s="20" t="n">
        <v>157.08</v>
      </c>
      <c r="U872" s="20" t="n"/>
      <c r="V872" s="20" t="n"/>
      <c r="W872" s="20" t="n">
        <v>28.97</v>
      </c>
      <c r="X872" s="20" t="n"/>
      <c r="Y872" s="20" t="n"/>
      <c r="Z872" s="21" t="n"/>
      <c r="AA872" s="22" t="inlineStr">
        <is>
          <t>Direct Seeding (Hill Planting / Furrow Method)</t>
        </is>
      </c>
      <c r="AB872" s="22" t="inlineStr">
        <is>
          <t>Conventional Tillage: 1 deep plow (20–25 cm) + 1 harrowing; good tilth easily achieved</t>
        </is>
      </c>
      <c r="AC872" s="22" t="inlineStr">
        <is>
          <t>Furrow or sprinkler irrigation; AWD or weekly irrigation; good drainage natural</t>
        </is>
      </c>
    </row>
    <row r="873" ht="21.75" customHeight="1" s="101">
      <c r="A873" s="23" t="inlineStr">
        <is>
          <t>Corn</t>
        </is>
      </c>
      <c r="B873" s="23" t="inlineStr">
        <is>
          <t>Sta. Maria Norte</t>
        </is>
      </c>
      <c r="C873" s="23" t="inlineStr">
        <is>
          <t>March</t>
        </is>
      </c>
      <c r="D873" s="23" t="inlineStr">
        <is>
          <t>2025</t>
        </is>
      </c>
      <c r="E873" s="23" t="inlineStr">
        <is>
          <t>DS 2024-2025</t>
        </is>
      </c>
      <c r="F873" s="23" t="inlineStr">
        <is>
          <t>Harvest</t>
        </is>
      </c>
      <c r="G873" s="27" t="n">
        <v>45</v>
      </c>
      <c r="H873" s="28" t="n">
        <v>26.5</v>
      </c>
      <c r="I873" s="28" t="n">
        <v>22.1</v>
      </c>
      <c r="J873" s="28" t="n">
        <v>31.6</v>
      </c>
      <c r="K873" s="28" t="n">
        <v>70</v>
      </c>
      <c r="L873" s="28" t="n"/>
      <c r="M873" s="28" t="n"/>
      <c r="N873" s="23" t="inlineStr">
        <is>
          <t>Type I – Tropical Monsoon (PAGASA)</t>
        </is>
      </c>
      <c r="O873" s="23" t="inlineStr">
        <is>
          <t>Dry (Hot)</t>
        </is>
      </c>
      <c r="P873" s="23" t="inlineStr">
        <is>
          <t>Sandy Loam</t>
        </is>
      </c>
      <c r="Q873" s="23" t="inlineStr">
        <is>
          <t>Flat / Lowland</t>
        </is>
      </c>
      <c r="R873" s="24" t="n">
        <v>30</v>
      </c>
      <c r="S873" s="23" t="inlineStr">
        <is>
          <t>Tagamusing River</t>
        </is>
      </c>
      <c r="T873" s="25" t="n">
        <v>157.08</v>
      </c>
      <c r="U873" s="25" t="n"/>
      <c r="V873" s="25" t="n"/>
      <c r="W873" s="25" t="n"/>
      <c r="X873" s="25" t="n">
        <v>28.97</v>
      </c>
      <c r="Y873" s="25" t="n">
        <v>225.94</v>
      </c>
      <c r="Z873" s="26" t="n">
        <v>7.8</v>
      </c>
      <c r="AA873" s="17" t="inlineStr">
        <is>
          <t>Direct Seeding (Hill Planting / Furrow Method)</t>
        </is>
      </c>
      <c r="AB873" s="17" t="inlineStr">
        <is>
          <t>Conventional Tillage: 1 deep plow (20–25 cm) + 1 harrowing; good tilth easily achieved</t>
        </is>
      </c>
      <c r="AC873" s="17" t="inlineStr">
        <is>
          <t>Furrow or sprinkler irrigation; AWD or weekly irrigation; good drainage natural</t>
        </is>
      </c>
    </row>
    <row r="874" ht="21.75" customHeight="1" s="101">
      <c r="A874" s="18" t="inlineStr">
        <is>
          <t>Corn</t>
        </is>
      </c>
      <c r="B874" s="18" t="inlineStr">
        <is>
          <t>Bugayong</t>
        </is>
      </c>
      <c r="C874" s="18" t="inlineStr">
        <is>
          <t>November</t>
        </is>
      </c>
      <c r="D874" s="18" t="inlineStr">
        <is>
          <t>2024</t>
        </is>
      </c>
      <c r="E874" s="18" t="inlineStr">
        <is>
          <t>DS 2024-2025</t>
        </is>
      </c>
      <c r="F874" s="18" t="inlineStr">
        <is>
          <t>Planting</t>
        </is>
      </c>
      <c r="G874" s="27" t="n">
        <v>88</v>
      </c>
      <c r="H874" s="28" t="n">
        <v>25.8</v>
      </c>
      <c r="I874" s="28" t="n">
        <v>22.2</v>
      </c>
      <c r="J874" s="28" t="n">
        <v>30.2</v>
      </c>
      <c r="K874" s="28" t="n">
        <v>79</v>
      </c>
      <c r="L874" s="28" t="n"/>
      <c r="M874" s="28" t="n"/>
      <c r="N874" s="18" t="inlineStr">
        <is>
          <t>Type I – Tropical Monsoon (PAGASA)</t>
        </is>
      </c>
      <c r="O874" s="18" t="inlineStr">
        <is>
          <t>Dry (Cool)</t>
        </is>
      </c>
      <c r="P874" s="18" t="inlineStr">
        <is>
          <t>Sandy Loam / Silty Clay Loam</t>
        </is>
      </c>
      <c r="Q874" s="18" t="inlineStr">
        <is>
          <t>Flat / Lowland</t>
        </is>
      </c>
      <c r="R874" s="19" t="n">
        <v>30</v>
      </c>
      <c r="S874" s="18" t="inlineStr">
        <is>
          <t>Aloragat River</t>
        </is>
      </c>
      <c r="T874" s="20" t="n">
        <v>346.08</v>
      </c>
      <c r="U874" s="20" t="n"/>
      <c r="V874" s="20" t="n"/>
      <c r="W874" s="20" t="n">
        <v>26.04</v>
      </c>
      <c r="X874" s="20" t="n"/>
      <c r="Y874" s="20" t="n"/>
      <c r="Z874" s="21" t="n"/>
      <c r="AA874" s="22" t="inlineStr">
        <is>
          <t>Direct Seeding (Furrow or Hill Method)</t>
        </is>
      </c>
      <c r="AB874" s="22" t="inlineStr">
        <is>
          <t>Conventional Tillage: 1 deep plow + harrowing; ensure good drainage channels</t>
        </is>
      </c>
      <c r="AC874" s="22" t="inlineStr">
        <is>
          <t>Furrow irrigation; avoid waterlogging — clay fraction retains excess moisture</t>
        </is>
      </c>
    </row>
    <row r="875" ht="21.75" customHeight="1" s="101">
      <c r="A875" s="23" t="inlineStr">
        <is>
          <t>Corn</t>
        </is>
      </c>
      <c r="B875" s="23" t="inlineStr">
        <is>
          <t>Bugayong</t>
        </is>
      </c>
      <c r="C875" s="23" t="inlineStr">
        <is>
          <t>March</t>
        </is>
      </c>
      <c r="D875" s="23" t="inlineStr">
        <is>
          <t>2025</t>
        </is>
      </c>
      <c r="E875" s="23" t="inlineStr">
        <is>
          <t>DS 2024-2025</t>
        </is>
      </c>
      <c r="F875" s="23" t="inlineStr">
        <is>
          <t>Harvest</t>
        </is>
      </c>
      <c r="G875" s="27" t="n">
        <v>45</v>
      </c>
      <c r="H875" s="28" t="n">
        <v>26.5</v>
      </c>
      <c r="I875" s="28" t="n">
        <v>22.1</v>
      </c>
      <c r="J875" s="28" t="n">
        <v>31.6</v>
      </c>
      <c r="K875" s="28" t="n">
        <v>70</v>
      </c>
      <c r="L875" s="28" t="n"/>
      <c r="M875" s="28" t="n"/>
      <c r="N875" s="23" t="inlineStr">
        <is>
          <t>Type I – Tropical Monsoon (PAGASA)</t>
        </is>
      </c>
      <c r="O875" s="23" t="inlineStr">
        <is>
          <t>Dry (Hot)</t>
        </is>
      </c>
      <c r="P875" s="23" t="inlineStr">
        <is>
          <t>Sandy Loam / Silty Clay Loam</t>
        </is>
      </c>
      <c r="Q875" s="23" t="inlineStr">
        <is>
          <t>Flat / Lowland</t>
        </is>
      </c>
      <c r="R875" s="24" t="n">
        <v>30</v>
      </c>
      <c r="S875" s="23" t="inlineStr">
        <is>
          <t>Aloragat River</t>
        </is>
      </c>
      <c r="T875" s="25" t="n">
        <v>346.08</v>
      </c>
      <c r="U875" s="25" t="n"/>
      <c r="V875" s="25" t="n"/>
      <c r="W875" s="25" t="n"/>
      <c r="X875" s="25" t="n">
        <v>26.04</v>
      </c>
      <c r="Y875" s="25" t="n">
        <v>203.15</v>
      </c>
      <c r="Z875" s="26" t="n">
        <v>7.8</v>
      </c>
      <c r="AA875" s="17" t="inlineStr">
        <is>
          <t>Direct Seeding (Furrow or Hill Method)</t>
        </is>
      </c>
      <c r="AB875" s="17" t="inlineStr">
        <is>
          <t>Conventional Tillage: 1 deep plow + harrowing; ensure good drainage channels</t>
        </is>
      </c>
      <c r="AC875" s="17" t="inlineStr">
        <is>
          <t>Furrow irrigation; avoid waterlogging — clay fraction retains excess moisture</t>
        </is>
      </c>
    </row>
    <row r="876" ht="21.75" customHeight="1" s="101">
      <c r="A876" s="18" t="inlineStr">
        <is>
          <t>Corn</t>
        </is>
      </c>
      <c r="B876" s="18" t="inlineStr">
        <is>
          <t>Santiago</t>
        </is>
      </c>
      <c r="C876" s="18" t="inlineStr">
        <is>
          <t>November</t>
        </is>
      </c>
      <c r="D876" s="18" t="inlineStr">
        <is>
          <t>2024</t>
        </is>
      </c>
      <c r="E876" s="18" t="inlineStr">
        <is>
          <t>DS 2024-2025</t>
        </is>
      </c>
      <c r="F876" s="18" t="inlineStr">
        <is>
          <t>Planting</t>
        </is>
      </c>
      <c r="G876" s="27" t="n">
        <v>88</v>
      </c>
      <c r="H876" s="28" t="n">
        <v>25.8</v>
      </c>
      <c r="I876" s="28" t="n">
        <v>22.2</v>
      </c>
      <c r="J876" s="28" t="n">
        <v>30.2</v>
      </c>
      <c r="K876" s="28" t="n">
        <v>79</v>
      </c>
      <c r="L876" s="28" t="n"/>
      <c r="M876" s="28" t="n"/>
      <c r="N876" s="18" t="inlineStr">
        <is>
          <t>Type I – Tropical Monsoon (PAGASA)</t>
        </is>
      </c>
      <c r="O876" s="18" t="inlineStr">
        <is>
          <t>Dry (Cool)</t>
        </is>
      </c>
      <c r="P876" s="18" t="inlineStr">
        <is>
          <t>Silty Clay Loam</t>
        </is>
      </c>
      <c r="Q876" s="18" t="inlineStr">
        <is>
          <t>Flat / Lowland</t>
        </is>
      </c>
      <c r="R876" s="19" t="n">
        <v>30</v>
      </c>
      <c r="S876" s="18" t="inlineStr">
        <is>
          <t>—</t>
        </is>
      </c>
      <c r="T876" s="20" t="n">
        <v>283.08</v>
      </c>
      <c r="U876" s="20" t="n"/>
      <c r="V876" s="20" t="n"/>
      <c r="W876" s="20" t="n">
        <v>86.38</v>
      </c>
      <c r="X876" s="20" t="n"/>
      <c r="Y876" s="20" t="n"/>
      <c r="Z876" s="21" t="n"/>
      <c r="AA876" s="22" t="inlineStr">
        <is>
          <t>Direct Seeding (Furrow Method on Raised Beds)</t>
        </is>
      </c>
      <c r="AB876" s="22" t="inlineStr">
        <is>
          <t>Deep Tillage (25 cm): 1–2 plowings; form raised beds 20–25 cm high to prevent waterlogging</t>
        </is>
      </c>
      <c r="AC876" s="22" t="inlineStr">
        <is>
          <t>Furrow irrigation only (not flood); ensure bed drainage; drain excess after rain</t>
        </is>
      </c>
    </row>
    <row r="877" ht="21.75" customHeight="1" s="101">
      <c r="A877" s="23" t="inlineStr">
        <is>
          <t>Corn</t>
        </is>
      </c>
      <c r="B877" s="23" t="inlineStr">
        <is>
          <t>Santiago</t>
        </is>
      </c>
      <c r="C877" s="23" t="inlineStr">
        <is>
          <t>March</t>
        </is>
      </c>
      <c r="D877" s="23" t="inlineStr">
        <is>
          <t>2025</t>
        </is>
      </c>
      <c r="E877" s="23" t="inlineStr">
        <is>
          <t>DS 2024-2025</t>
        </is>
      </c>
      <c r="F877" s="23" t="inlineStr">
        <is>
          <t>Harvest</t>
        </is>
      </c>
      <c r="G877" s="27" t="n">
        <v>45</v>
      </c>
      <c r="H877" s="28" t="n">
        <v>26.5</v>
      </c>
      <c r="I877" s="28" t="n">
        <v>22.1</v>
      </c>
      <c r="J877" s="28" t="n">
        <v>31.6</v>
      </c>
      <c r="K877" s="28" t="n">
        <v>70</v>
      </c>
      <c r="L877" s="28" t="n"/>
      <c r="M877" s="28" t="n"/>
      <c r="N877" s="23" t="inlineStr">
        <is>
          <t>Type I – Tropical Monsoon (PAGASA)</t>
        </is>
      </c>
      <c r="O877" s="23" t="inlineStr">
        <is>
          <t>Dry (Hot)</t>
        </is>
      </c>
      <c r="P877" s="23" t="inlineStr">
        <is>
          <t>Silty Clay Loam</t>
        </is>
      </c>
      <c r="Q877" s="23" t="inlineStr">
        <is>
          <t>Flat / Lowland</t>
        </is>
      </c>
      <c r="R877" s="24" t="n">
        <v>30</v>
      </c>
      <c r="S877" s="23" t="inlineStr">
        <is>
          <t>—</t>
        </is>
      </c>
      <c r="T877" s="25" t="n">
        <v>283.08</v>
      </c>
      <c r="U877" s="25" t="n"/>
      <c r="V877" s="25" t="n"/>
      <c r="W877" s="25" t="n"/>
      <c r="X877" s="25" t="n">
        <v>86.38</v>
      </c>
      <c r="Y877" s="25" t="n">
        <v>673.66</v>
      </c>
      <c r="Z877" s="26" t="n">
        <v>7.8</v>
      </c>
      <c r="AA877" s="17" t="inlineStr">
        <is>
          <t>Direct Seeding (Furrow Method on Raised Beds)</t>
        </is>
      </c>
      <c r="AB877" s="17" t="inlineStr">
        <is>
          <t>Deep Tillage (25 cm): 1–2 plowings; form raised beds 20–25 cm high to prevent waterlogging</t>
        </is>
      </c>
      <c r="AC877" s="17" t="inlineStr">
        <is>
          <t>Furrow irrigation only (not flood); ensure bed drainage; drain excess after rain</t>
        </is>
      </c>
    </row>
  </sheetData>
  <autoFilter ref="A3:Z3"/>
  <mergeCells count="2">
    <mergeCell ref="A1:Z1"/>
    <mergeCell ref="A2:Z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9"/>
  <sheetViews>
    <sheetView workbookViewId="0">
      <pane ySplit="1" topLeftCell="A404" activePane="bottomLeft" state="frozen"/>
      <selection pane="bottomLeft" activeCell="A1" sqref="A1"/>
    </sheetView>
  </sheetViews>
  <sheetFormatPr baseColWidth="8" defaultRowHeight="14.4"/>
  <cols>
    <col width="12" customWidth="1" style="101" min="1" max="1"/>
    <col width="20" customWidth="1" style="101" min="2" max="2"/>
    <col width="17" customWidth="1" style="101" min="3" max="3"/>
    <col width="16" customWidth="1" style="101" min="4" max="4"/>
    <col width="15" customWidth="1" style="101" min="5" max="6"/>
    <col width="14" customWidth="1" style="101" min="7" max="7"/>
    <col width="28" customWidth="1" style="101" min="8" max="8"/>
    <col width="24" customWidth="1" style="101" min="9" max="11"/>
    <col width="23" customWidth="1" style="101" min="12" max="12"/>
    <col width="32" customWidth="1" style="101" min="13" max="14"/>
    <col width="27" customWidth="1" style="101" min="15" max="15"/>
    <col width="23" customWidth="1" style="101" min="16" max="18"/>
    <col width="22" customWidth="1" style="101" min="19" max="19"/>
    <col width="32" customWidth="1" style="101" min="20" max="22"/>
    <col width="25" customWidth="1" style="101" min="23" max="23"/>
    <col width="24" customWidth="1" style="101" min="24" max="24"/>
    <col width="32" customWidth="1" style="101" min="25" max="25"/>
    <col width="31" customWidth="1" style="101" min="26" max="26"/>
    <col width="19" customWidth="1" style="101" min="27" max="27"/>
    <col width="20" customWidth="1" style="101" min="28" max="28"/>
    <col width="16" customWidth="1" style="101" min="29" max="29"/>
    <col width="21" customWidth="1" style="101" min="30" max="30"/>
    <col width="19" customWidth="1" style="101" min="31" max="31"/>
    <col width="25" customWidth="1" style="101" min="32" max="32"/>
    <col width="32" customWidth="1" style="101" min="33" max="35"/>
    <col width="21" customWidth="1" style="101" min="36" max="36"/>
    <col width="17" customWidth="1" style="101" min="37" max="37"/>
    <col width="20" customWidth="1" style="101" min="38" max="38"/>
    <col width="15" customWidth="1" style="101" min="39" max="39"/>
    <col width="32" customWidth="1" style="101" min="40" max="40"/>
  </cols>
  <sheetData>
    <row r="1" ht="42" customHeight="1" s="101">
      <c r="A1" s="99" t="inlineStr">
        <is>
          <t>Crop Type</t>
        </is>
      </c>
      <c r="B1" s="99" t="inlineStr">
        <is>
          <t>Barangay</t>
        </is>
      </c>
      <c r="C1" s="99" t="inlineStr">
        <is>
          <t>Season / Period</t>
        </is>
      </c>
      <c r="D1" s="99" t="inlineStr">
        <is>
          <t>Planting Month</t>
        </is>
      </c>
      <c r="E1" s="99" t="inlineStr">
        <is>
          <t>Planting Year</t>
        </is>
      </c>
      <c r="F1" s="99" t="inlineStr">
        <is>
          <t>Harvest Month</t>
        </is>
      </c>
      <c r="G1" s="99" t="inlineStr">
        <is>
          <t>Harvest Year</t>
        </is>
      </c>
      <c r="H1" s="99" t="inlineStr">
        <is>
          <t>Planting Rainfall (mm/day)</t>
        </is>
      </c>
      <c r="I1" s="99" t="inlineStr">
        <is>
          <t>Planting Avg Temp (°C)</t>
        </is>
      </c>
      <c r="J1" s="99" t="inlineStr">
        <is>
          <t>Planting Min Temp (°C)</t>
        </is>
      </c>
      <c r="K1" s="99" t="inlineStr">
        <is>
          <t>Planting Max Temp (°C)</t>
        </is>
      </c>
      <c r="L1" s="99" t="inlineStr">
        <is>
          <t>Planting Humidity (%)</t>
        </is>
      </c>
      <c r="M1" s="99" t="inlineStr">
        <is>
          <t>Planting Surface Pressure (kPa)</t>
        </is>
      </c>
      <c r="N1" s="99" t="inlineStr">
        <is>
          <t>Planting Solar Rad. (MJ/m²/day)</t>
        </is>
      </c>
      <c r="O1" s="99" t="inlineStr">
        <is>
          <t>Harvest Rainfall (mm/day)</t>
        </is>
      </c>
      <c r="P1" s="99" t="inlineStr">
        <is>
          <t>Harvest Avg Temp (°C)</t>
        </is>
      </c>
      <c r="Q1" s="99" t="inlineStr">
        <is>
          <t>Harvest Min Temp (°C)</t>
        </is>
      </c>
      <c r="R1" s="99" t="inlineStr">
        <is>
          <t>Harvest Max Temp (°C)</t>
        </is>
      </c>
      <c r="S1" s="99" t="inlineStr">
        <is>
          <t>Harvest Humidity (%)</t>
        </is>
      </c>
      <c r="T1" s="99" t="inlineStr">
        <is>
          <t>Harvest Surface Pressure (kPa)</t>
        </is>
      </c>
      <c r="U1" s="99" t="inlineStr">
        <is>
          <t>Harvest Solar Rad. (MJ/m²/day)</t>
        </is>
      </c>
      <c r="V1" s="99" t="inlineStr">
        <is>
          <t>Climate Type</t>
        </is>
      </c>
      <c r="W1" s="99" t="inlineStr">
        <is>
          <t>Planting Climate Season</t>
        </is>
      </c>
      <c r="X1" s="99" t="inlineStr">
        <is>
          <t>Harvest Climate Season</t>
        </is>
      </c>
      <c r="Y1" s="99" t="inlineStr">
        <is>
          <t>Soil Type</t>
        </is>
      </c>
      <c r="Z1" s="99" t="inlineStr">
        <is>
          <t>Terrain Type</t>
        </is>
      </c>
      <c r="AA1" s="99" t="inlineStr">
        <is>
          <t>Elevation (m asl)</t>
        </is>
      </c>
      <c r="AB1" s="99" t="inlineStr">
        <is>
          <t>Nearest Water Body</t>
        </is>
      </c>
      <c r="AC1" s="99" t="inlineStr">
        <is>
          <t>Land Size (ha)</t>
        </is>
      </c>
      <c r="AD1" s="99" t="inlineStr">
        <is>
          <t>Irrigated Area (ha)</t>
        </is>
      </c>
      <c r="AE1" s="99" t="inlineStr">
        <is>
          <t>Rainfed Area (ha)</t>
        </is>
      </c>
      <c r="AF1" s="99" t="inlineStr">
        <is>
          <t>Total Area Planted (ha)</t>
        </is>
      </c>
      <c r="AG1" s="99" t="inlineStr">
        <is>
          <t>Primary Planting Technique</t>
        </is>
      </c>
      <c r="AH1" s="99" t="inlineStr">
        <is>
          <t>Tillage Method</t>
        </is>
      </c>
      <c r="AI1" s="99" t="inlineStr">
        <is>
          <t>Water Management</t>
        </is>
      </c>
      <c r="AJ1" s="99" t="inlineStr">
        <is>
          <t>Area Harvested (ha)</t>
        </is>
      </c>
      <c r="AK1" s="99" t="inlineStr">
        <is>
          <t>Production (MT)</t>
        </is>
      </c>
      <c r="AL1" s="99" t="inlineStr">
        <is>
          <t>Yield (MT/ha)</t>
        </is>
      </c>
      <c r="AM1" s="99" t="inlineStr">
        <is>
          <t>Yield Imputed</t>
        </is>
      </c>
      <c r="AN1" s="99" t="inlineStr">
        <is>
          <t>Imputation Basis</t>
        </is>
      </c>
    </row>
    <row r="2">
      <c r="A2" t="inlineStr">
        <is>
          <t>Corn</t>
        </is>
      </c>
      <c r="B2" t="inlineStr">
        <is>
          <t>Balangobong</t>
        </is>
      </c>
      <c r="C2" t="inlineStr">
        <is>
          <t>DS 2020-2021</t>
        </is>
      </c>
      <c r="D2" t="inlineStr">
        <is>
          <t>November</t>
        </is>
      </c>
      <c r="E2" t="inlineStr">
        <is>
          <t>2020</t>
        </is>
      </c>
      <c r="F2" t="inlineStr">
        <is>
          <t>March</t>
        </is>
      </c>
      <c r="G2" t="inlineStr">
        <is>
          <t>2021</t>
        </is>
      </c>
      <c r="H2" t="n">
        <v>8.73</v>
      </c>
      <c r="I2" t="n">
        <v>25.81</v>
      </c>
      <c r="J2" t="n">
        <v>19.74</v>
      </c>
      <c r="K2" t="n">
        <v>31.57</v>
      </c>
      <c r="L2" t="n">
        <v>84.84</v>
      </c>
      <c r="M2" t="n">
        <v>98.31999999999999</v>
      </c>
      <c r="N2" t="n">
        <v>15.39</v>
      </c>
      <c r="O2" t="n">
        <v>2.28</v>
      </c>
      <c r="P2" t="n">
        <v>26.34</v>
      </c>
      <c r="Q2" t="n">
        <v>18.92</v>
      </c>
      <c r="R2" t="n">
        <v>34.3</v>
      </c>
      <c r="S2" t="n">
        <v>78.14</v>
      </c>
      <c r="T2" t="n">
        <v>98.45999999999999</v>
      </c>
      <c r="U2" t="n">
        <v>21.32</v>
      </c>
      <c r="V2" t="inlineStr">
        <is>
          <t>Type I – Tropical Monsoon (PAGASA)</t>
        </is>
      </c>
      <c r="W2" t="inlineStr">
        <is>
          <t>Dry (Cool)</t>
        </is>
      </c>
      <c r="X2" t="inlineStr">
        <is>
          <t>Dry (Hot)</t>
        </is>
      </c>
      <c r="Y2" t="inlineStr">
        <is>
          <t>Silty Clay Loam</t>
        </is>
      </c>
      <c r="Z2" t="inlineStr">
        <is>
          <t>Flat / Lowland</t>
        </is>
      </c>
      <c r="AA2" t="n">
        <v>30</v>
      </c>
      <c r="AB2" t="inlineStr">
        <is>
          <t>—</t>
        </is>
      </c>
      <c r="AC2" t="n">
        <v>281.4</v>
      </c>
      <c r="AF2" t="n">
        <v>52.38</v>
      </c>
      <c r="AG2" t="inlineStr">
        <is>
          <t>Direct Seeding (Furrow Method on Raised Beds)</t>
        </is>
      </c>
      <c r="AH2" t="inlineStr">
        <is>
          <t>Deep Tillage (25 cm): 1–2 plowings; form raised beds 20–25 cm high to prevent waterlogging</t>
        </is>
      </c>
      <c r="AI2" t="inlineStr">
        <is>
          <t>Furrow irrigation only (not flood); ensure bed drainage; drain excess after rain</t>
        </is>
      </c>
      <c r="AJ2" t="n">
        <v>52.38</v>
      </c>
      <c r="AK2" t="n">
        <v>429.95</v>
      </c>
      <c r="AL2" t="n">
        <v>8.210000000000001</v>
      </c>
      <c r="AM2" t="inlineStr">
        <is>
          <t>No</t>
        </is>
      </c>
      <c r="AN2" t="inlineStr">
        <is>
          <t>Observed harvest</t>
        </is>
      </c>
    </row>
    <row r="3">
      <c r="A3" t="inlineStr">
        <is>
          <t>Corn</t>
        </is>
      </c>
      <c r="B3" t="inlineStr">
        <is>
          <t>Bued</t>
        </is>
      </c>
      <c r="C3" t="inlineStr">
        <is>
          <t>DS 2020-2021</t>
        </is>
      </c>
      <c r="D3" t="inlineStr">
        <is>
          <t>November</t>
        </is>
      </c>
      <c r="E3" t="inlineStr">
        <is>
          <t>2020</t>
        </is>
      </c>
      <c r="F3" t="inlineStr">
        <is>
          <t>March</t>
        </is>
      </c>
      <c r="G3" t="inlineStr">
        <is>
          <t>2021</t>
        </is>
      </c>
      <c r="H3" t="n">
        <v>8.73</v>
      </c>
      <c r="I3" t="n">
        <v>25.81</v>
      </c>
      <c r="J3" t="n">
        <v>19.74</v>
      </c>
      <c r="K3" t="n">
        <v>31.57</v>
      </c>
      <c r="L3" t="n">
        <v>84.84</v>
      </c>
      <c r="M3" t="n">
        <v>98.31999999999999</v>
      </c>
      <c r="N3" t="n">
        <v>15.39</v>
      </c>
      <c r="O3" t="n">
        <v>2.28</v>
      </c>
      <c r="P3" t="n">
        <v>26.34</v>
      </c>
      <c r="Q3" t="n">
        <v>18.92</v>
      </c>
      <c r="R3" t="n">
        <v>34.3</v>
      </c>
      <c r="S3" t="n">
        <v>78.14</v>
      </c>
      <c r="T3" t="n">
        <v>98.45999999999999</v>
      </c>
      <c r="U3" t="n">
        <v>21.32</v>
      </c>
      <c r="V3" t="inlineStr">
        <is>
          <t>Type I – Tropical Monsoon (PAGASA)</t>
        </is>
      </c>
      <c r="W3" t="inlineStr">
        <is>
          <t>Dry (Cool)</t>
        </is>
      </c>
      <c r="X3" t="inlineStr">
        <is>
          <t>Dry (Hot)</t>
        </is>
      </c>
      <c r="Y3" t="inlineStr">
        <is>
          <t>Silty Clay Loam</t>
        </is>
      </c>
      <c r="Z3" t="inlineStr">
        <is>
          <t>Flat / Lowland</t>
        </is>
      </c>
      <c r="AA3" t="n">
        <v>30</v>
      </c>
      <c r="AB3" t="inlineStr">
        <is>
          <t>Tagamusing River</t>
        </is>
      </c>
      <c r="AC3" t="n">
        <v>210.84</v>
      </c>
      <c r="AF3" t="n">
        <v>41.88</v>
      </c>
      <c r="AG3" t="inlineStr">
        <is>
          <t>Direct Seeding (Furrow Method on Raised Beds)</t>
        </is>
      </c>
      <c r="AH3" t="inlineStr">
        <is>
          <t>Deep Tillage (25 cm): 1–2 plowings; form raised beds 20–25 cm high to prevent waterlogging</t>
        </is>
      </c>
      <c r="AI3" t="inlineStr">
        <is>
          <t>Furrow irrigation only (not flood); ensure bed drainage; drain excess after rain</t>
        </is>
      </c>
      <c r="AJ3" t="n">
        <v>41.88</v>
      </c>
      <c r="AK3" t="n">
        <v>343.79</v>
      </c>
      <c r="AL3" t="n">
        <v>8.210000000000001</v>
      </c>
      <c r="AM3" t="inlineStr">
        <is>
          <t>No</t>
        </is>
      </c>
      <c r="AN3" t="inlineStr">
        <is>
          <t>Observed harvest</t>
        </is>
      </c>
    </row>
    <row r="4">
      <c r="A4" t="inlineStr">
        <is>
          <t>Corn</t>
        </is>
      </c>
      <c r="B4" t="inlineStr">
        <is>
          <t>Bugayong</t>
        </is>
      </c>
      <c r="C4" t="inlineStr">
        <is>
          <t>DS 2020-2021</t>
        </is>
      </c>
      <c r="D4" t="inlineStr">
        <is>
          <t>November</t>
        </is>
      </c>
      <c r="E4" t="inlineStr">
        <is>
          <t>2020</t>
        </is>
      </c>
      <c r="F4" t="inlineStr">
        <is>
          <t>March</t>
        </is>
      </c>
      <c r="G4" t="inlineStr">
        <is>
          <t>2021</t>
        </is>
      </c>
      <c r="H4" t="n">
        <v>8.73</v>
      </c>
      <c r="I4" t="n">
        <v>25.81</v>
      </c>
      <c r="J4" t="n">
        <v>19.74</v>
      </c>
      <c r="K4" t="n">
        <v>31.57</v>
      </c>
      <c r="L4" t="n">
        <v>84.84</v>
      </c>
      <c r="M4" t="n">
        <v>98.31999999999999</v>
      </c>
      <c r="N4" t="n">
        <v>15.39</v>
      </c>
      <c r="O4" t="n">
        <v>2.28</v>
      </c>
      <c r="P4" t="n">
        <v>26.34</v>
      </c>
      <c r="Q4" t="n">
        <v>18.92</v>
      </c>
      <c r="R4" t="n">
        <v>34.3</v>
      </c>
      <c r="S4" t="n">
        <v>78.14</v>
      </c>
      <c r="T4" t="n">
        <v>98.45999999999999</v>
      </c>
      <c r="U4" t="n">
        <v>21.32</v>
      </c>
      <c r="V4" t="inlineStr">
        <is>
          <t>Type I – Tropical Monsoon (PAGASA)</t>
        </is>
      </c>
      <c r="W4" t="inlineStr">
        <is>
          <t>Dry (Cool)</t>
        </is>
      </c>
      <c r="X4" t="inlineStr">
        <is>
          <t>Dry (Hot)</t>
        </is>
      </c>
      <c r="Y4" t="inlineStr">
        <is>
          <t>Sandy Loam / Silty Clay Loam</t>
        </is>
      </c>
      <c r="Z4" t="inlineStr">
        <is>
          <t>Flat / Lowland</t>
        </is>
      </c>
      <c r="AA4" t="n">
        <v>30</v>
      </c>
      <c r="AB4" t="inlineStr">
        <is>
          <t>Aloragat River</t>
        </is>
      </c>
      <c r="AC4" t="n">
        <v>346.08</v>
      </c>
      <c r="AF4" t="n">
        <v>20.95</v>
      </c>
      <c r="AG4" t="inlineStr">
        <is>
          <t>Direct Seeding (Furrow or Hill Method)</t>
        </is>
      </c>
      <c r="AH4" t="inlineStr">
        <is>
          <t>Conventional Tillage: 1 deep plow + harrowing; ensure good drainage channels</t>
        </is>
      </c>
      <c r="AI4" t="inlineStr">
        <is>
          <t>Furrow irrigation; avoid waterlogging — clay fraction retains excess moisture</t>
        </is>
      </c>
      <c r="AJ4" t="n">
        <v>20.95</v>
      </c>
      <c r="AK4" t="n">
        <v>171.96</v>
      </c>
      <c r="AL4" t="n">
        <v>8.210000000000001</v>
      </c>
      <c r="AM4" t="inlineStr">
        <is>
          <t>No</t>
        </is>
      </c>
      <c r="AN4" t="inlineStr">
        <is>
          <t>Observed harvest</t>
        </is>
      </c>
    </row>
    <row r="5">
      <c r="A5" t="inlineStr">
        <is>
          <t>Corn</t>
        </is>
      </c>
      <c r="B5" t="inlineStr">
        <is>
          <t>Camanggaan</t>
        </is>
      </c>
      <c r="C5" t="inlineStr">
        <is>
          <t>DS 2020-2021</t>
        </is>
      </c>
      <c r="D5" t="inlineStr">
        <is>
          <t>November</t>
        </is>
      </c>
      <c r="E5" t="inlineStr">
        <is>
          <t>2020</t>
        </is>
      </c>
      <c r="F5" t="inlineStr">
        <is>
          <t>March</t>
        </is>
      </c>
      <c r="G5" t="inlineStr">
        <is>
          <t>2021</t>
        </is>
      </c>
      <c r="H5" t="n">
        <v>8.73</v>
      </c>
      <c r="I5" t="n">
        <v>25.81</v>
      </c>
      <c r="J5" t="n">
        <v>19.74</v>
      </c>
      <c r="K5" t="n">
        <v>31.57</v>
      </c>
      <c r="L5" t="n">
        <v>84.84</v>
      </c>
      <c r="M5" t="n">
        <v>98.31999999999999</v>
      </c>
      <c r="N5" t="n">
        <v>15.39</v>
      </c>
      <c r="O5" t="n">
        <v>2.28</v>
      </c>
      <c r="P5" t="n">
        <v>26.34</v>
      </c>
      <c r="Q5" t="n">
        <v>18.92</v>
      </c>
      <c r="R5" t="n">
        <v>34.3</v>
      </c>
      <c r="S5" t="n">
        <v>78.14</v>
      </c>
      <c r="T5" t="n">
        <v>98.45999999999999</v>
      </c>
      <c r="U5" t="n">
        <v>21.32</v>
      </c>
      <c r="V5" t="inlineStr">
        <is>
          <t>Type I – Tropical Monsoon (PAGASA)</t>
        </is>
      </c>
      <c r="W5" t="inlineStr">
        <is>
          <t>Dry (Cool)</t>
        </is>
      </c>
      <c r="X5" t="inlineStr">
        <is>
          <t>Dry (Hot)</t>
        </is>
      </c>
      <c r="Y5" t="inlineStr">
        <is>
          <t>Sandy Loam</t>
        </is>
      </c>
      <c r="Z5" t="inlineStr">
        <is>
          <t>Flat / Lowland</t>
        </is>
      </c>
      <c r="AA5" t="n">
        <v>30</v>
      </c>
      <c r="AB5" t="inlineStr">
        <is>
          <t>—</t>
        </is>
      </c>
      <c r="AC5" t="n">
        <v>244.44</v>
      </c>
      <c r="AF5" t="n">
        <v>24.2</v>
      </c>
      <c r="AG5" t="inlineStr">
        <is>
          <t>Direct Seeding (Hill Planting / Furrow Method)</t>
        </is>
      </c>
      <c r="AH5" t="inlineStr">
        <is>
          <t>Conventional Tillage: 1 deep plow (20–25 cm) + 1 harrowing; good tilth easily achieved</t>
        </is>
      </c>
      <c r="AI5" t="inlineStr">
        <is>
          <t>Furrow or sprinkler irrigation; AWD or weekly irrigation; good drainage natural</t>
        </is>
      </c>
      <c r="AJ5" t="n">
        <v>24.2</v>
      </c>
      <c r="AK5" t="n">
        <v>198.64</v>
      </c>
      <c r="AL5" t="n">
        <v>8.210000000000001</v>
      </c>
      <c r="AM5" t="inlineStr">
        <is>
          <t>No</t>
        </is>
      </c>
      <c r="AN5" t="inlineStr">
        <is>
          <t>Observed harvest</t>
        </is>
      </c>
    </row>
    <row r="6">
      <c r="A6" t="inlineStr">
        <is>
          <t>Corn</t>
        </is>
      </c>
      <c r="B6" t="inlineStr">
        <is>
          <t>Capas</t>
        </is>
      </c>
      <c r="C6" t="inlineStr">
        <is>
          <t>DS 2020-2021</t>
        </is>
      </c>
      <c r="D6" t="inlineStr">
        <is>
          <t>November</t>
        </is>
      </c>
      <c r="E6" t="inlineStr">
        <is>
          <t>2020</t>
        </is>
      </c>
      <c r="F6" t="inlineStr">
        <is>
          <t>March</t>
        </is>
      </c>
      <c r="G6" t="inlineStr">
        <is>
          <t>2021</t>
        </is>
      </c>
      <c r="H6" t="n">
        <v>8.73</v>
      </c>
      <c r="I6" t="n">
        <v>25.81</v>
      </c>
      <c r="J6" t="n">
        <v>19.74</v>
      </c>
      <c r="K6" t="n">
        <v>31.57</v>
      </c>
      <c r="L6" t="n">
        <v>84.84</v>
      </c>
      <c r="M6" t="n">
        <v>98.31999999999999</v>
      </c>
      <c r="N6" t="n">
        <v>15.39</v>
      </c>
      <c r="O6" t="n">
        <v>2.28</v>
      </c>
      <c r="P6" t="n">
        <v>26.34</v>
      </c>
      <c r="Q6" t="n">
        <v>18.92</v>
      </c>
      <c r="R6" t="n">
        <v>34.3</v>
      </c>
      <c r="S6" t="n">
        <v>78.14</v>
      </c>
      <c r="T6" t="n">
        <v>98.45999999999999</v>
      </c>
      <c r="U6" t="n">
        <v>21.32</v>
      </c>
      <c r="V6" t="inlineStr">
        <is>
          <t>Type I – Tropical Monsoon (PAGASA)</t>
        </is>
      </c>
      <c r="W6" t="inlineStr">
        <is>
          <t>Dry (Cool)</t>
        </is>
      </c>
      <c r="X6" t="inlineStr">
        <is>
          <t>Dry (Hot)</t>
        </is>
      </c>
      <c r="Y6" t="inlineStr">
        <is>
          <t>Sandy Loam</t>
        </is>
      </c>
      <c r="Z6" t="inlineStr">
        <is>
          <t>Flat / Lowland</t>
        </is>
      </c>
      <c r="AA6" t="n">
        <v>30</v>
      </c>
      <c r="AB6" t="inlineStr">
        <is>
          <t>—</t>
        </is>
      </c>
      <c r="AC6" t="n">
        <v>377.16</v>
      </c>
      <c r="AF6" t="n">
        <v>101.05</v>
      </c>
      <c r="AG6" t="inlineStr">
        <is>
          <t>Direct Seeding (Hill Planting / Furrow Method)</t>
        </is>
      </c>
      <c r="AH6" t="inlineStr">
        <is>
          <t>Conventional Tillage: 1 deep plow (20–25 cm) + 1 harrowing; good tilth easily achieved</t>
        </is>
      </c>
      <c r="AI6" t="inlineStr">
        <is>
          <t>Furrow or sprinkler irrigation; AWD or weekly irrigation; good drainage natural</t>
        </is>
      </c>
      <c r="AJ6" t="n">
        <v>101.05</v>
      </c>
      <c r="AK6" t="n">
        <v>829.49</v>
      </c>
      <c r="AL6" t="n">
        <v>8.210000000000001</v>
      </c>
      <c r="AM6" t="inlineStr">
        <is>
          <t>No</t>
        </is>
      </c>
      <c r="AN6" t="inlineStr">
        <is>
          <t>Observed harvest</t>
        </is>
      </c>
    </row>
    <row r="7">
      <c r="A7" t="inlineStr">
        <is>
          <t>Corn</t>
        </is>
      </c>
      <c r="B7" t="inlineStr">
        <is>
          <t>Cili</t>
        </is>
      </c>
      <c r="C7" t="inlineStr">
        <is>
          <t>DS 2020-2021</t>
        </is>
      </c>
      <c r="D7" t="inlineStr">
        <is>
          <t>November</t>
        </is>
      </c>
      <c r="E7" t="inlineStr">
        <is>
          <t>2020</t>
        </is>
      </c>
      <c r="F7" t="inlineStr">
        <is>
          <t>March</t>
        </is>
      </c>
      <c r="G7" t="inlineStr">
        <is>
          <t>2021</t>
        </is>
      </c>
      <c r="H7" t="n">
        <v>8.73</v>
      </c>
      <c r="I7" t="n">
        <v>25.81</v>
      </c>
      <c r="J7" t="n">
        <v>19.74</v>
      </c>
      <c r="K7" t="n">
        <v>31.57</v>
      </c>
      <c r="L7" t="n">
        <v>84.84</v>
      </c>
      <c r="M7" t="n">
        <v>98.31999999999999</v>
      </c>
      <c r="N7" t="n">
        <v>15.39</v>
      </c>
      <c r="O7" t="n">
        <v>2.28</v>
      </c>
      <c r="P7" t="n">
        <v>26.34</v>
      </c>
      <c r="Q7" t="n">
        <v>18.92</v>
      </c>
      <c r="R7" t="n">
        <v>34.3</v>
      </c>
      <c r="S7" t="n">
        <v>78.14</v>
      </c>
      <c r="T7" t="n">
        <v>98.45999999999999</v>
      </c>
      <c r="U7" t="n">
        <v>21.32</v>
      </c>
      <c r="V7" t="inlineStr">
        <is>
          <t>Type I – Tropical Monsoon (PAGASA)</t>
        </is>
      </c>
      <c r="W7" t="inlineStr">
        <is>
          <t>Dry (Cool)</t>
        </is>
      </c>
      <c r="X7" t="inlineStr">
        <is>
          <t>Dry (Hot)</t>
        </is>
      </c>
      <c r="Y7" t="inlineStr">
        <is>
          <t>Silty Clay Loam</t>
        </is>
      </c>
      <c r="Z7" t="inlineStr">
        <is>
          <t>Flat / Lowland</t>
        </is>
      </c>
      <c r="AA7" t="n">
        <v>30</v>
      </c>
      <c r="AB7" t="inlineStr">
        <is>
          <t>Alibeng River</t>
        </is>
      </c>
      <c r="AC7" t="n">
        <v>264.6</v>
      </c>
      <c r="AF7" t="n">
        <v>53.13</v>
      </c>
      <c r="AG7" t="inlineStr">
        <is>
          <t>Direct Seeding (Furrow Method on Raised Beds)</t>
        </is>
      </c>
      <c r="AH7" t="inlineStr">
        <is>
          <t>Deep Tillage (25 cm): 1–2 plowings; form raised beds 20–25 cm high to prevent waterlogging</t>
        </is>
      </c>
      <c r="AI7" t="inlineStr">
        <is>
          <t>Furrow irrigation only (not flood); ensure bed drainage; drain excess after rain</t>
        </is>
      </c>
      <c r="AJ7" t="n">
        <v>53.13</v>
      </c>
      <c r="AK7" t="n">
        <v>436.13</v>
      </c>
      <c r="AL7" t="n">
        <v>8.210000000000001</v>
      </c>
      <c r="AM7" t="inlineStr">
        <is>
          <t>No</t>
        </is>
      </c>
      <c r="AN7" t="inlineStr">
        <is>
          <t>Observed harvest</t>
        </is>
      </c>
    </row>
    <row r="8">
      <c r="A8" t="inlineStr">
        <is>
          <t>Corn</t>
        </is>
      </c>
      <c r="B8" t="inlineStr">
        <is>
          <t>Dumayat</t>
        </is>
      </c>
      <c r="C8" t="inlineStr">
        <is>
          <t>DS 2020-2021</t>
        </is>
      </c>
      <c r="D8" t="inlineStr">
        <is>
          <t>November</t>
        </is>
      </c>
      <c r="E8" t="inlineStr">
        <is>
          <t>2020</t>
        </is>
      </c>
      <c r="F8" t="inlineStr">
        <is>
          <t>March</t>
        </is>
      </c>
      <c r="G8" t="inlineStr">
        <is>
          <t>2021</t>
        </is>
      </c>
      <c r="H8" t="n">
        <v>8.73</v>
      </c>
      <c r="I8" t="n">
        <v>25.81</v>
      </c>
      <c r="J8" t="n">
        <v>19.74</v>
      </c>
      <c r="K8" t="n">
        <v>31.57</v>
      </c>
      <c r="L8" t="n">
        <v>84.84</v>
      </c>
      <c r="M8" t="n">
        <v>98.31999999999999</v>
      </c>
      <c r="N8" t="n">
        <v>15.39</v>
      </c>
      <c r="O8" t="n">
        <v>2.28</v>
      </c>
      <c r="P8" t="n">
        <v>26.34</v>
      </c>
      <c r="Q8" t="n">
        <v>18.92</v>
      </c>
      <c r="R8" t="n">
        <v>34.3</v>
      </c>
      <c r="S8" t="n">
        <v>78.14</v>
      </c>
      <c r="T8" t="n">
        <v>98.45999999999999</v>
      </c>
      <c r="U8" t="n">
        <v>21.32</v>
      </c>
      <c r="V8" t="inlineStr">
        <is>
          <t>Type I – Tropical Monsoon (PAGASA)</t>
        </is>
      </c>
      <c r="W8" t="inlineStr">
        <is>
          <t>Dry (Cool)</t>
        </is>
      </c>
      <c r="X8" t="inlineStr">
        <is>
          <t>Dry (Hot)</t>
        </is>
      </c>
      <c r="Y8" t="inlineStr">
        <is>
          <t>Silty Clay Loam</t>
        </is>
      </c>
      <c r="Z8" t="inlineStr">
        <is>
          <t>Flat / Lowland</t>
        </is>
      </c>
      <c r="AA8" t="n">
        <v>30</v>
      </c>
      <c r="AB8" t="inlineStr">
        <is>
          <t>—</t>
        </is>
      </c>
      <c r="AC8" t="n">
        <v>266.28</v>
      </c>
      <c r="AF8" t="n">
        <v>32.69</v>
      </c>
      <c r="AG8" t="inlineStr">
        <is>
          <t>Direct Seeding (Furrow Method on Raised Beds)</t>
        </is>
      </c>
      <c r="AH8" t="inlineStr">
        <is>
          <t>Deep Tillage (25 cm): 1–2 plowings; form raised beds 20–25 cm high to prevent waterlogging</t>
        </is>
      </c>
      <c r="AI8" t="inlineStr">
        <is>
          <t>Furrow irrigation only (not flood); ensure bed drainage; drain excess after rain</t>
        </is>
      </c>
      <c r="AJ8" t="n">
        <v>32.69</v>
      </c>
      <c r="AK8" t="n">
        <v>268.36</v>
      </c>
      <c r="AL8" t="n">
        <v>8.210000000000001</v>
      </c>
      <c r="AM8" t="inlineStr">
        <is>
          <t>No</t>
        </is>
      </c>
      <c r="AN8" t="inlineStr">
        <is>
          <t>Observed harvest</t>
        </is>
      </c>
    </row>
    <row r="9">
      <c r="A9" t="inlineStr">
        <is>
          <t>Corn</t>
        </is>
      </c>
      <c r="B9" t="inlineStr">
        <is>
          <t>Linmansangan</t>
        </is>
      </c>
      <c r="C9" t="inlineStr">
        <is>
          <t>DS 2020-2021</t>
        </is>
      </c>
      <c r="D9" t="inlineStr">
        <is>
          <t>November</t>
        </is>
      </c>
      <c r="E9" t="inlineStr">
        <is>
          <t>2020</t>
        </is>
      </c>
      <c r="F9" t="inlineStr">
        <is>
          <t>March</t>
        </is>
      </c>
      <c r="G9" t="inlineStr">
        <is>
          <t>2021</t>
        </is>
      </c>
      <c r="H9" t="n">
        <v>8.73</v>
      </c>
      <c r="I9" t="n">
        <v>25.81</v>
      </c>
      <c r="J9" t="n">
        <v>19.74</v>
      </c>
      <c r="K9" t="n">
        <v>31.57</v>
      </c>
      <c r="L9" t="n">
        <v>84.84</v>
      </c>
      <c r="M9" t="n">
        <v>98.31999999999999</v>
      </c>
      <c r="N9" t="n">
        <v>15.39</v>
      </c>
      <c r="O9" t="n">
        <v>2.28</v>
      </c>
      <c r="P9" t="n">
        <v>26.34</v>
      </c>
      <c r="Q9" t="n">
        <v>18.92</v>
      </c>
      <c r="R9" t="n">
        <v>34.3</v>
      </c>
      <c r="S9" t="n">
        <v>78.14</v>
      </c>
      <c r="T9" t="n">
        <v>98.45999999999999</v>
      </c>
      <c r="U9" t="n">
        <v>21.32</v>
      </c>
      <c r="V9" t="inlineStr">
        <is>
          <t>Type I – Tropical Monsoon (PAGASA)</t>
        </is>
      </c>
      <c r="W9" t="inlineStr">
        <is>
          <t>Dry (Cool)</t>
        </is>
      </c>
      <c r="X9" t="inlineStr">
        <is>
          <t>Dry (Hot)</t>
        </is>
      </c>
      <c r="Y9" t="inlineStr">
        <is>
          <t>Silty Clay Loam</t>
        </is>
      </c>
      <c r="Z9" t="inlineStr">
        <is>
          <t>Flat / Lowland</t>
        </is>
      </c>
      <c r="AA9" t="n">
        <v>30</v>
      </c>
      <c r="AB9" t="inlineStr">
        <is>
          <t>—</t>
        </is>
      </c>
      <c r="AC9" t="n">
        <v>492.24</v>
      </c>
      <c r="AF9" t="n">
        <v>79.8</v>
      </c>
      <c r="AG9" t="inlineStr">
        <is>
          <t>Direct Seeding (Furrow Method on Raised Beds)</t>
        </is>
      </c>
      <c r="AH9" t="inlineStr">
        <is>
          <t>Deep Tillage (25 cm): 1–2 plowings; form raised beds 20–25 cm high to prevent waterlogging</t>
        </is>
      </c>
      <c r="AI9" t="inlineStr">
        <is>
          <t>Furrow irrigation only (not flood); ensure bed drainage; drain excess after rain</t>
        </is>
      </c>
      <c r="AJ9" t="n">
        <v>79.8</v>
      </c>
      <c r="AK9" t="n">
        <v>655.03</v>
      </c>
      <c r="AL9" t="n">
        <v>8.210000000000001</v>
      </c>
      <c r="AM9" t="inlineStr">
        <is>
          <t>No</t>
        </is>
      </c>
      <c r="AN9" t="inlineStr">
        <is>
          <t>Observed harvest</t>
        </is>
      </c>
    </row>
    <row r="10">
      <c r="A10" t="inlineStr">
        <is>
          <t>Corn</t>
        </is>
      </c>
      <c r="B10" t="inlineStr">
        <is>
          <t>Mangkasuy</t>
        </is>
      </c>
      <c r="C10" t="inlineStr">
        <is>
          <t>DS 2020-2021</t>
        </is>
      </c>
      <c r="D10" t="inlineStr">
        <is>
          <t>November</t>
        </is>
      </c>
      <c r="E10" t="inlineStr">
        <is>
          <t>2020</t>
        </is>
      </c>
      <c r="F10" t="inlineStr">
        <is>
          <t>March</t>
        </is>
      </c>
      <c r="G10" t="inlineStr">
        <is>
          <t>2021</t>
        </is>
      </c>
      <c r="H10" t="n">
        <v>8.73</v>
      </c>
      <c r="I10" t="n">
        <v>25.81</v>
      </c>
      <c r="J10" t="n">
        <v>19.74</v>
      </c>
      <c r="K10" t="n">
        <v>31.57</v>
      </c>
      <c r="L10" t="n">
        <v>84.84</v>
      </c>
      <c r="M10" t="n">
        <v>98.31999999999999</v>
      </c>
      <c r="N10" t="n">
        <v>15.39</v>
      </c>
      <c r="O10" t="n">
        <v>2.28</v>
      </c>
      <c r="P10" t="n">
        <v>26.34</v>
      </c>
      <c r="Q10" t="n">
        <v>18.92</v>
      </c>
      <c r="R10" t="n">
        <v>34.3</v>
      </c>
      <c r="S10" t="n">
        <v>78.14</v>
      </c>
      <c r="T10" t="n">
        <v>98.45999999999999</v>
      </c>
      <c r="U10" t="n">
        <v>21.32</v>
      </c>
      <c r="V10" t="inlineStr">
        <is>
          <t>Type I – Tropical Monsoon (PAGASA)</t>
        </is>
      </c>
      <c r="W10" t="inlineStr">
        <is>
          <t>Dry (Cool)</t>
        </is>
      </c>
      <c r="X10" t="inlineStr">
        <is>
          <t>Dry (Hot)</t>
        </is>
      </c>
      <c r="Y10" t="inlineStr">
        <is>
          <t>Sandy Loam</t>
        </is>
      </c>
      <c r="Z10" t="inlineStr">
        <is>
          <t>Flat / Lowland</t>
        </is>
      </c>
      <c r="AA10" t="n">
        <v>30</v>
      </c>
      <c r="AB10" t="inlineStr">
        <is>
          <t>Tagamusing River</t>
        </is>
      </c>
      <c r="AC10" t="n">
        <v>802.2</v>
      </c>
      <c r="AF10" t="n">
        <v>90.86</v>
      </c>
      <c r="AG10" t="inlineStr">
        <is>
          <t>Direct Seeding (Hill Planting / Furrow Method)</t>
        </is>
      </c>
      <c r="AH10" t="inlineStr">
        <is>
          <t>Conventional Tillage: 1 deep plow (20–25 cm) + 1 harrowing; good tilth easily achieved</t>
        </is>
      </c>
      <c r="AI10" t="inlineStr">
        <is>
          <t>Furrow or sprinkler irrigation; AWD or weekly irrigation; good drainage natural</t>
        </is>
      </c>
      <c r="AJ10" t="n">
        <v>90.86</v>
      </c>
      <c r="AK10" t="n">
        <v>745.83</v>
      </c>
      <c r="AL10" t="n">
        <v>8.210000000000001</v>
      </c>
      <c r="AM10" t="inlineStr">
        <is>
          <t>No</t>
        </is>
      </c>
      <c r="AN10" t="inlineStr">
        <is>
          <t>Observed harvest</t>
        </is>
      </c>
    </row>
    <row r="11">
      <c r="A11" t="inlineStr">
        <is>
          <t>Corn</t>
        </is>
      </c>
      <c r="B11" t="inlineStr">
        <is>
          <t>Moreno</t>
        </is>
      </c>
      <c r="C11" t="inlineStr">
        <is>
          <t>DS 2020-2021</t>
        </is>
      </c>
      <c r="D11" t="inlineStr">
        <is>
          <t>November</t>
        </is>
      </c>
      <c r="E11" t="inlineStr">
        <is>
          <t>2020</t>
        </is>
      </c>
      <c r="F11" t="inlineStr">
        <is>
          <t>March</t>
        </is>
      </c>
      <c r="G11" t="inlineStr">
        <is>
          <t>2021</t>
        </is>
      </c>
      <c r="H11" t="n">
        <v>8.73</v>
      </c>
      <c r="I11" t="n">
        <v>25.81</v>
      </c>
      <c r="J11" t="n">
        <v>19.74</v>
      </c>
      <c r="K11" t="n">
        <v>31.57</v>
      </c>
      <c r="L11" t="n">
        <v>84.84</v>
      </c>
      <c r="M11" t="n">
        <v>98.31999999999999</v>
      </c>
      <c r="N11" t="n">
        <v>15.39</v>
      </c>
      <c r="O11" t="n">
        <v>2.28</v>
      </c>
      <c r="P11" t="n">
        <v>26.34</v>
      </c>
      <c r="Q11" t="n">
        <v>18.92</v>
      </c>
      <c r="R11" t="n">
        <v>34.3</v>
      </c>
      <c r="S11" t="n">
        <v>78.14</v>
      </c>
      <c r="T11" t="n">
        <v>98.45999999999999</v>
      </c>
      <c r="U11" t="n">
        <v>21.32</v>
      </c>
      <c r="V11" t="inlineStr">
        <is>
          <t>Type I – Tropical Monsoon (PAGASA)</t>
        </is>
      </c>
      <c r="W11" t="inlineStr">
        <is>
          <t>Dry (Cool)</t>
        </is>
      </c>
      <c r="X11" t="inlineStr">
        <is>
          <t>Dry (Hot)</t>
        </is>
      </c>
      <c r="Y11" t="inlineStr">
        <is>
          <t>Sandy Loam</t>
        </is>
      </c>
      <c r="Z11" t="inlineStr">
        <is>
          <t>Moderately Sloping / Highland</t>
        </is>
      </c>
      <c r="AA11" t="n">
        <v>90</v>
      </c>
      <c r="AB11" t="inlineStr">
        <is>
          <t>Alibeng River</t>
        </is>
      </c>
      <c r="AC11" t="n">
        <v>641.76</v>
      </c>
      <c r="AF11" t="n">
        <v>56.91</v>
      </c>
      <c r="AG11" t="inlineStr">
        <is>
          <t>Direct Seeding (Hill Planting / Furrow Method)</t>
        </is>
      </c>
      <c r="AH11" t="inlineStr">
        <is>
          <t>Conventional Tillage: 1 deep plow (20–25 cm) + 1 harrowing; good tilth easily achieved</t>
        </is>
      </c>
      <c r="AI11" t="inlineStr">
        <is>
          <t>Furrow or sprinkler irrigation; AWD or weekly irrigation; good drainage natural</t>
        </is>
      </c>
      <c r="AJ11" t="n">
        <v>56.91</v>
      </c>
      <c r="AK11" t="n">
        <v>467.12</v>
      </c>
      <c r="AL11" t="n">
        <v>8.210000000000001</v>
      </c>
      <c r="AM11" t="inlineStr">
        <is>
          <t>No</t>
        </is>
      </c>
      <c r="AN11" t="inlineStr">
        <is>
          <t>Observed harvest</t>
        </is>
      </c>
    </row>
    <row r="12">
      <c r="A12" t="inlineStr">
        <is>
          <t>Corn</t>
        </is>
      </c>
      <c r="B12" t="inlineStr">
        <is>
          <t>Pasileng Norte</t>
        </is>
      </c>
      <c r="C12" t="inlineStr">
        <is>
          <t>DS 2020-2021</t>
        </is>
      </c>
      <c r="D12" t="inlineStr">
        <is>
          <t>November</t>
        </is>
      </c>
      <c r="E12" t="inlineStr">
        <is>
          <t>2020</t>
        </is>
      </c>
      <c r="F12" t="inlineStr">
        <is>
          <t>March</t>
        </is>
      </c>
      <c r="G12" t="inlineStr">
        <is>
          <t>2021</t>
        </is>
      </c>
      <c r="H12" t="n">
        <v>8.73</v>
      </c>
      <c r="I12" t="n">
        <v>25.81</v>
      </c>
      <c r="J12" t="n">
        <v>19.74</v>
      </c>
      <c r="K12" t="n">
        <v>31.57</v>
      </c>
      <c r="L12" t="n">
        <v>84.84</v>
      </c>
      <c r="M12" t="n">
        <v>98.31999999999999</v>
      </c>
      <c r="N12" t="n">
        <v>15.39</v>
      </c>
      <c r="O12" t="n">
        <v>2.28</v>
      </c>
      <c r="P12" t="n">
        <v>26.34</v>
      </c>
      <c r="Q12" t="n">
        <v>18.92</v>
      </c>
      <c r="R12" t="n">
        <v>34.3</v>
      </c>
      <c r="S12" t="n">
        <v>78.14</v>
      </c>
      <c r="T12" t="n">
        <v>98.45999999999999</v>
      </c>
      <c r="U12" t="n">
        <v>21.32</v>
      </c>
      <c r="V12" t="inlineStr">
        <is>
          <t>Type I – Tropical Monsoon (PAGASA)</t>
        </is>
      </c>
      <c r="W12" t="inlineStr">
        <is>
          <t>Dry (Cool)</t>
        </is>
      </c>
      <c r="X12" t="inlineStr">
        <is>
          <t>Dry (Hot)</t>
        </is>
      </c>
      <c r="Y12" t="inlineStr">
        <is>
          <t>Sandy Loam</t>
        </is>
      </c>
      <c r="Z12" t="inlineStr">
        <is>
          <t>Flat / Lowland</t>
        </is>
      </c>
      <c r="AA12" t="n">
        <v>30</v>
      </c>
      <c r="AB12" t="inlineStr">
        <is>
          <t>Tagamusing River</t>
        </is>
      </c>
      <c r="AC12" t="n">
        <v>140.28</v>
      </c>
      <c r="AF12" t="n">
        <v>35.8</v>
      </c>
      <c r="AG12" t="inlineStr">
        <is>
          <t>Direct Seeding (Hill Planting / Furrow Method)</t>
        </is>
      </c>
      <c r="AH12" t="inlineStr">
        <is>
          <t>Conventional Tillage: 1 deep plow (20–25 cm) + 1 harrowing; good tilth easily achieved</t>
        </is>
      </c>
      <c r="AI12" t="inlineStr">
        <is>
          <t>Furrow or sprinkler irrigation; AWD or weekly irrigation; good drainage natural</t>
        </is>
      </c>
      <c r="AJ12" t="n">
        <v>35.8</v>
      </c>
      <c r="AK12" t="n">
        <v>293.9</v>
      </c>
      <c r="AL12" t="n">
        <v>8.210000000000001</v>
      </c>
      <c r="AM12" t="inlineStr">
        <is>
          <t>No</t>
        </is>
      </c>
      <c r="AN12" t="inlineStr">
        <is>
          <t>Observed harvest</t>
        </is>
      </c>
    </row>
    <row r="13">
      <c r="A13" t="inlineStr">
        <is>
          <t>Corn</t>
        </is>
      </c>
      <c r="B13" t="inlineStr">
        <is>
          <t>Pasileng Sur</t>
        </is>
      </c>
      <c r="C13" t="inlineStr">
        <is>
          <t>DS 2020-2021</t>
        </is>
      </c>
      <c r="D13" t="inlineStr">
        <is>
          <t>November</t>
        </is>
      </c>
      <c r="E13" t="inlineStr">
        <is>
          <t>2020</t>
        </is>
      </c>
      <c r="F13" t="inlineStr">
        <is>
          <t>March</t>
        </is>
      </c>
      <c r="G13" t="inlineStr">
        <is>
          <t>2021</t>
        </is>
      </c>
      <c r="H13" t="n">
        <v>8.73</v>
      </c>
      <c r="I13" t="n">
        <v>25.81</v>
      </c>
      <c r="J13" t="n">
        <v>19.74</v>
      </c>
      <c r="K13" t="n">
        <v>31.57</v>
      </c>
      <c r="L13" t="n">
        <v>84.84</v>
      </c>
      <c r="M13" t="n">
        <v>98.31999999999999</v>
      </c>
      <c r="N13" t="n">
        <v>15.39</v>
      </c>
      <c r="O13" t="n">
        <v>2.28</v>
      </c>
      <c r="P13" t="n">
        <v>26.34</v>
      </c>
      <c r="Q13" t="n">
        <v>18.92</v>
      </c>
      <c r="R13" t="n">
        <v>34.3</v>
      </c>
      <c r="S13" t="n">
        <v>78.14</v>
      </c>
      <c r="T13" t="n">
        <v>98.45999999999999</v>
      </c>
      <c r="U13" t="n">
        <v>21.32</v>
      </c>
      <c r="V13" t="inlineStr">
        <is>
          <t>Type I – Tropical Monsoon (PAGASA)</t>
        </is>
      </c>
      <c r="W13" t="inlineStr">
        <is>
          <t>Dry (Cool)</t>
        </is>
      </c>
      <c r="X13" t="inlineStr">
        <is>
          <t>Dry (Hot)</t>
        </is>
      </c>
      <c r="Y13" t="inlineStr">
        <is>
          <t>Sandy Loam</t>
        </is>
      </c>
      <c r="Z13" t="inlineStr">
        <is>
          <t>Flat / Lowland</t>
        </is>
      </c>
      <c r="AA13" t="n">
        <v>30</v>
      </c>
      <c r="AB13" t="inlineStr">
        <is>
          <t>Tagamusing River</t>
        </is>
      </c>
      <c r="AC13" t="n">
        <v>414.96</v>
      </c>
      <c r="AF13" t="n">
        <v>68.68000000000001</v>
      </c>
      <c r="AG13" t="inlineStr">
        <is>
          <t>Direct Seeding (Hill Planting / Furrow Method)</t>
        </is>
      </c>
      <c r="AH13" t="inlineStr">
        <is>
          <t>Conventional Tillage: 1 deep plow (20–25 cm) + 1 harrowing; good tilth easily achieved</t>
        </is>
      </c>
      <c r="AI13" t="inlineStr">
        <is>
          <t>Furrow or sprinkler irrigation; AWD or weekly irrigation; good drainage natural</t>
        </is>
      </c>
      <c r="AJ13" t="n">
        <v>68.68000000000001</v>
      </c>
      <c r="AK13" t="n">
        <v>563.72</v>
      </c>
      <c r="AL13" t="n">
        <v>8.210000000000001</v>
      </c>
      <c r="AM13" t="inlineStr">
        <is>
          <t>No</t>
        </is>
      </c>
      <c r="AN13" t="inlineStr">
        <is>
          <t>Observed harvest</t>
        </is>
      </c>
    </row>
    <row r="14">
      <c r="A14" t="inlineStr">
        <is>
          <t>Corn</t>
        </is>
      </c>
      <c r="B14" t="inlineStr">
        <is>
          <t>San Felipe Central</t>
        </is>
      </c>
      <c r="C14" t="inlineStr">
        <is>
          <t>DS 2020-2021</t>
        </is>
      </c>
      <c r="D14" t="inlineStr">
        <is>
          <t>November</t>
        </is>
      </c>
      <c r="E14" t="inlineStr">
        <is>
          <t>2020</t>
        </is>
      </c>
      <c r="F14" t="inlineStr">
        <is>
          <t>March</t>
        </is>
      </c>
      <c r="G14" t="inlineStr">
        <is>
          <t>2021</t>
        </is>
      </c>
      <c r="H14" t="n">
        <v>8.73</v>
      </c>
      <c r="I14" t="n">
        <v>25.81</v>
      </c>
      <c r="J14" t="n">
        <v>19.74</v>
      </c>
      <c r="K14" t="n">
        <v>31.57</v>
      </c>
      <c r="L14" t="n">
        <v>84.84</v>
      </c>
      <c r="M14" t="n">
        <v>98.31999999999999</v>
      </c>
      <c r="N14" t="n">
        <v>15.39</v>
      </c>
      <c r="O14" t="n">
        <v>2.28</v>
      </c>
      <c r="P14" t="n">
        <v>26.34</v>
      </c>
      <c r="Q14" t="n">
        <v>18.92</v>
      </c>
      <c r="R14" t="n">
        <v>34.3</v>
      </c>
      <c r="S14" t="n">
        <v>78.14</v>
      </c>
      <c r="T14" t="n">
        <v>98.45999999999999</v>
      </c>
      <c r="U14" t="n">
        <v>21.32</v>
      </c>
      <c r="V14" t="inlineStr">
        <is>
          <t>Type I – Tropical Monsoon (PAGASA)</t>
        </is>
      </c>
      <c r="W14" t="inlineStr">
        <is>
          <t>Dry (Cool)</t>
        </is>
      </c>
      <c r="X14" t="inlineStr">
        <is>
          <t>Dry (Hot)</t>
        </is>
      </c>
      <c r="Y14" t="inlineStr">
        <is>
          <t>Sandy Loam</t>
        </is>
      </c>
      <c r="Z14" t="inlineStr">
        <is>
          <t>Flat / Lowland</t>
        </is>
      </c>
      <c r="AA14" t="n">
        <v>30</v>
      </c>
      <c r="AB14" t="inlineStr">
        <is>
          <t>—</t>
        </is>
      </c>
      <c r="AC14" t="n">
        <v>452.76</v>
      </c>
      <c r="AF14" t="n">
        <v>65.3</v>
      </c>
      <c r="AG14" t="inlineStr">
        <is>
          <t>Direct Seeding (Hill Planting / Furrow Method)</t>
        </is>
      </c>
      <c r="AH14" t="inlineStr">
        <is>
          <t>Conventional Tillage: 1 deep plow (20–25 cm) + 1 harrowing; good tilth easily achieved</t>
        </is>
      </c>
      <c r="AI14" t="inlineStr">
        <is>
          <t>Furrow or sprinkler irrigation; AWD or weekly irrigation; good drainage natural</t>
        </is>
      </c>
      <c r="AJ14" t="n">
        <v>65.3</v>
      </c>
      <c r="AK14" t="n">
        <v>536.03</v>
      </c>
      <c r="AL14" t="n">
        <v>8.210000000000001</v>
      </c>
      <c r="AM14" t="inlineStr">
        <is>
          <t>No</t>
        </is>
      </c>
      <c r="AN14" t="inlineStr">
        <is>
          <t>Observed harvest</t>
        </is>
      </c>
    </row>
    <row r="15">
      <c r="A15" t="inlineStr">
        <is>
          <t>Corn</t>
        </is>
      </c>
      <c r="B15" t="inlineStr">
        <is>
          <t>San Felipe Sur</t>
        </is>
      </c>
      <c r="C15" t="inlineStr">
        <is>
          <t>DS 2020-2021</t>
        </is>
      </c>
      <c r="D15" t="inlineStr">
        <is>
          <t>November</t>
        </is>
      </c>
      <c r="E15" t="inlineStr">
        <is>
          <t>2020</t>
        </is>
      </c>
      <c r="F15" t="inlineStr">
        <is>
          <t>March</t>
        </is>
      </c>
      <c r="G15" t="inlineStr">
        <is>
          <t>2021</t>
        </is>
      </c>
      <c r="H15" t="n">
        <v>8.73</v>
      </c>
      <c r="I15" t="n">
        <v>25.81</v>
      </c>
      <c r="J15" t="n">
        <v>19.74</v>
      </c>
      <c r="K15" t="n">
        <v>31.57</v>
      </c>
      <c r="L15" t="n">
        <v>84.84</v>
      </c>
      <c r="M15" t="n">
        <v>98.31999999999999</v>
      </c>
      <c r="N15" t="n">
        <v>15.39</v>
      </c>
      <c r="O15" t="n">
        <v>2.28</v>
      </c>
      <c r="P15" t="n">
        <v>26.34</v>
      </c>
      <c r="Q15" t="n">
        <v>18.92</v>
      </c>
      <c r="R15" t="n">
        <v>34.3</v>
      </c>
      <c r="S15" t="n">
        <v>78.14</v>
      </c>
      <c r="T15" t="n">
        <v>98.45999999999999</v>
      </c>
      <c r="U15" t="n">
        <v>21.32</v>
      </c>
      <c r="V15" t="inlineStr">
        <is>
          <t>Type I – Tropical Monsoon (PAGASA)</t>
        </is>
      </c>
      <c r="W15" t="inlineStr">
        <is>
          <t>Dry (Cool)</t>
        </is>
      </c>
      <c r="X15" t="inlineStr">
        <is>
          <t>Dry (Hot)</t>
        </is>
      </c>
      <c r="Y15" t="inlineStr">
        <is>
          <t>Sandy Loam</t>
        </is>
      </c>
      <c r="Z15" t="inlineStr">
        <is>
          <t>Flat / Lowland</t>
        </is>
      </c>
      <c r="AA15" t="n">
        <v>30</v>
      </c>
      <c r="AB15" t="inlineStr">
        <is>
          <t>Tagamusing River</t>
        </is>
      </c>
      <c r="AC15" t="n">
        <v>504</v>
      </c>
      <c r="AF15" t="n">
        <v>67.7</v>
      </c>
      <c r="AG15" t="inlineStr">
        <is>
          <t>Direct Seeding (Hill Planting / Furrow Method)</t>
        </is>
      </c>
      <c r="AH15" t="inlineStr">
        <is>
          <t>Conventional Tillage: 1 deep plow (20–25 cm) + 1 harrowing; good tilth easily achieved</t>
        </is>
      </c>
      <c r="AI15" t="inlineStr">
        <is>
          <t>Furrow or sprinkler irrigation; AWD or weekly irrigation; good drainage natural</t>
        </is>
      </c>
      <c r="AJ15" t="n">
        <v>67.7</v>
      </c>
      <c r="AK15" t="n">
        <v>555.73</v>
      </c>
      <c r="AL15" t="n">
        <v>8.210000000000001</v>
      </c>
      <c r="AM15" t="inlineStr">
        <is>
          <t>No</t>
        </is>
      </c>
      <c r="AN15" t="inlineStr">
        <is>
          <t>Observed harvest</t>
        </is>
      </c>
    </row>
    <row r="16">
      <c r="A16" t="inlineStr">
        <is>
          <t>Corn</t>
        </is>
      </c>
      <c r="B16" t="inlineStr">
        <is>
          <t>San Pablo</t>
        </is>
      </c>
      <c r="C16" t="inlineStr">
        <is>
          <t>DS 2020-2021</t>
        </is>
      </c>
      <c r="D16" t="inlineStr">
        <is>
          <t>November</t>
        </is>
      </c>
      <c r="E16" t="inlineStr">
        <is>
          <t>2020</t>
        </is>
      </c>
      <c r="F16" t="inlineStr">
        <is>
          <t>March</t>
        </is>
      </c>
      <c r="G16" t="inlineStr">
        <is>
          <t>2021</t>
        </is>
      </c>
      <c r="H16" t="n">
        <v>8.73</v>
      </c>
      <c r="I16" t="n">
        <v>25.81</v>
      </c>
      <c r="J16" t="n">
        <v>19.74</v>
      </c>
      <c r="K16" t="n">
        <v>31.57</v>
      </c>
      <c r="L16" t="n">
        <v>84.84</v>
      </c>
      <c r="M16" t="n">
        <v>98.31999999999999</v>
      </c>
      <c r="N16" t="n">
        <v>15.39</v>
      </c>
      <c r="O16" t="n">
        <v>2.28</v>
      </c>
      <c r="P16" t="n">
        <v>26.34</v>
      </c>
      <c r="Q16" t="n">
        <v>18.92</v>
      </c>
      <c r="R16" t="n">
        <v>34.3</v>
      </c>
      <c r="S16" t="n">
        <v>78.14</v>
      </c>
      <c r="T16" t="n">
        <v>98.45999999999999</v>
      </c>
      <c r="U16" t="n">
        <v>21.32</v>
      </c>
      <c r="V16" t="inlineStr">
        <is>
          <t>Type I – Tropical Monsoon (PAGASA)</t>
        </is>
      </c>
      <c r="W16" t="inlineStr">
        <is>
          <t>Dry (Cool)</t>
        </is>
      </c>
      <c r="X16" t="inlineStr">
        <is>
          <t>Dry (Hot)</t>
        </is>
      </c>
      <c r="Y16" t="inlineStr">
        <is>
          <t>Sandy Loam</t>
        </is>
      </c>
      <c r="Z16" t="inlineStr">
        <is>
          <t>Flat / Lowland</t>
        </is>
      </c>
      <c r="AA16" t="n">
        <v>30</v>
      </c>
      <c r="AB16" t="inlineStr">
        <is>
          <t>San Pablo Creek</t>
        </is>
      </c>
      <c r="AC16" t="n">
        <v>215.04</v>
      </c>
      <c r="AF16" t="n">
        <v>52.35</v>
      </c>
      <c r="AG16" t="inlineStr">
        <is>
          <t>Direct Seeding (Hill Planting / Furrow Method)</t>
        </is>
      </c>
      <c r="AH16" t="inlineStr">
        <is>
          <t>Conventional Tillage: 1 deep plow (20–25 cm) + 1 harrowing; good tilth easily achieved</t>
        </is>
      </c>
      <c r="AI16" t="inlineStr">
        <is>
          <t>Furrow or sprinkler irrigation; AWD or weekly irrigation; good drainage natural</t>
        </is>
      </c>
      <c r="AJ16" t="n">
        <v>52.35</v>
      </c>
      <c r="AK16" t="n">
        <v>429.72</v>
      </c>
      <c r="AL16" t="n">
        <v>8.210000000000001</v>
      </c>
      <c r="AM16" t="inlineStr">
        <is>
          <t>No</t>
        </is>
      </c>
      <c r="AN16" t="inlineStr">
        <is>
          <t>Observed harvest</t>
        </is>
      </c>
    </row>
    <row r="17">
      <c r="A17" t="inlineStr">
        <is>
          <t>Corn</t>
        </is>
      </c>
      <c r="B17" t="inlineStr">
        <is>
          <t>Santiago</t>
        </is>
      </c>
      <c r="C17" t="inlineStr">
        <is>
          <t>DS 2020-2021</t>
        </is>
      </c>
      <c r="D17" t="inlineStr">
        <is>
          <t>November</t>
        </is>
      </c>
      <c r="E17" t="inlineStr">
        <is>
          <t>2020</t>
        </is>
      </c>
      <c r="F17" t="inlineStr">
        <is>
          <t>March</t>
        </is>
      </c>
      <c r="G17" t="inlineStr">
        <is>
          <t>2021</t>
        </is>
      </c>
      <c r="H17" t="n">
        <v>8.73</v>
      </c>
      <c r="I17" t="n">
        <v>25.81</v>
      </c>
      <c r="J17" t="n">
        <v>19.74</v>
      </c>
      <c r="K17" t="n">
        <v>31.57</v>
      </c>
      <c r="L17" t="n">
        <v>84.84</v>
      </c>
      <c r="M17" t="n">
        <v>98.31999999999999</v>
      </c>
      <c r="N17" t="n">
        <v>15.39</v>
      </c>
      <c r="O17" t="n">
        <v>2.28</v>
      </c>
      <c r="P17" t="n">
        <v>26.34</v>
      </c>
      <c r="Q17" t="n">
        <v>18.92</v>
      </c>
      <c r="R17" t="n">
        <v>34.3</v>
      </c>
      <c r="S17" t="n">
        <v>78.14</v>
      </c>
      <c r="T17" t="n">
        <v>98.45999999999999</v>
      </c>
      <c r="U17" t="n">
        <v>21.32</v>
      </c>
      <c r="V17" t="inlineStr">
        <is>
          <t>Type I – Tropical Monsoon (PAGASA)</t>
        </is>
      </c>
      <c r="W17" t="inlineStr">
        <is>
          <t>Dry (Cool)</t>
        </is>
      </c>
      <c r="X17" t="inlineStr">
        <is>
          <t>Dry (Hot)</t>
        </is>
      </c>
      <c r="Y17" t="inlineStr">
        <is>
          <t>Silty Clay Loam</t>
        </is>
      </c>
      <c r="Z17" t="inlineStr">
        <is>
          <t>Flat / Lowland</t>
        </is>
      </c>
      <c r="AA17" t="n">
        <v>30</v>
      </c>
      <c r="AB17" t="inlineStr">
        <is>
          <t>—</t>
        </is>
      </c>
      <c r="AC17" t="n">
        <v>283.08</v>
      </c>
      <c r="AF17" t="n">
        <v>69.48</v>
      </c>
      <c r="AG17" t="inlineStr">
        <is>
          <t>Direct Seeding (Furrow Method on Raised Beds)</t>
        </is>
      </c>
      <c r="AH17" t="inlineStr">
        <is>
          <t>Deep Tillage (25 cm): 1–2 plowings; form raised beds 20–25 cm high to prevent waterlogging</t>
        </is>
      </c>
      <c r="AI17" t="inlineStr">
        <is>
          <t>Furrow irrigation only (not flood); ensure bed drainage; drain excess after rain</t>
        </is>
      </c>
      <c r="AJ17" t="n">
        <v>69.48</v>
      </c>
      <c r="AK17" t="n">
        <v>570.26</v>
      </c>
      <c r="AL17" t="n">
        <v>8.210000000000001</v>
      </c>
      <c r="AM17" t="inlineStr">
        <is>
          <t>No</t>
        </is>
      </c>
      <c r="AN17" t="inlineStr">
        <is>
          <t>Observed harvest</t>
        </is>
      </c>
    </row>
    <row r="18">
      <c r="A18" t="inlineStr">
        <is>
          <t>Corn</t>
        </is>
      </c>
      <c r="B18" t="inlineStr">
        <is>
          <t>Sta. Catalina</t>
        </is>
      </c>
      <c r="C18" t="inlineStr">
        <is>
          <t>DS 2020-2021</t>
        </is>
      </c>
      <c r="D18" t="inlineStr">
        <is>
          <t>November</t>
        </is>
      </c>
      <c r="E18" t="inlineStr">
        <is>
          <t>2020</t>
        </is>
      </c>
      <c r="F18" t="inlineStr">
        <is>
          <t>March</t>
        </is>
      </c>
      <c r="G18" t="inlineStr">
        <is>
          <t>2021</t>
        </is>
      </c>
      <c r="H18" t="n">
        <v>8.73</v>
      </c>
      <c r="I18" t="n">
        <v>25.81</v>
      </c>
      <c r="J18" t="n">
        <v>19.74</v>
      </c>
      <c r="K18" t="n">
        <v>31.57</v>
      </c>
      <c r="L18" t="n">
        <v>84.84</v>
      </c>
      <c r="M18" t="n">
        <v>98.31999999999999</v>
      </c>
      <c r="N18" t="n">
        <v>15.39</v>
      </c>
      <c r="O18" t="n">
        <v>2.28</v>
      </c>
      <c r="P18" t="n">
        <v>26.34</v>
      </c>
      <c r="Q18" t="n">
        <v>18.92</v>
      </c>
      <c r="R18" t="n">
        <v>34.3</v>
      </c>
      <c r="S18" t="n">
        <v>78.14</v>
      </c>
      <c r="T18" t="n">
        <v>98.45999999999999</v>
      </c>
      <c r="U18" t="n">
        <v>21.32</v>
      </c>
      <c r="V18" t="inlineStr">
        <is>
          <t>Type I – Tropical Monsoon (PAGASA)</t>
        </is>
      </c>
      <c r="W18" t="inlineStr">
        <is>
          <t>Dry (Cool)</t>
        </is>
      </c>
      <c r="X18" t="inlineStr">
        <is>
          <t>Dry (Hot)</t>
        </is>
      </c>
      <c r="Y18" t="inlineStr">
        <is>
          <t>Fine Sand / Sandy Loam</t>
        </is>
      </c>
      <c r="Z18" t="inlineStr">
        <is>
          <t>Moderately Sloping / Highland</t>
        </is>
      </c>
      <c r="AA18" t="n">
        <v>90</v>
      </c>
      <c r="AB18" t="inlineStr">
        <is>
          <t>—</t>
        </is>
      </c>
      <c r="AC18" t="n">
        <v>709.8</v>
      </c>
      <c r="AF18" t="n">
        <v>79.44</v>
      </c>
      <c r="AG18" t="inlineStr">
        <is>
          <t>Direct Seeding (Hills or Furrow Method)</t>
        </is>
      </c>
      <c r="AH18" t="inlineStr">
        <is>
          <t>Minimum Tillage; deep ripping to break hardpan; avoid over-disturbance</t>
        </is>
      </c>
      <c r="AI18" t="inlineStr">
        <is>
          <t>Furrow irrigation; frequent light watering; mulch to retain soil moisture</t>
        </is>
      </c>
      <c r="AJ18" t="n">
        <v>79.44</v>
      </c>
      <c r="AK18" t="n">
        <v>652.05</v>
      </c>
      <c r="AL18" t="n">
        <v>8.210000000000001</v>
      </c>
      <c r="AM18" t="inlineStr">
        <is>
          <t>No</t>
        </is>
      </c>
      <c r="AN18" t="inlineStr">
        <is>
          <t>Observed harvest</t>
        </is>
      </c>
    </row>
    <row r="19">
      <c r="A19" t="inlineStr">
        <is>
          <t>Corn</t>
        </is>
      </c>
      <c r="B19" t="inlineStr">
        <is>
          <t>Sta. Maria Norte</t>
        </is>
      </c>
      <c r="C19" t="inlineStr">
        <is>
          <t>DS 2020-2021</t>
        </is>
      </c>
      <c r="D19" t="inlineStr">
        <is>
          <t>November</t>
        </is>
      </c>
      <c r="E19" t="inlineStr">
        <is>
          <t>2020</t>
        </is>
      </c>
      <c r="F19" t="inlineStr">
        <is>
          <t>March</t>
        </is>
      </c>
      <c r="G19" t="inlineStr">
        <is>
          <t>2021</t>
        </is>
      </c>
      <c r="H19" t="n">
        <v>8.73</v>
      </c>
      <c r="I19" t="n">
        <v>25.81</v>
      </c>
      <c r="J19" t="n">
        <v>19.74</v>
      </c>
      <c r="K19" t="n">
        <v>31.57</v>
      </c>
      <c r="L19" t="n">
        <v>84.84</v>
      </c>
      <c r="M19" t="n">
        <v>98.31999999999999</v>
      </c>
      <c r="N19" t="n">
        <v>15.39</v>
      </c>
      <c r="O19" t="n">
        <v>2.28</v>
      </c>
      <c r="P19" t="n">
        <v>26.34</v>
      </c>
      <c r="Q19" t="n">
        <v>18.92</v>
      </c>
      <c r="R19" t="n">
        <v>34.3</v>
      </c>
      <c r="S19" t="n">
        <v>78.14</v>
      </c>
      <c r="T19" t="n">
        <v>98.45999999999999</v>
      </c>
      <c r="U19" t="n">
        <v>21.32</v>
      </c>
      <c r="V19" t="inlineStr">
        <is>
          <t>Type I – Tropical Monsoon (PAGASA)</t>
        </is>
      </c>
      <c r="W19" t="inlineStr">
        <is>
          <t>Dry (Cool)</t>
        </is>
      </c>
      <c r="X19" t="inlineStr">
        <is>
          <t>Dry (Hot)</t>
        </is>
      </c>
      <c r="Y19" t="inlineStr">
        <is>
          <t>Sandy Loam</t>
        </is>
      </c>
      <c r="Z19" t="inlineStr">
        <is>
          <t>Flat / Lowland</t>
        </is>
      </c>
      <c r="AA19" t="n">
        <v>30</v>
      </c>
      <c r="AB19" t="inlineStr">
        <is>
          <t>Tagamusing River</t>
        </is>
      </c>
      <c r="AC19" t="n">
        <v>157.08</v>
      </c>
      <c r="AF19" t="n">
        <v>23.3</v>
      </c>
      <c r="AG19" t="inlineStr">
        <is>
          <t>Direct Seeding (Hill Planting / Furrow Method)</t>
        </is>
      </c>
      <c r="AH19" t="inlineStr">
        <is>
          <t>Conventional Tillage: 1 deep plow (20–25 cm) + 1 harrowing; good tilth easily achieved</t>
        </is>
      </c>
      <c r="AI19" t="inlineStr">
        <is>
          <t>Furrow or sprinkler irrigation; AWD or weekly irrigation; good drainage natural</t>
        </is>
      </c>
      <c r="AJ19" t="n">
        <v>23.3</v>
      </c>
      <c r="AK19" t="n">
        <v>191.25</v>
      </c>
      <c r="AL19" t="n">
        <v>8.210000000000001</v>
      </c>
      <c r="AM19" t="inlineStr">
        <is>
          <t>No</t>
        </is>
      </c>
      <c r="AN19" t="inlineStr">
        <is>
          <t>Observed harvest</t>
        </is>
      </c>
    </row>
    <row r="20">
      <c r="A20" t="inlineStr">
        <is>
          <t>Corn</t>
        </is>
      </c>
      <c r="B20" t="inlineStr">
        <is>
          <t>Sumabnit</t>
        </is>
      </c>
      <c r="C20" t="inlineStr">
        <is>
          <t>DS 2020-2021</t>
        </is>
      </c>
      <c r="D20" t="inlineStr">
        <is>
          <t>November</t>
        </is>
      </c>
      <c r="E20" t="inlineStr">
        <is>
          <t>2020</t>
        </is>
      </c>
      <c r="F20" t="inlineStr">
        <is>
          <t>March</t>
        </is>
      </c>
      <c r="G20" t="inlineStr">
        <is>
          <t>2021</t>
        </is>
      </c>
      <c r="H20" t="n">
        <v>8.73</v>
      </c>
      <c r="I20" t="n">
        <v>25.81</v>
      </c>
      <c r="J20" t="n">
        <v>19.74</v>
      </c>
      <c r="K20" t="n">
        <v>31.57</v>
      </c>
      <c r="L20" t="n">
        <v>84.84</v>
      </c>
      <c r="M20" t="n">
        <v>98.31999999999999</v>
      </c>
      <c r="N20" t="n">
        <v>15.39</v>
      </c>
      <c r="O20" t="n">
        <v>2.28</v>
      </c>
      <c r="P20" t="n">
        <v>26.34</v>
      </c>
      <c r="Q20" t="n">
        <v>18.92</v>
      </c>
      <c r="R20" t="n">
        <v>34.3</v>
      </c>
      <c r="S20" t="n">
        <v>78.14</v>
      </c>
      <c r="T20" t="n">
        <v>98.45999999999999</v>
      </c>
      <c r="U20" t="n">
        <v>21.32</v>
      </c>
      <c r="V20" t="inlineStr">
        <is>
          <t>Type I – Tropical Monsoon (PAGASA)</t>
        </is>
      </c>
      <c r="W20" t="inlineStr">
        <is>
          <t>Dry (Cool)</t>
        </is>
      </c>
      <c r="X20" t="inlineStr">
        <is>
          <t>Dry (Hot)</t>
        </is>
      </c>
      <c r="Y20" t="inlineStr">
        <is>
          <t>Silty Clay Loam / Fine Sandy Loam</t>
        </is>
      </c>
      <c r="Z20" t="inlineStr">
        <is>
          <t>Flat / Lowland</t>
        </is>
      </c>
      <c r="AA20" t="n">
        <v>30</v>
      </c>
      <c r="AB20" t="inlineStr">
        <is>
          <t>Tagamusing River</t>
        </is>
      </c>
      <c r="AC20" t="n">
        <v>406.56</v>
      </c>
      <c r="AF20" t="n">
        <v>71.84999999999999</v>
      </c>
      <c r="AG20" t="inlineStr">
        <is>
          <t>Direct Seeding (Hills or Furrow Method)</t>
        </is>
      </c>
      <c r="AH20" t="inlineStr">
        <is>
          <t>Minimum Tillage; deep ripping to break hardpan; avoid over-disturbance</t>
        </is>
      </c>
      <c r="AI20" t="inlineStr">
        <is>
          <t>Furrow irrigation; frequent light watering; mulch to retain soil moisture</t>
        </is>
      </c>
      <c r="AJ20" t="n">
        <v>71.84999999999999</v>
      </c>
      <c r="AK20" t="n">
        <v>589.8099999999999</v>
      </c>
      <c r="AL20" t="n">
        <v>8.210000000000001</v>
      </c>
      <c r="AM20" t="inlineStr">
        <is>
          <t>No</t>
        </is>
      </c>
      <c r="AN20" t="inlineStr">
        <is>
          <t>Observed harvest</t>
        </is>
      </c>
    </row>
    <row r="21">
      <c r="A21" t="inlineStr">
        <is>
          <t>Corn</t>
        </is>
      </c>
      <c r="B21" t="inlineStr">
        <is>
          <t>Tabuyoc</t>
        </is>
      </c>
      <c r="C21" t="inlineStr">
        <is>
          <t>DS 2020-2021</t>
        </is>
      </c>
      <c r="D21" t="inlineStr">
        <is>
          <t>November</t>
        </is>
      </c>
      <c r="E21" t="inlineStr">
        <is>
          <t>2020</t>
        </is>
      </c>
      <c r="F21" t="inlineStr">
        <is>
          <t>March</t>
        </is>
      </c>
      <c r="G21" t="inlineStr">
        <is>
          <t>2021</t>
        </is>
      </c>
      <c r="H21" t="n">
        <v>8.73</v>
      </c>
      <c r="I21" t="n">
        <v>25.81</v>
      </c>
      <c r="J21" t="n">
        <v>19.74</v>
      </c>
      <c r="K21" t="n">
        <v>31.57</v>
      </c>
      <c r="L21" t="n">
        <v>84.84</v>
      </c>
      <c r="M21" t="n">
        <v>98.31999999999999</v>
      </c>
      <c r="N21" t="n">
        <v>15.39</v>
      </c>
      <c r="O21" t="n">
        <v>2.28</v>
      </c>
      <c r="P21" t="n">
        <v>26.34</v>
      </c>
      <c r="Q21" t="n">
        <v>18.92</v>
      </c>
      <c r="R21" t="n">
        <v>34.3</v>
      </c>
      <c r="S21" t="n">
        <v>78.14</v>
      </c>
      <c r="T21" t="n">
        <v>98.45999999999999</v>
      </c>
      <c r="U21" t="n">
        <v>21.32</v>
      </c>
      <c r="V21" t="inlineStr">
        <is>
          <t>Type I – Tropical Monsoon (PAGASA)</t>
        </is>
      </c>
      <c r="W21" t="inlineStr">
        <is>
          <t>Dry (Cool)</t>
        </is>
      </c>
      <c r="X21" t="inlineStr">
        <is>
          <t>Dry (Hot)</t>
        </is>
      </c>
      <c r="Y21" t="inlineStr">
        <is>
          <t>Silty Clay Loam</t>
        </is>
      </c>
      <c r="Z21" t="inlineStr">
        <is>
          <t>Flat / Lowland</t>
        </is>
      </c>
      <c r="AA21" t="n">
        <v>30</v>
      </c>
      <c r="AB21" t="inlineStr">
        <is>
          <t>—</t>
        </is>
      </c>
      <c r="AC21" t="n">
        <v>277.2</v>
      </c>
      <c r="AF21" t="n">
        <v>55.45</v>
      </c>
      <c r="AG21" t="inlineStr">
        <is>
          <t>Direct Seeding (Furrow Method on Raised Beds)</t>
        </is>
      </c>
      <c r="AH21" t="inlineStr">
        <is>
          <t>Deep Tillage (25 cm): 1–2 plowings; form raised beds 20–25 cm high to prevent waterlogging</t>
        </is>
      </c>
      <c r="AI21" t="inlineStr">
        <is>
          <t>Furrow irrigation only (not flood); ensure bed drainage; drain excess after rain</t>
        </is>
      </c>
      <c r="AJ21" t="n">
        <v>55.45</v>
      </c>
      <c r="AK21" t="n">
        <v>455.12</v>
      </c>
      <c r="AL21" t="n">
        <v>8.210000000000001</v>
      </c>
      <c r="AM21" t="inlineStr">
        <is>
          <t>No</t>
        </is>
      </c>
      <c r="AN21" t="inlineStr">
        <is>
          <t>Observed harvest</t>
        </is>
      </c>
    </row>
    <row r="22">
      <c r="A22" t="inlineStr">
        <is>
          <t>Corn</t>
        </is>
      </c>
      <c r="B22" t="inlineStr">
        <is>
          <t>Vacante</t>
        </is>
      </c>
      <c r="C22" t="inlineStr">
        <is>
          <t>DS 2020-2021</t>
        </is>
      </c>
      <c r="D22" t="inlineStr">
        <is>
          <t>November</t>
        </is>
      </c>
      <c r="E22" t="inlineStr">
        <is>
          <t>2020</t>
        </is>
      </c>
      <c r="F22" t="inlineStr">
        <is>
          <t>March</t>
        </is>
      </c>
      <c r="G22" t="inlineStr">
        <is>
          <t>2021</t>
        </is>
      </c>
      <c r="H22" t="n">
        <v>8.73</v>
      </c>
      <c r="I22" t="n">
        <v>25.81</v>
      </c>
      <c r="J22" t="n">
        <v>19.74</v>
      </c>
      <c r="K22" t="n">
        <v>31.57</v>
      </c>
      <c r="L22" t="n">
        <v>84.84</v>
      </c>
      <c r="M22" t="n">
        <v>98.31999999999999</v>
      </c>
      <c r="N22" t="n">
        <v>15.39</v>
      </c>
      <c r="O22" t="n">
        <v>2.28</v>
      </c>
      <c r="P22" t="n">
        <v>26.34</v>
      </c>
      <c r="Q22" t="n">
        <v>18.92</v>
      </c>
      <c r="R22" t="n">
        <v>34.3</v>
      </c>
      <c r="S22" t="n">
        <v>78.14</v>
      </c>
      <c r="T22" t="n">
        <v>98.45999999999999</v>
      </c>
      <c r="U22" t="n">
        <v>21.32</v>
      </c>
      <c r="V22" t="inlineStr">
        <is>
          <t>Type I – Tropical Monsoon (PAGASA)</t>
        </is>
      </c>
      <c r="W22" t="inlineStr">
        <is>
          <t>Dry (Cool)</t>
        </is>
      </c>
      <c r="X22" t="inlineStr">
        <is>
          <t>Dry (Hot)</t>
        </is>
      </c>
      <c r="Y22" t="inlineStr">
        <is>
          <t>Silty Clay Loam</t>
        </is>
      </c>
      <c r="Z22" t="inlineStr">
        <is>
          <t>Flat / Lowland</t>
        </is>
      </c>
      <c r="AA22" t="n">
        <v>30</v>
      </c>
      <c r="AB22" t="inlineStr">
        <is>
          <t>Aloragat River</t>
        </is>
      </c>
      <c r="AC22" t="n">
        <v>484.68</v>
      </c>
      <c r="AF22" t="n">
        <v>46.69</v>
      </c>
      <c r="AG22" t="inlineStr">
        <is>
          <t>Direct Seeding (Furrow Method on Raised Beds)</t>
        </is>
      </c>
      <c r="AH22" t="inlineStr">
        <is>
          <t>Deep Tillage (25 cm): 1–2 plowings; form raised beds 20–25 cm high to prevent waterlogging</t>
        </is>
      </c>
      <c r="AI22" t="inlineStr">
        <is>
          <t>Furrow irrigation only (not flood); ensure bed drainage; drain excess after rain</t>
        </is>
      </c>
      <c r="AJ22" t="n">
        <v>46.69</v>
      </c>
      <c r="AK22" t="n">
        <v>383.22</v>
      </c>
      <c r="AL22" t="n">
        <v>8.210000000000001</v>
      </c>
      <c r="AM22" t="inlineStr">
        <is>
          <t>No</t>
        </is>
      </c>
      <c r="AN22" t="inlineStr">
        <is>
          <t>Observed harvest</t>
        </is>
      </c>
    </row>
    <row r="23">
      <c r="A23" t="inlineStr">
        <is>
          <t>Corn</t>
        </is>
      </c>
      <c r="B23" t="inlineStr">
        <is>
          <t>Balangobong</t>
        </is>
      </c>
      <c r="C23" t="inlineStr">
        <is>
          <t>DS 2021-2022</t>
        </is>
      </c>
      <c r="D23" t="inlineStr">
        <is>
          <t>November</t>
        </is>
      </c>
      <c r="E23" t="inlineStr">
        <is>
          <t>2021</t>
        </is>
      </c>
      <c r="F23" t="inlineStr">
        <is>
          <t>March</t>
        </is>
      </c>
      <c r="G23" t="inlineStr">
        <is>
          <t>2022</t>
        </is>
      </c>
      <c r="H23" t="n">
        <v>3.47</v>
      </c>
      <c r="I23" t="n">
        <v>26.41</v>
      </c>
      <c r="J23" t="n">
        <v>19.95</v>
      </c>
      <c r="K23" t="n">
        <v>31.91</v>
      </c>
      <c r="L23" t="n">
        <v>82.55</v>
      </c>
      <c r="M23" t="n">
        <v>98.34</v>
      </c>
      <c r="N23" t="n">
        <v>17.76</v>
      </c>
      <c r="O23" t="n">
        <v>2</v>
      </c>
      <c r="P23" t="n">
        <v>27.04</v>
      </c>
      <c r="Q23" t="n">
        <v>19.32</v>
      </c>
      <c r="R23" t="n">
        <v>35.27</v>
      </c>
      <c r="S23" t="n">
        <v>75.42</v>
      </c>
      <c r="T23" t="n">
        <v>98.36</v>
      </c>
      <c r="U23" t="n">
        <v>22.13</v>
      </c>
      <c r="V23" t="inlineStr">
        <is>
          <t>Type I – Tropical Monsoon (PAGASA)</t>
        </is>
      </c>
      <c r="W23" t="inlineStr">
        <is>
          <t>Dry (Cool)</t>
        </is>
      </c>
      <c r="X23" t="inlineStr">
        <is>
          <t>Dry (Hot)</t>
        </is>
      </c>
      <c r="Y23" t="inlineStr">
        <is>
          <t>Silty Clay Loam</t>
        </is>
      </c>
      <c r="Z23" t="inlineStr">
        <is>
          <t>Flat / Lowland</t>
        </is>
      </c>
      <c r="AA23" t="n">
        <v>30</v>
      </c>
      <c r="AB23" t="inlineStr">
        <is>
          <t>—</t>
        </is>
      </c>
      <c r="AC23" t="n">
        <v>281.4</v>
      </c>
      <c r="AF23" t="n">
        <v>53.48</v>
      </c>
      <c r="AG23" t="inlineStr">
        <is>
          <t>Direct Seeding (Furrow Method on Raised Beds)</t>
        </is>
      </c>
      <c r="AH23" t="inlineStr">
        <is>
          <t>Deep Tillage (25 cm): 1–2 plowings; form raised beds 20–25 cm high to prevent waterlogging</t>
        </is>
      </c>
      <c r="AI23" t="inlineStr">
        <is>
          <t>Furrow irrigation only (not flood); ensure bed drainage; drain excess after rain</t>
        </is>
      </c>
      <c r="AJ23" t="n">
        <v>53.48</v>
      </c>
      <c r="AK23" t="n">
        <v>398.01</v>
      </c>
      <c r="AL23" t="n">
        <v>7.44</v>
      </c>
      <c r="AM23" t="inlineStr">
        <is>
          <t>No</t>
        </is>
      </c>
      <c r="AN23" t="inlineStr">
        <is>
          <t>Observed harvest</t>
        </is>
      </c>
    </row>
    <row r="24">
      <c r="A24" t="inlineStr">
        <is>
          <t>Corn</t>
        </is>
      </c>
      <c r="B24" t="inlineStr">
        <is>
          <t>Bued</t>
        </is>
      </c>
      <c r="C24" t="inlineStr">
        <is>
          <t>DS 2021-2022</t>
        </is>
      </c>
      <c r="D24" t="inlineStr">
        <is>
          <t>November</t>
        </is>
      </c>
      <c r="E24" t="inlineStr">
        <is>
          <t>2021</t>
        </is>
      </c>
      <c r="F24" t="inlineStr">
        <is>
          <t>March</t>
        </is>
      </c>
      <c r="G24" t="inlineStr">
        <is>
          <t>2022</t>
        </is>
      </c>
      <c r="H24" t="n">
        <v>3.47</v>
      </c>
      <c r="I24" t="n">
        <v>26.41</v>
      </c>
      <c r="J24" t="n">
        <v>19.95</v>
      </c>
      <c r="K24" t="n">
        <v>31.91</v>
      </c>
      <c r="L24" t="n">
        <v>82.55</v>
      </c>
      <c r="M24" t="n">
        <v>98.34</v>
      </c>
      <c r="N24" t="n">
        <v>17.76</v>
      </c>
      <c r="O24" t="n">
        <v>2</v>
      </c>
      <c r="P24" t="n">
        <v>27.04</v>
      </c>
      <c r="Q24" t="n">
        <v>19.32</v>
      </c>
      <c r="R24" t="n">
        <v>35.27</v>
      </c>
      <c r="S24" t="n">
        <v>75.42</v>
      </c>
      <c r="T24" t="n">
        <v>98.36</v>
      </c>
      <c r="U24" t="n">
        <v>22.13</v>
      </c>
      <c r="V24" t="inlineStr">
        <is>
          <t>Type I – Tropical Monsoon (PAGASA)</t>
        </is>
      </c>
      <c r="W24" t="inlineStr">
        <is>
          <t>Dry (Cool)</t>
        </is>
      </c>
      <c r="X24" t="inlineStr">
        <is>
          <t>Dry (Hot)</t>
        </is>
      </c>
      <c r="Y24" t="inlineStr">
        <is>
          <t>Silty Clay Loam</t>
        </is>
      </c>
      <c r="Z24" t="inlineStr">
        <is>
          <t>Flat / Lowland</t>
        </is>
      </c>
      <c r="AA24" t="n">
        <v>30</v>
      </c>
      <c r="AB24" t="inlineStr">
        <is>
          <t>Tagamusing River</t>
        </is>
      </c>
      <c r="AC24" t="n">
        <v>210.84</v>
      </c>
      <c r="AF24" t="n">
        <v>42.76</v>
      </c>
      <c r="AG24" t="inlineStr">
        <is>
          <t>Direct Seeding (Furrow Method on Raised Beds)</t>
        </is>
      </c>
      <c r="AH24" t="inlineStr">
        <is>
          <t>Deep Tillage (25 cm): 1–2 plowings; form raised beds 20–25 cm high to prevent waterlogging</t>
        </is>
      </c>
      <c r="AI24" t="inlineStr">
        <is>
          <t>Furrow irrigation only (not flood); ensure bed drainage; drain excess after rain</t>
        </is>
      </c>
      <c r="AJ24" t="n">
        <v>42.76</v>
      </c>
      <c r="AK24" t="n">
        <v>318.24</v>
      </c>
      <c r="AL24" t="n">
        <v>7.44</v>
      </c>
      <c r="AM24" t="inlineStr">
        <is>
          <t>No</t>
        </is>
      </c>
      <c r="AN24" t="inlineStr">
        <is>
          <t>Observed harvest</t>
        </is>
      </c>
    </row>
    <row r="25">
      <c r="A25" t="inlineStr">
        <is>
          <t>Corn</t>
        </is>
      </c>
      <c r="B25" t="inlineStr">
        <is>
          <t>Bugayong</t>
        </is>
      </c>
      <c r="C25" t="inlineStr">
        <is>
          <t>DS 2021-2022</t>
        </is>
      </c>
      <c r="D25" t="inlineStr">
        <is>
          <t>November</t>
        </is>
      </c>
      <c r="E25" t="inlineStr">
        <is>
          <t>2021</t>
        </is>
      </c>
      <c r="F25" t="inlineStr">
        <is>
          <t>March</t>
        </is>
      </c>
      <c r="G25" t="inlineStr">
        <is>
          <t>2022</t>
        </is>
      </c>
      <c r="H25" t="n">
        <v>3.47</v>
      </c>
      <c r="I25" t="n">
        <v>26.41</v>
      </c>
      <c r="J25" t="n">
        <v>19.95</v>
      </c>
      <c r="K25" t="n">
        <v>31.91</v>
      </c>
      <c r="L25" t="n">
        <v>82.55</v>
      </c>
      <c r="M25" t="n">
        <v>98.34</v>
      </c>
      <c r="N25" t="n">
        <v>17.76</v>
      </c>
      <c r="O25" t="n">
        <v>2</v>
      </c>
      <c r="P25" t="n">
        <v>27.04</v>
      </c>
      <c r="Q25" t="n">
        <v>19.32</v>
      </c>
      <c r="R25" t="n">
        <v>35.27</v>
      </c>
      <c r="S25" t="n">
        <v>75.42</v>
      </c>
      <c r="T25" t="n">
        <v>98.36</v>
      </c>
      <c r="U25" t="n">
        <v>22.13</v>
      </c>
      <c r="V25" t="inlineStr">
        <is>
          <t>Type I – Tropical Monsoon (PAGASA)</t>
        </is>
      </c>
      <c r="W25" t="inlineStr">
        <is>
          <t>Dry (Cool)</t>
        </is>
      </c>
      <c r="X25" t="inlineStr">
        <is>
          <t>Dry (Hot)</t>
        </is>
      </c>
      <c r="Y25" t="inlineStr">
        <is>
          <t>Sandy Loam / Silty Clay Loam</t>
        </is>
      </c>
      <c r="Z25" t="inlineStr">
        <is>
          <t>Flat / Lowland</t>
        </is>
      </c>
      <c r="AA25" t="n">
        <v>30</v>
      </c>
      <c r="AB25" t="inlineStr">
        <is>
          <t>Aloragat River</t>
        </is>
      </c>
      <c r="AC25" t="n">
        <v>346.08</v>
      </c>
      <c r="AF25" t="n">
        <v>21.39</v>
      </c>
      <c r="AG25" t="inlineStr">
        <is>
          <t>Direct Seeding (Furrow or Hill Method)</t>
        </is>
      </c>
      <c r="AH25" t="inlineStr">
        <is>
          <t>Conventional Tillage: 1 deep plow + harrowing; ensure good drainage channels</t>
        </is>
      </c>
      <c r="AI25" t="inlineStr">
        <is>
          <t>Furrow irrigation; avoid waterlogging — clay fraction retains excess moisture</t>
        </is>
      </c>
      <c r="AJ25" t="n">
        <v>21.39</v>
      </c>
      <c r="AK25" t="n">
        <v>159.19</v>
      </c>
      <c r="AL25" t="n">
        <v>7.44</v>
      </c>
      <c r="AM25" t="inlineStr">
        <is>
          <t>No</t>
        </is>
      </c>
      <c r="AN25" t="inlineStr">
        <is>
          <t>Observed harvest</t>
        </is>
      </c>
    </row>
    <row r="26">
      <c r="A26" t="inlineStr">
        <is>
          <t>Corn</t>
        </is>
      </c>
      <c r="B26" t="inlineStr">
        <is>
          <t>Camanggaan</t>
        </is>
      </c>
      <c r="C26" t="inlineStr">
        <is>
          <t>DS 2021-2022</t>
        </is>
      </c>
      <c r="D26" t="inlineStr">
        <is>
          <t>November</t>
        </is>
      </c>
      <c r="E26" t="inlineStr">
        <is>
          <t>2021</t>
        </is>
      </c>
      <c r="F26" t="inlineStr">
        <is>
          <t>March</t>
        </is>
      </c>
      <c r="G26" t="inlineStr">
        <is>
          <t>2022</t>
        </is>
      </c>
      <c r="H26" t="n">
        <v>3.47</v>
      </c>
      <c r="I26" t="n">
        <v>26.41</v>
      </c>
      <c r="J26" t="n">
        <v>19.95</v>
      </c>
      <c r="K26" t="n">
        <v>31.91</v>
      </c>
      <c r="L26" t="n">
        <v>82.55</v>
      </c>
      <c r="M26" t="n">
        <v>98.34</v>
      </c>
      <c r="N26" t="n">
        <v>17.76</v>
      </c>
      <c r="O26" t="n">
        <v>2</v>
      </c>
      <c r="P26" t="n">
        <v>27.04</v>
      </c>
      <c r="Q26" t="n">
        <v>19.32</v>
      </c>
      <c r="R26" t="n">
        <v>35.27</v>
      </c>
      <c r="S26" t="n">
        <v>75.42</v>
      </c>
      <c r="T26" t="n">
        <v>98.36</v>
      </c>
      <c r="U26" t="n">
        <v>22.13</v>
      </c>
      <c r="V26" t="inlineStr">
        <is>
          <t>Type I – Tropical Monsoon (PAGASA)</t>
        </is>
      </c>
      <c r="W26" t="inlineStr">
        <is>
          <t>Dry (Cool)</t>
        </is>
      </c>
      <c r="X26" t="inlineStr">
        <is>
          <t>Dry (Hot)</t>
        </is>
      </c>
      <c r="Y26" t="inlineStr">
        <is>
          <t>Sandy Loam</t>
        </is>
      </c>
      <c r="Z26" t="inlineStr">
        <is>
          <t>Flat / Lowland</t>
        </is>
      </c>
      <c r="AA26" t="n">
        <v>30</v>
      </c>
      <c r="AB26" t="inlineStr">
        <is>
          <t>—</t>
        </is>
      </c>
      <c r="AC26" t="n">
        <v>244.44</v>
      </c>
      <c r="AF26" t="n">
        <v>24.71</v>
      </c>
      <c r="AG26" t="inlineStr">
        <is>
          <t>Direct Seeding (Hill Planting / Furrow Method)</t>
        </is>
      </c>
      <c r="AH26" t="inlineStr">
        <is>
          <t>Conventional Tillage: 1 deep plow (20–25 cm) + 1 harrowing; good tilth easily achieved</t>
        </is>
      </c>
      <c r="AI26" t="inlineStr">
        <is>
          <t>Furrow or sprinkler irrigation; AWD or weekly irrigation; good drainage natural</t>
        </is>
      </c>
      <c r="AJ26" t="n">
        <v>24.71</v>
      </c>
      <c r="AK26" t="n">
        <v>183.88</v>
      </c>
      <c r="AL26" t="n">
        <v>7.44</v>
      </c>
      <c r="AM26" t="inlineStr">
        <is>
          <t>No</t>
        </is>
      </c>
      <c r="AN26" t="inlineStr">
        <is>
          <t>Observed harvest</t>
        </is>
      </c>
    </row>
    <row r="27">
      <c r="A27" t="inlineStr">
        <is>
          <t>Corn</t>
        </is>
      </c>
      <c r="B27" t="inlineStr">
        <is>
          <t>Capas</t>
        </is>
      </c>
      <c r="C27" t="inlineStr">
        <is>
          <t>DS 2021-2022</t>
        </is>
      </c>
      <c r="D27" t="inlineStr">
        <is>
          <t>November</t>
        </is>
      </c>
      <c r="E27" t="inlineStr">
        <is>
          <t>2021</t>
        </is>
      </c>
      <c r="F27" t="inlineStr">
        <is>
          <t>March</t>
        </is>
      </c>
      <c r="G27" t="inlineStr">
        <is>
          <t>2022</t>
        </is>
      </c>
      <c r="H27" t="n">
        <v>3.47</v>
      </c>
      <c r="I27" t="n">
        <v>26.41</v>
      </c>
      <c r="J27" t="n">
        <v>19.95</v>
      </c>
      <c r="K27" t="n">
        <v>31.91</v>
      </c>
      <c r="L27" t="n">
        <v>82.55</v>
      </c>
      <c r="M27" t="n">
        <v>98.34</v>
      </c>
      <c r="N27" t="n">
        <v>17.76</v>
      </c>
      <c r="O27" t="n">
        <v>2</v>
      </c>
      <c r="P27" t="n">
        <v>27.04</v>
      </c>
      <c r="Q27" t="n">
        <v>19.32</v>
      </c>
      <c r="R27" t="n">
        <v>35.27</v>
      </c>
      <c r="S27" t="n">
        <v>75.42</v>
      </c>
      <c r="T27" t="n">
        <v>98.36</v>
      </c>
      <c r="U27" t="n">
        <v>22.13</v>
      </c>
      <c r="V27" t="inlineStr">
        <is>
          <t>Type I – Tropical Monsoon (PAGASA)</t>
        </is>
      </c>
      <c r="W27" t="inlineStr">
        <is>
          <t>Dry (Cool)</t>
        </is>
      </c>
      <c r="X27" t="inlineStr">
        <is>
          <t>Dry (Hot)</t>
        </is>
      </c>
      <c r="Y27" t="inlineStr">
        <is>
          <t>Sandy Loam</t>
        </is>
      </c>
      <c r="Z27" t="inlineStr">
        <is>
          <t>Flat / Lowland</t>
        </is>
      </c>
      <c r="AA27" t="n">
        <v>30</v>
      </c>
      <c r="AB27" t="inlineStr">
        <is>
          <t>—</t>
        </is>
      </c>
      <c r="AC27" t="n">
        <v>377.16</v>
      </c>
      <c r="AF27" t="n">
        <v>103.17</v>
      </c>
      <c r="AG27" t="inlineStr">
        <is>
          <t>Direct Seeding (Hill Planting / Furrow Method)</t>
        </is>
      </c>
      <c r="AH27" t="inlineStr">
        <is>
          <t>Conventional Tillage: 1 deep plow (20–25 cm) + 1 harrowing; good tilth easily achieved</t>
        </is>
      </c>
      <c r="AI27" t="inlineStr">
        <is>
          <t>Furrow or sprinkler irrigation; AWD or weekly irrigation; good drainage natural</t>
        </is>
      </c>
      <c r="AJ27" t="n">
        <v>103.17</v>
      </c>
      <c r="AK27" t="n">
        <v>767.86</v>
      </c>
      <c r="AL27" t="n">
        <v>7.44</v>
      </c>
      <c r="AM27" t="inlineStr">
        <is>
          <t>No</t>
        </is>
      </c>
      <c r="AN27" t="inlineStr">
        <is>
          <t>Observed harvest</t>
        </is>
      </c>
    </row>
    <row r="28">
      <c r="A28" t="inlineStr">
        <is>
          <t>Corn</t>
        </is>
      </c>
      <c r="B28" t="inlineStr">
        <is>
          <t>Cili</t>
        </is>
      </c>
      <c r="C28" t="inlineStr">
        <is>
          <t>DS 2021-2022</t>
        </is>
      </c>
      <c r="D28" t="inlineStr">
        <is>
          <t>November</t>
        </is>
      </c>
      <c r="E28" t="inlineStr">
        <is>
          <t>2021</t>
        </is>
      </c>
      <c r="F28" t="inlineStr">
        <is>
          <t>March</t>
        </is>
      </c>
      <c r="G28" t="inlineStr">
        <is>
          <t>2022</t>
        </is>
      </c>
      <c r="H28" t="n">
        <v>3.47</v>
      </c>
      <c r="I28" t="n">
        <v>26.41</v>
      </c>
      <c r="J28" t="n">
        <v>19.95</v>
      </c>
      <c r="K28" t="n">
        <v>31.91</v>
      </c>
      <c r="L28" t="n">
        <v>82.55</v>
      </c>
      <c r="M28" t="n">
        <v>98.34</v>
      </c>
      <c r="N28" t="n">
        <v>17.76</v>
      </c>
      <c r="O28" t="n">
        <v>2</v>
      </c>
      <c r="P28" t="n">
        <v>27.04</v>
      </c>
      <c r="Q28" t="n">
        <v>19.32</v>
      </c>
      <c r="R28" t="n">
        <v>35.27</v>
      </c>
      <c r="S28" t="n">
        <v>75.42</v>
      </c>
      <c r="T28" t="n">
        <v>98.36</v>
      </c>
      <c r="U28" t="n">
        <v>22.13</v>
      </c>
      <c r="V28" t="inlineStr">
        <is>
          <t>Type I – Tropical Monsoon (PAGASA)</t>
        </is>
      </c>
      <c r="W28" t="inlineStr">
        <is>
          <t>Dry (Cool)</t>
        </is>
      </c>
      <c r="X28" t="inlineStr">
        <is>
          <t>Dry (Hot)</t>
        </is>
      </c>
      <c r="Y28" t="inlineStr">
        <is>
          <t>Silty Clay Loam</t>
        </is>
      </c>
      <c r="Z28" t="inlineStr">
        <is>
          <t>Flat / Lowland</t>
        </is>
      </c>
      <c r="AA28" t="n">
        <v>30</v>
      </c>
      <c r="AB28" t="inlineStr">
        <is>
          <t>Alibeng River</t>
        </is>
      </c>
      <c r="AC28" t="n">
        <v>264.6</v>
      </c>
      <c r="AF28" t="n">
        <v>54.24</v>
      </c>
      <c r="AG28" t="inlineStr">
        <is>
          <t>Direct Seeding (Furrow Method on Raised Beds)</t>
        </is>
      </c>
      <c r="AH28" t="inlineStr">
        <is>
          <t>Deep Tillage (25 cm): 1–2 plowings; form raised beds 20–25 cm high to prevent waterlogging</t>
        </is>
      </c>
      <c r="AI28" t="inlineStr">
        <is>
          <t>Furrow irrigation only (not flood); ensure bed drainage; drain excess after rain</t>
        </is>
      </c>
      <c r="AJ28" t="n">
        <v>54.24</v>
      </c>
      <c r="AK28" t="n">
        <v>403.73</v>
      </c>
      <c r="AL28" t="n">
        <v>7.44</v>
      </c>
      <c r="AM28" t="inlineStr">
        <is>
          <t>No</t>
        </is>
      </c>
      <c r="AN28" t="inlineStr">
        <is>
          <t>Observed harvest</t>
        </is>
      </c>
    </row>
    <row r="29">
      <c r="A29" t="inlineStr">
        <is>
          <t>Corn</t>
        </is>
      </c>
      <c r="B29" t="inlineStr">
        <is>
          <t>Dumayat</t>
        </is>
      </c>
      <c r="C29" t="inlineStr">
        <is>
          <t>DS 2021-2022</t>
        </is>
      </c>
      <c r="D29" t="inlineStr">
        <is>
          <t>November</t>
        </is>
      </c>
      <c r="E29" t="inlineStr">
        <is>
          <t>2021</t>
        </is>
      </c>
      <c r="F29" t="inlineStr">
        <is>
          <t>March</t>
        </is>
      </c>
      <c r="G29" t="inlineStr">
        <is>
          <t>2022</t>
        </is>
      </c>
      <c r="H29" t="n">
        <v>3.47</v>
      </c>
      <c r="I29" t="n">
        <v>26.41</v>
      </c>
      <c r="J29" t="n">
        <v>19.95</v>
      </c>
      <c r="K29" t="n">
        <v>31.91</v>
      </c>
      <c r="L29" t="n">
        <v>82.55</v>
      </c>
      <c r="M29" t="n">
        <v>98.34</v>
      </c>
      <c r="N29" t="n">
        <v>17.76</v>
      </c>
      <c r="O29" t="n">
        <v>2</v>
      </c>
      <c r="P29" t="n">
        <v>27.04</v>
      </c>
      <c r="Q29" t="n">
        <v>19.32</v>
      </c>
      <c r="R29" t="n">
        <v>35.27</v>
      </c>
      <c r="S29" t="n">
        <v>75.42</v>
      </c>
      <c r="T29" t="n">
        <v>98.36</v>
      </c>
      <c r="U29" t="n">
        <v>22.13</v>
      </c>
      <c r="V29" t="inlineStr">
        <is>
          <t>Type I – Tropical Monsoon (PAGASA)</t>
        </is>
      </c>
      <c r="W29" t="inlineStr">
        <is>
          <t>Dry (Cool)</t>
        </is>
      </c>
      <c r="X29" t="inlineStr">
        <is>
          <t>Dry (Hot)</t>
        </is>
      </c>
      <c r="Y29" t="inlineStr">
        <is>
          <t>Silty Clay Loam</t>
        </is>
      </c>
      <c r="Z29" t="inlineStr">
        <is>
          <t>Flat / Lowland</t>
        </is>
      </c>
      <c r="AA29" t="n">
        <v>30</v>
      </c>
      <c r="AB29" t="inlineStr">
        <is>
          <t>—</t>
        </is>
      </c>
      <c r="AC29" t="n">
        <v>266.28</v>
      </c>
      <c r="AF29" t="n">
        <v>33.38</v>
      </c>
      <c r="AG29" t="inlineStr">
        <is>
          <t>Direct Seeding (Furrow Method on Raised Beds)</t>
        </is>
      </c>
      <c r="AH29" t="inlineStr">
        <is>
          <t>Deep Tillage (25 cm): 1–2 plowings; form raised beds 20–25 cm high to prevent waterlogging</t>
        </is>
      </c>
      <c r="AI29" t="inlineStr">
        <is>
          <t>Furrow irrigation only (not flood); ensure bed drainage; drain excess after rain</t>
        </is>
      </c>
      <c r="AJ29" t="n">
        <v>33.38</v>
      </c>
      <c r="AK29" t="n">
        <v>248.42</v>
      </c>
      <c r="AL29" t="n">
        <v>7.44</v>
      </c>
      <c r="AM29" t="inlineStr">
        <is>
          <t>No</t>
        </is>
      </c>
      <c r="AN29" t="inlineStr">
        <is>
          <t>Observed harvest</t>
        </is>
      </c>
    </row>
    <row r="30">
      <c r="A30" t="inlineStr">
        <is>
          <t>Corn</t>
        </is>
      </c>
      <c r="B30" t="inlineStr">
        <is>
          <t>Linmansangan</t>
        </is>
      </c>
      <c r="C30" t="inlineStr">
        <is>
          <t>DS 2021-2022</t>
        </is>
      </c>
      <c r="D30" t="inlineStr">
        <is>
          <t>November</t>
        </is>
      </c>
      <c r="E30" t="inlineStr">
        <is>
          <t>2021</t>
        </is>
      </c>
      <c r="F30" t="inlineStr">
        <is>
          <t>March</t>
        </is>
      </c>
      <c r="G30" t="inlineStr">
        <is>
          <t>2022</t>
        </is>
      </c>
      <c r="H30" t="n">
        <v>3.47</v>
      </c>
      <c r="I30" t="n">
        <v>26.41</v>
      </c>
      <c r="J30" t="n">
        <v>19.95</v>
      </c>
      <c r="K30" t="n">
        <v>31.91</v>
      </c>
      <c r="L30" t="n">
        <v>82.55</v>
      </c>
      <c r="M30" t="n">
        <v>98.34</v>
      </c>
      <c r="N30" t="n">
        <v>17.76</v>
      </c>
      <c r="O30" t="n">
        <v>2</v>
      </c>
      <c r="P30" t="n">
        <v>27.04</v>
      </c>
      <c r="Q30" t="n">
        <v>19.32</v>
      </c>
      <c r="R30" t="n">
        <v>35.27</v>
      </c>
      <c r="S30" t="n">
        <v>75.42</v>
      </c>
      <c r="T30" t="n">
        <v>98.36</v>
      </c>
      <c r="U30" t="n">
        <v>22.13</v>
      </c>
      <c r="V30" t="inlineStr">
        <is>
          <t>Type I – Tropical Monsoon (PAGASA)</t>
        </is>
      </c>
      <c r="W30" t="inlineStr">
        <is>
          <t>Dry (Cool)</t>
        </is>
      </c>
      <c r="X30" t="inlineStr">
        <is>
          <t>Dry (Hot)</t>
        </is>
      </c>
      <c r="Y30" t="inlineStr">
        <is>
          <t>Silty Clay Loam</t>
        </is>
      </c>
      <c r="Z30" t="inlineStr">
        <is>
          <t>Flat / Lowland</t>
        </is>
      </c>
      <c r="AA30" t="n">
        <v>30</v>
      </c>
      <c r="AB30" t="inlineStr">
        <is>
          <t>—</t>
        </is>
      </c>
      <c r="AC30" t="n">
        <v>492.24</v>
      </c>
      <c r="AF30" t="n">
        <v>81.47</v>
      </c>
      <c r="AG30" t="inlineStr">
        <is>
          <t>Direct Seeding (Furrow Method on Raised Beds)</t>
        </is>
      </c>
      <c r="AH30" t="inlineStr">
        <is>
          <t>Deep Tillage (25 cm): 1–2 plowings; form raised beds 20–25 cm high to prevent waterlogging</t>
        </is>
      </c>
      <c r="AI30" t="inlineStr">
        <is>
          <t>Furrow irrigation only (not flood); ensure bed drainage; drain excess after rain</t>
        </is>
      </c>
      <c r="AJ30" t="n">
        <v>81.47</v>
      </c>
      <c r="AK30" t="n">
        <v>606.36</v>
      </c>
      <c r="AL30" t="n">
        <v>7.44</v>
      </c>
      <c r="AM30" t="inlineStr">
        <is>
          <t>No</t>
        </is>
      </c>
      <c r="AN30" t="inlineStr">
        <is>
          <t>Observed harvest</t>
        </is>
      </c>
    </row>
    <row r="31">
      <c r="A31" t="inlineStr">
        <is>
          <t>Corn</t>
        </is>
      </c>
      <c r="B31" t="inlineStr">
        <is>
          <t>Mangkasuy</t>
        </is>
      </c>
      <c r="C31" t="inlineStr">
        <is>
          <t>DS 2021-2022</t>
        </is>
      </c>
      <c r="D31" t="inlineStr">
        <is>
          <t>November</t>
        </is>
      </c>
      <c r="E31" t="inlineStr">
        <is>
          <t>2021</t>
        </is>
      </c>
      <c r="F31" t="inlineStr">
        <is>
          <t>March</t>
        </is>
      </c>
      <c r="G31" t="inlineStr">
        <is>
          <t>2022</t>
        </is>
      </c>
      <c r="H31" t="n">
        <v>3.47</v>
      </c>
      <c r="I31" t="n">
        <v>26.41</v>
      </c>
      <c r="J31" t="n">
        <v>19.95</v>
      </c>
      <c r="K31" t="n">
        <v>31.91</v>
      </c>
      <c r="L31" t="n">
        <v>82.55</v>
      </c>
      <c r="M31" t="n">
        <v>98.34</v>
      </c>
      <c r="N31" t="n">
        <v>17.76</v>
      </c>
      <c r="O31" t="n">
        <v>2</v>
      </c>
      <c r="P31" t="n">
        <v>27.04</v>
      </c>
      <c r="Q31" t="n">
        <v>19.32</v>
      </c>
      <c r="R31" t="n">
        <v>35.27</v>
      </c>
      <c r="S31" t="n">
        <v>75.42</v>
      </c>
      <c r="T31" t="n">
        <v>98.36</v>
      </c>
      <c r="U31" t="n">
        <v>22.13</v>
      </c>
      <c r="V31" t="inlineStr">
        <is>
          <t>Type I – Tropical Monsoon (PAGASA)</t>
        </is>
      </c>
      <c r="W31" t="inlineStr">
        <is>
          <t>Dry (Cool)</t>
        </is>
      </c>
      <c r="X31" t="inlineStr">
        <is>
          <t>Dry (Hot)</t>
        </is>
      </c>
      <c r="Y31" t="inlineStr">
        <is>
          <t>Sandy Loam</t>
        </is>
      </c>
      <c r="Z31" t="inlineStr">
        <is>
          <t>Flat / Lowland</t>
        </is>
      </c>
      <c r="AA31" t="n">
        <v>30</v>
      </c>
      <c r="AB31" t="inlineStr">
        <is>
          <t>Tagamusing River</t>
        </is>
      </c>
      <c r="AC31" t="n">
        <v>802.2</v>
      </c>
      <c r="AF31" t="n">
        <v>92.76000000000001</v>
      </c>
      <c r="AG31" t="inlineStr">
        <is>
          <t>Direct Seeding (Hill Planting / Furrow Method)</t>
        </is>
      </c>
      <c r="AH31" t="inlineStr">
        <is>
          <t>Conventional Tillage: 1 deep plow (20–25 cm) + 1 harrowing; good tilth easily achieved</t>
        </is>
      </c>
      <c r="AI31" t="inlineStr">
        <is>
          <t>Furrow or sprinkler irrigation; AWD or weekly irrigation; good drainage natural</t>
        </is>
      </c>
      <c r="AJ31" t="n">
        <v>92.76000000000001</v>
      </c>
      <c r="AK31" t="n">
        <v>690.42</v>
      </c>
      <c r="AL31" t="n">
        <v>7.44</v>
      </c>
      <c r="AM31" t="inlineStr">
        <is>
          <t>No</t>
        </is>
      </c>
      <c r="AN31" t="inlineStr">
        <is>
          <t>Observed harvest</t>
        </is>
      </c>
    </row>
    <row r="32">
      <c r="A32" t="inlineStr">
        <is>
          <t>Corn</t>
        </is>
      </c>
      <c r="B32" t="inlineStr">
        <is>
          <t>Moreno</t>
        </is>
      </c>
      <c r="C32" t="inlineStr">
        <is>
          <t>DS 2021-2022</t>
        </is>
      </c>
      <c r="D32" t="inlineStr">
        <is>
          <t>November</t>
        </is>
      </c>
      <c r="E32" t="inlineStr">
        <is>
          <t>2021</t>
        </is>
      </c>
      <c r="F32" t="inlineStr">
        <is>
          <t>March</t>
        </is>
      </c>
      <c r="G32" t="inlineStr">
        <is>
          <t>2022</t>
        </is>
      </c>
      <c r="H32" t="n">
        <v>3.47</v>
      </c>
      <c r="I32" t="n">
        <v>26.41</v>
      </c>
      <c r="J32" t="n">
        <v>19.95</v>
      </c>
      <c r="K32" t="n">
        <v>31.91</v>
      </c>
      <c r="L32" t="n">
        <v>82.55</v>
      </c>
      <c r="M32" t="n">
        <v>98.34</v>
      </c>
      <c r="N32" t="n">
        <v>17.76</v>
      </c>
      <c r="O32" t="n">
        <v>2</v>
      </c>
      <c r="P32" t="n">
        <v>27.04</v>
      </c>
      <c r="Q32" t="n">
        <v>19.32</v>
      </c>
      <c r="R32" t="n">
        <v>35.27</v>
      </c>
      <c r="S32" t="n">
        <v>75.42</v>
      </c>
      <c r="T32" t="n">
        <v>98.36</v>
      </c>
      <c r="U32" t="n">
        <v>22.13</v>
      </c>
      <c r="V32" t="inlineStr">
        <is>
          <t>Type I – Tropical Monsoon (PAGASA)</t>
        </is>
      </c>
      <c r="W32" t="inlineStr">
        <is>
          <t>Dry (Cool)</t>
        </is>
      </c>
      <c r="X32" t="inlineStr">
        <is>
          <t>Dry (Hot)</t>
        </is>
      </c>
      <c r="Y32" t="inlineStr">
        <is>
          <t>Sandy Loam</t>
        </is>
      </c>
      <c r="Z32" t="inlineStr">
        <is>
          <t>Moderately Sloping / Highland</t>
        </is>
      </c>
      <c r="AA32" t="n">
        <v>90</v>
      </c>
      <c r="AB32" t="inlineStr">
        <is>
          <t>Alibeng River</t>
        </is>
      </c>
      <c r="AC32" t="n">
        <v>641.76</v>
      </c>
      <c r="AF32" t="n">
        <v>58.1</v>
      </c>
      <c r="AG32" t="inlineStr">
        <is>
          <t>Direct Seeding (Hill Planting / Furrow Method)</t>
        </is>
      </c>
      <c r="AH32" t="inlineStr">
        <is>
          <t>Conventional Tillage: 1 deep plow (20–25 cm) + 1 harrowing; good tilth easily achieved</t>
        </is>
      </c>
      <c r="AI32" t="inlineStr">
        <is>
          <t>Furrow or sprinkler irrigation; AWD or weekly irrigation; good drainage natural</t>
        </is>
      </c>
      <c r="AJ32" t="n">
        <v>58.1</v>
      </c>
      <c r="AK32" t="n">
        <v>432.42</v>
      </c>
      <c r="AL32" t="n">
        <v>7.44</v>
      </c>
      <c r="AM32" t="inlineStr">
        <is>
          <t>No</t>
        </is>
      </c>
      <c r="AN32" t="inlineStr">
        <is>
          <t>Observed harvest</t>
        </is>
      </c>
    </row>
    <row r="33">
      <c r="A33" t="inlineStr">
        <is>
          <t>Corn</t>
        </is>
      </c>
      <c r="B33" t="inlineStr">
        <is>
          <t>Pasileng Norte</t>
        </is>
      </c>
      <c r="C33" t="inlineStr">
        <is>
          <t>DS 2021-2022</t>
        </is>
      </c>
      <c r="D33" t="inlineStr">
        <is>
          <t>November</t>
        </is>
      </c>
      <c r="E33" t="inlineStr">
        <is>
          <t>2021</t>
        </is>
      </c>
      <c r="F33" t="inlineStr">
        <is>
          <t>March</t>
        </is>
      </c>
      <c r="G33" t="inlineStr">
        <is>
          <t>2022</t>
        </is>
      </c>
      <c r="H33" t="n">
        <v>3.47</v>
      </c>
      <c r="I33" t="n">
        <v>26.41</v>
      </c>
      <c r="J33" t="n">
        <v>19.95</v>
      </c>
      <c r="K33" t="n">
        <v>31.91</v>
      </c>
      <c r="L33" t="n">
        <v>82.55</v>
      </c>
      <c r="M33" t="n">
        <v>98.34</v>
      </c>
      <c r="N33" t="n">
        <v>17.76</v>
      </c>
      <c r="O33" t="n">
        <v>2</v>
      </c>
      <c r="P33" t="n">
        <v>27.04</v>
      </c>
      <c r="Q33" t="n">
        <v>19.32</v>
      </c>
      <c r="R33" t="n">
        <v>35.27</v>
      </c>
      <c r="S33" t="n">
        <v>75.42</v>
      </c>
      <c r="T33" t="n">
        <v>98.36</v>
      </c>
      <c r="U33" t="n">
        <v>22.13</v>
      </c>
      <c r="V33" t="inlineStr">
        <is>
          <t>Type I – Tropical Monsoon (PAGASA)</t>
        </is>
      </c>
      <c r="W33" t="inlineStr">
        <is>
          <t>Dry (Cool)</t>
        </is>
      </c>
      <c r="X33" t="inlineStr">
        <is>
          <t>Dry (Hot)</t>
        </is>
      </c>
      <c r="Y33" t="inlineStr">
        <is>
          <t>Sandy Loam</t>
        </is>
      </c>
      <c r="Z33" t="inlineStr">
        <is>
          <t>Flat / Lowland</t>
        </is>
      </c>
      <c r="AA33" t="n">
        <v>30</v>
      </c>
      <c r="AB33" t="inlineStr">
        <is>
          <t>Tagamusing River</t>
        </is>
      </c>
      <c r="AC33" t="n">
        <v>140.28</v>
      </c>
      <c r="AF33" t="n">
        <v>36.55</v>
      </c>
      <c r="AG33" t="inlineStr">
        <is>
          <t>Direct Seeding (Hill Planting / Furrow Method)</t>
        </is>
      </c>
      <c r="AH33" t="inlineStr">
        <is>
          <t>Conventional Tillage: 1 deep plow (20–25 cm) + 1 harrowing; good tilth easily achieved</t>
        </is>
      </c>
      <c r="AI33" t="inlineStr">
        <is>
          <t>Furrow or sprinkler irrigation; AWD or weekly irrigation; good drainage natural</t>
        </is>
      </c>
      <c r="AJ33" t="n">
        <v>36.55</v>
      </c>
      <c r="AK33" t="n">
        <v>272.06</v>
      </c>
      <c r="AL33" t="n">
        <v>7.44</v>
      </c>
      <c r="AM33" t="inlineStr">
        <is>
          <t>No</t>
        </is>
      </c>
      <c r="AN33" t="inlineStr">
        <is>
          <t>Observed harvest</t>
        </is>
      </c>
    </row>
    <row r="34">
      <c r="A34" t="inlineStr">
        <is>
          <t>Corn</t>
        </is>
      </c>
      <c r="B34" t="inlineStr">
        <is>
          <t>Pasileng Sur</t>
        </is>
      </c>
      <c r="C34" t="inlineStr">
        <is>
          <t>DS 2021-2022</t>
        </is>
      </c>
      <c r="D34" t="inlineStr">
        <is>
          <t>November</t>
        </is>
      </c>
      <c r="E34" t="inlineStr">
        <is>
          <t>2021</t>
        </is>
      </c>
      <c r="F34" t="inlineStr">
        <is>
          <t>March</t>
        </is>
      </c>
      <c r="G34" t="inlineStr">
        <is>
          <t>2022</t>
        </is>
      </c>
      <c r="H34" t="n">
        <v>3.47</v>
      </c>
      <c r="I34" t="n">
        <v>26.41</v>
      </c>
      <c r="J34" t="n">
        <v>19.95</v>
      </c>
      <c r="K34" t="n">
        <v>31.91</v>
      </c>
      <c r="L34" t="n">
        <v>82.55</v>
      </c>
      <c r="M34" t="n">
        <v>98.34</v>
      </c>
      <c r="N34" t="n">
        <v>17.76</v>
      </c>
      <c r="O34" t="n">
        <v>2</v>
      </c>
      <c r="P34" t="n">
        <v>27.04</v>
      </c>
      <c r="Q34" t="n">
        <v>19.32</v>
      </c>
      <c r="R34" t="n">
        <v>35.27</v>
      </c>
      <c r="S34" t="n">
        <v>75.42</v>
      </c>
      <c r="T34" t="n">
        <v>98.36</v>
      </c>
      <c r="U34" t="n">
        <v>22.13</v>
      </c>
      <c r="V34" t="inlineStr">
        <is>
          <t>Type I – Tropical Monsoon (PAGASA)</t>
        </is>
      </c>
      <c r="W34" t="inlineStr">
        <is>
          <t>Dry (Cool)</t>
        </is>
      </c>
      <c r="X34" t="inlineStr">
        <is>
          <t>Dry (Hot)</t>
        </is>
      </c>
      <c r="Y34" t="inlineStr">
        <is>
          <t>Sandy Loam</t>
        </is>
      </c>
      <c r="Z34" t="inlineStr">
        <is>
          <t>Flat / Lowland</t>
        </is>
      </c>
      <c r="AA34" t="n">
        <v>30</v>
      </c>
      <c r="AB34" t="inlineStr">
        <is>
          <t>Tagamusing River</t>
        </is>
      </c>
      <c r="AC34" t="n">
        <v>414.96</v>
      </c>
      <c r="AF34" t="n">
        <v>70.11</v>
      </c>
      <c r="AG34" t="inlineStr">
        <is>
          <t>Direct Seeding (Hill Planting / Furrow Method)</t>
        </is>
      </c>
      <c r="AH34" t="inlineStr">
        <is>
          <t>Conventional Tillage: 1 deep plow (20–25 cm) + 1 harrowing; good tilth easily achieved</t>
        </is>
      </c>
      <c r="AI34" t="inlineStr">
        <is>
          <t>Furrow or sprinkler irrigation; AWD or weekly irrigation; good drainage natural</t>
        </is>
      </c>
      <c r="AJ34" t="n">
        <v>70.11</v>
      </c>
      <c r="AK34" t="n">
        <v>521.84</v>
      </c>
      <c r="AL34" t="n">
        <v>7.44</v>
      </c>
      <c r="AM34" t="inlineStr">
        <is>
          <t>No</t>
        </is>
      </c>
      <c r="AN34" t="inlineStr">
        <is>
          <t>Observed harvest</t>
        </is>
      </c>
    </row>
    <row r="35">
      <c r="A35" t="inlineStr">
        <is>
          <t>Corn</t>
        </is>
      </c>
      <c r="B35" t="inlineStr">
        <is>
          <t>San Felipe Central</t>
        </is>
      </c>
      <c r="C35" t="inlineStr">
        <is>
          <t>DS 2021-2022</t>
        </is>
      </c>
      <c r="D35" t="inlineStr">
        <is>
          <t>November</t>
        </is>
      </c>
      <c r="E35" t="inlineStr">
        <is>
          <t>2021</t>
        </is>
      </c>
      <c r="F35" t="inlineStr">
        <is>
          <t>March</t>
        </is>
      </c>
      <c r="G35" t="inlineStr">
        <is>
          <t>2022</t>
        </is>
      </c>
      <c r="H35" t="n">
        <v>3.47</v>
      </c>
      <c r="I35" t="n">
        <v>26.41</v>
      </c>
      <c r="J35" t="n">
        <v>19.95</v>
      </c>
      <c r="K35" t="n">
        <v>31.91</v>
      </c>
      <c r="L35" t="n">
        <v>82.55</v>
      </c>
      <c r="M35" t="n">
        <v>98.34</v>
      </c>
      <c r="N35" t="n">
        <v>17.76</v>
      </c>
      <c r="O35" t="n">
        <v>2</v>
      </c>
      <c r="P35" t="n">
        <v>27.04</v>
      </c>
      <c r="Q35" t="n">
        <v>19.32</v>
      </c>
      <c r="R35" t="n">
        <v>35.27</v>
      </c>
      <c r="S35" t="n">
        <v>75.42</v>
      </c>
      <c r="T35" t="n">
        <v>98.36</v>
      </c>
      <c r="U35" t="n">
        <v>22.13</v>
      </c>
      <c r="V35" t="inlineStr">
        <is>
          <t>Type I – Tropical Monsoon (PAGASA)</t>
        </is>
      </c>
      <c r="W35" t="inlineStr">
        <is>
          <t>Dry (Cool)</t>
        </is>
      </c>
      <c r="X35" t="inlineStr">
        <is>
          <t>Dry (Hot)</t>
        </is>
      </c>
      <c r="Y35" t="inlineStr">
        <is>
          <t>Sandy Loam</t>
        </is>
      </c>
      <c r="Z35" t="inlineStr">
        <is>
          <t>Flat / Lowland</t>
        </is>
      </c>
      <c r="AA35" t="n">
        <v>30</v>
      </c>
      <c r="AB35" t="inlineStr">
        <is>
          <t>—</t>
        </is>
      </c>
      <c r="AC35" t="n">
        <v>452.76</v>
      </c>
      <c r="AF35" t="n">
        <v>66.67</v>
      </c>
      <c r="AG35" t="inlineStr">
        <is>
          <t>Direct Seeding (Hill Planting / Furrow Method)</t>
        </is>
      </c>
      <c r="AH35" t="inlineStr">
        <is>
          <t>Conventional Tillage: 1 deep plow (20–25 cm) + 1 harrowing; good tilth easily achieved</t>
        </is>
      </c>
      <c r="AI35" t="inlineStr">
        <is>
          <t>Furrow or sprinkler irrigation; AWD or weekly irrigation; good drainage natural</t>
        </is>
      </c>
      <c r="AJ35" t="n">
        <v>66.67</v>
      </c>
      <c r="AK35" t="n">
        <v>496.2</v>
      </c>
      <c r="AL35" t="n">
        <v>7.44</v>
      </c>
      <c r="AM35" t="inlineStr">
        <is>
          <t>No</t>
        </is>
      </c>
      <c r="AN35" t="inlineStr">
        <is>
          <t>Observed harvest</t>
        </is>
      </c>
    </row>
    <row r="36">
      <c r="A36" t="inlineStr">
        <is>
          <t>Corn</t>
        </is>
      </c>
      <c r="B36" t="inlineStr">
        <is>
          <t>San Felipe Sur</t>
        </is>
      </c>
      <c r="C36" t="inlineStr">
        <is>
          <t>DS 2021-2022</t>
        </is>
      </c>
      <c r="D36" t="inlineStr">
        <is>
          <t>November</t>
        </is>
      </c>
      <c r="E36" t="inlineStr">
        <is>
          <t>2021</t>
        </is>
      </c>
      <c r="F36" t="inlineStr">
        <is>
          <t>March</t>
        </is>
      </c>
      <c r="G36" t="inlineStr">
        <is>
          <t>2022</t>
        </is>
      </c>
      <c r="H36" t="n">
        <v>3.47</v>
      </c>
      <c r="I36" t="n">
        <v>26.41</v>
      </c>
      <c r="J36" t="n">
        <v>19.95</v>
      </c>
      <c r="K36" t="n">
        <v>31.91</v>
      </c>
      <c r="L36" t="n">
        <v>82.55</v>
      </c>
      <c r="M36" t="n">
        <v>98.34</v>
      </c>
      <c r="N36" t="n">
        <v>17.76</v>
      </c>
      <c r="O36" t="n">
        <v>2</v>
      </c>
      <c r="P36" t="n">
        <v>27.04</v>
      </c>
      <c r="Q36" t="n">
        <v>19.32</v>
      </c>
      <c r="R36" t="n">
        <v>35.27</v>
      </c>
      <c r="S36" t="n">
        <v>75.42</v>
      </c>
      <c r="T36" t="n">
        <v>98.36</v>
      </c>
      <c r="U36" t="n">
        <v>22.13</v>
      </c>
      <c r="V36" t="inlineStr">
        <is>
          <t>Type I – Tropical Monsoon (PAGASA)</t>
        </is>
      </c>
      <c r="W36" t="inlineStr">
        <is>
          <t>Dry (Cool)</t>
        </is>
      </c>
      <c r="X36" t="inlineStr">
        <is>
          <t>Dry (Hot)</t>
        </is>
      </c>
      <c r="Y36" t="inlineStr">
        <is>
          <t>Sandy Loam</t>
        </is>
      </c>
      <c r="Z36" t="inlineStr">
        <is>
          <t>Flat / Lowland</t>
        </is>
      </c>
      <c r="AA36" t="n">
        <v>30</v>
      </c>
      <c r="AB36" t="inlineStr">
        <is>
          <t>Tagamusing River</t>
        </is>
      </c>
      <c r="AC36" t="n">
        <v>504</v>
      </c>
      <c r="AF36" t="n">
        <v>69.12</v>
      </c>
      <c r="AG36" t="inlineStr">
        <is>
          <t>Direct Seeding (Hill Planting / Furrow Method)</t>
        </is>
      </c>
      <c r="AH36" t="inlineStr">
        <is>
          <t>Conventional Tillage: 1 deep plow (20–25 cm) + 1 harrowing; good tilth easily achieved</t>
        </is>
      </c>
      <c r="AI36" t="inlineStr">
        <is>
          <t>Furrow or sprinkler irrigation; AWD or weekly irrigation; good drainage natural</t>
        </is>
      </c>
      <c r="AJ36" t="n">
        <v>69.12</v>
      </c>
      <c r="AK36" t="n">
        <v>514.4400000000001</v>
      </c>
      <c r="AL36" t="n">
        <v>7.44</v>
      </c>
      <c r="AM36" t="inlineStr">
        <is>
          <t>No</t>
        </is>
      </c>
      <c r="AN36" t="inlineStr">
        <is>
          <t>Observed harvest</t>
        </is>
      </c>
    </row>
    <row r="37">
      <c r="A37" t="inlineStr">
        <is>
          <t>Corn</t>
        </is>
      </c>
      <c r="B37" t="inlineStr">
        <is>
          <t>San Pablo</t>
        </is>
      </c>
      <c r="C37" t="inlineStr">
        <is>
          <t>DS 2021-2022</t>
        </is>
      </c>
      <c r="D37" t="inlineStr">
        <is>
          <t>November</t>
        </is>
      </c>
      <c r="E37" t="inlineStr">
        <is>
          <t>2021</t>
        </is>
      </c>
      <c r="F37" t="inlineStr">
        <is>
          <t>March</t>
        </is>
      </c>
      <c r="G37" t="inlineStr">
        <is>
          <t>2022</t>
        </is>
      </c>
      <c r="H37" t="n">
        <v>3.47</v>
      </c>
      <c r="I37" t="n">
        <v>26.41</v>
      </c>
      <c r="J37" t="n">
        <v>19.95</v>
      </c>
      <c r="K37" t="n">
        <v>31.91</v>
      </c>
      <c r="L37" t="n">
        <v>82.55</v>
      </c>
      <c r="M37" t="n">
        <v>98.34</v>
      </c>
      <c r="N37" t="n">
        <v>17.76</v>
      </c>
      <c r="O37" t="n">
        <v>2</v>
      </c>
      <c r="P37" t="n">
        <v>27.04</v>
      </c>
      <c r="Q37" t="n">
        <v>19.32</v>
      </c>
      <c r="R37" t="n">
        <v>35.27</v>
      </c>
      <c r="S37" t="n">
        <v>75.42</v>
      </c>
      <c r="T37" t="n">
        <v>98.36</v>
      </c>
      <c r="U37" t="n">
        <v>22.13</v>
      </c>
      <c r="V37" t="inlineStr">
        <is>
          <t>Type I – Tropical Monsoon (PAGASA)</t>
        </is>
      </c>
      <c r="W37" t="inlineStr">
        <is>
          <t>Dry (Cool)</t>
        </is>
      </c>
      <c r="X37" t="inlineStr">
        <is>
          <t>Dry (Hot)</t>
        </is>
      </c>
      <c r="Y37" t="inlineStr">
        <is>
          <t>Sandy Loam</t>
        </is>
      </c>
      <c r="Z37" t="inlineStr">
        <is>
          <t>Flat / Lowland</t>
        </is>
      </c>
      <c r="AA37" t="n">
        <v>30</v>
      </c>
      <c r="AB37" t="inlineStr">
        <is>
          <t>San Pablo Creek</t>
        </is>
      </c>
      <c r="AC37" t="n">
        <v>215.04</v>
      </c>
      <c r="AF37" t="n">
        <v>53.45</v>
      </c>
      <c r="AG37" t="inlineStr">
        <is>
          <t>Direct Seeding (Hill Planting / Furrow Method)</t>
        </is>
      </c>
      <c r="AH37" t="inlineStr">
        <is>
          <t>Conventional Tillage: 1 deep plow (20–25 cm) + 1 harrowing; good tilth easily achieved</t>
        </is>
      </c>
      <c r="AI37" t="inlineStr">
        <is>
          <t>Furrow or sprinkler irrigation; AWD or weekly irrigation; good drainage natural</t>
        </is>
      </c>
      <c r="AJ37" t="n">
        <v>53.45</v>
      </c>
      <c r="AK37" t="n">
        <v>397.8</v>
      </c>
      <c r="AL37" t="n">
        <v>7.44</v>
      </c>
      <c r="AM37" t="inlineStr">
        <is>
          <t>No</t>
        </is>
      </c>
      <c r="AN37" t="inlineStr">
        <is>
          <t>Observed harvest</t>
        </is>
      </c>
    </row>
    <row r="38">
      <c r="A38" t="inlineStr">
        <is>
          <t>Corn</t>
        </is>
      </c>
      <c r="B38" t="inlineStr">
        <is>
          <t>Santiago</t>
        </is>
      </c>
      <c r="C38" t="inlineStr">
        <is>
          <t>DS 2021-2022</t>
        </is>
      </c>
      <c r="D38" t="inlineStr">
        <is>
          <t>November</t>
        </is>
      </c>
      <c r="E38" t="inlineStr">
        <is>
          <t>2021</t>
        </is>
      </c>
      <c r="F38" t="inlineStr">
        <is>
          <t>March</t>
        </is>
      </c>
      <c r="G38" t="inlineStr">
        <is>
          <t>2022</t>
        </is>
      </c>
      <c r="H38" t="n">
        <v>3.47</v>
      </c>
      <c r="I38" t="n">
        <v>26.41</v>
      </c>
      <c r="J38" t="n">
        <v>19.95</v>
      </c>
      <c r="K38" t="n">
        <v>31.91</v>
      </c>
      <c r="L38" t="n">
        <v>82.55</v>
      </c>
      <c r="M38" t="n">
        <v>98.34</v>
      </c>
      <c r="N38" t="n">
        <v>17.76</v>
      </c>
      <c r="O38" t="n">
        <v>2</v>
      </c>
      <c r="P38" t="n">
        <v>27.04</v>
      </c>
      <c r="Q38" t="n">
        <v>19.32</v>
      </c>
      <c r="R38" t="n">
        <v>35.27</v>
      </c>
      <c r="S38" t="n">
        <v>75.42</v>
      </c>
      <c r="T38" t="n">
        <v>98.36</v>
      </c>
      <c r="U38" t="n">
        <v>22.13</v>
      </c>
      <c r="V38" t="inlineStr">
        <is>
          <t>Type I – Tropical Monsoon (PAGASA)</t>
        </is>
      </c>
      <c r="W38" t="inlineStr">
        <is>
          <t>Dry (Cool)</t>
        </is>
      </c>
      <c r="X38" t="inlineStr">
        <is>
          <t>Dry (Hot)</t>
        </is>
      </c>
      <c r="Y38" t="inlineStr">
        <is>
          <t>Silty Clay Loam</t>
        </is>
      </c>
      <c r="Z38" t="inlineStr">
        <is>
          <t>Flat / Lowland</t>
        </is>
      </c>
      <c r="AA38" t="n">
        <v>30</v>
      </c>
      <c r="AB38" t="inlineStr">
        <is>
          <t>—</t>
        </is>
      </c>
      <c r="AC38" t="n">
        <v>283.08</v>
      </c>
      <c r="AF38" t="n">
        <v>70.93000000000001</v>
      </c>
      <c r="AG38" t="inlineStr">
        <is>
          <t>Direct Seeding (Furrow Method on Raised Beds)</t>
        </is>
      </c>
      <c r="AH38" t="inlineStr">
        <is>
          <t>Deep Tillage (25 cm): 1–2 plowings; form raised beds 20–25 cm high to prevent waterlogging</t>
        </is>
      </c>
      <c r="AI38" t="inlineStr">
        <is>
          <t>Furrow irrigation only (not flood); ensure bed drainage; drain excess after rain</t>
        </is>
      </c>
      <c r="AJ38" t="n">
        <v>70.93000000000001</v>
      </c>
      <c r="AK38" t="n">
        <v>527.89</v>
      </c>
      <c r="AL38" t="n">
        <v>7.44</v>
      </c>
      <c r="AM38" t="inlineStr">
        <is>
          <t>No</t>
        </is>
      </c>
      <c r="AN38" t="inlineStr">
        <is>
          <t>Observed harvest</t>
        </is>
      </c>
    </row>
    <row r="39">
      <c r="A39" t="inlineStr">
        <is>
          <t>Corn</t>
        </is>
      </c>
      <c r="B39" t="inlineStr">
        <is>
          <t>Sta. Catalina</t>
        </is>
      </c>
      <c r="C39" t="inlineStr">
        <is>
          <t>DS 2021-2022</t>
        </is>
      </c>
      <c r="D39" t="inlineStr">
        <is>
          <t>November</t>
        </is>
      </c>
      <c r="E39" t="inlineStr">
        <is>
          <t>2021</t>
        </is>
      </c>
      <c r="F39" t="inlineStr">
        <is>
          <t>March</t>
        </is>
      </c>
      <c r="G39" t="inlineStr">
        <is>
          <t>2022</t>
        </is>
      </c>
      <c r="H39" t="n">
        <v>3.47</v>
      </c>
      <c r="I39" t="n">
        <v>26.41</v>
      </c>
      <c r="J39" t="n">
        <v>19.95</v>
      </c>
      <c r="K39" t="n">
        <v>31.91</v>
      </c>
      <c r="L39" t="n">
        <v>82.55</v>
      </c>
      <c r="M39" t="n">
        <v>98.34</v>
      </c>
      <c r="N39" t="n">
        <v>17.76</v>
      </c>
      <c r="O39" t="n">
        <v>2</v>
      </c>
      <c r="P39" t="n">
        <v>27.04</v>
      </c>
      <c r="Q39" t="n">
        <v>19.32</v>
      </c>
      <c r="R39" t="n">
        <v>35.27</v>
      </c>
      <c r="S39" t="n">
        <v>75.42</v>
      </c>
      <c r="T39" t="n">
        <v>98.36</v>
      </c>
      <c r="U39" t="n">
        <v>22.13</v>
      </c>
      <c r="V39" t="inlineStr">
        <is>
          <t>Type I – Tropical Monsoon (PAGASA)</t>
        </is>
      </c>
      <c r="W39" t="inlineStr">
        <is>
          <t>Dry (Cool)</t>
        </is>
      </c>
      <c r="X39" t="inlineStr">
        <is>
          <t>Dry (Hot)</t>
        </is>
      </c>
      <c r="Y39" t="inlineStr">
        <is>
          <t>Fine Sand / Sandy Loam</t>
        </is>
      </c>
      <c r="Z39" t="inlineStr">
        <is>
          <t>Moderately Sloping / Highland</t>
        </is>
      </c>
      <c r="AA39" t="n">
        <v>90</v>
      </c>
      <c r="AB39" t="inlineStr">
        <is>
          <t>—</t>
        </is>
      </c>
      <c r="AC39" t="n">
        <v>709.8</v>
      </c>
      <c r="AF39" t="n">
        <v>81.09999999999999</v>
      </c>
      <c r="AG39" t="inlineStr">
        <is>
          <t>Direct Seeding (Hills or Furrow Method)</t>
        </is>
      </c>
      <c r="AH39" t="inlineStr">
        <is>
          <t>Minimum Tillage; deep ripping to break hardpan; avoid over-disturbance</t>
        </is>
      </c>
      <c r="AI39" t="inlineStr">
        <is>
          <t>Furrow irrigation; frequent light watering; mulch to retain soil moisture</t>
        </is>
      </c>
      <c r="AJ39" t="n">
        <v>81.09999999999999</v>
      </c>
      <c r="AK39" t="n">
        <v>603.61</v>
      </c>
      <c r="AL39" t="n">
        <v>7.44</v>
      </c>
      <c r="AM39" t="inlineStr">
        <is>
          <t>No</t>
        </is>
      </c>
      <c r="AN39" t="inlineStr">
        <is>
          <t>Observed harvest</t>
        </is>
      </c>
    </row>
    <row r="40">
      <c r="A40" t="inlineStr">
        <is>
          <t>Corn</t>
        </is>
      </c>
      <c r="B40" t="inlineStr">
        <is>
          <t>Sta. Maria Norte</t>
        </is>
      </c>
      <c r="C40" t="inlineStr">
        <is>
          <t>DS 2021-2022</t>
        </is>
      </c>
      <c r="D40" t="inlineStr">
        <is>
          <t>November</t>
        </is>
      </c>
      <c r="E40" t="inlineStr">
        <is>
          <t>2021</t>
        </is>
      </c>
      <c r="F40" t="inlineStr">
        <is>
          <t>March</t>
        </is>
      </c>
      <c r="G40" t="inlineStr">
        <is>
          <t>2022</t>
        </is>
      </c>
      <c r="H40" t="n">
        <v>3.47</v>
      </c>
      <c r="I40" t="n">
        <v>26.41</v>
      </c>
      <c r="J40" t="n">
        <v>19.95</v>
      </c>
      <c r="K40" t="n">
        <v>31.91</v>
      </c>
      <c r="L40" t="n">
        <v>82.55</v>
      </c>
      <c r="M40" t="n">
        <v>98.34</v>
      </c>
      <c r="N40" t="n">
        <v>17.76</v>
      </c>
      <c r="O40" t="n">
        <v>2</v>
      </c>
      <c r="P40" t="n">
        <v>27.04</v>
      </c>
      <c r="Q40" t="n">
        <v>19.32</v>
      </c>
      <c r="R40" t="n">
        <v>35.27</v>
      </c>
      <c r="S40" t="n">
        <v>75.42</v>
      </c>
      <c r="T40" t="n">
        <v>98.36</v>
      </c>
      <c r="U40" t="n">
        <v>22.13</v>
      </c>
      <c r="V40" t="inlineStr">
        <is>
          <t>Type I – Tropical Monsoon (PAGASA)</t>
        </is>
      </c>
      <c r="W40" t="inlineStr">
        <is>
          <t>Dry (Cool)</t>
        </is>
      </c>
      <c r="X40" t="inlineStr">
        <is>
          <t>Dry (Hot)</t>
        </is>
      </c>
      <c r="Y40" t="inlineStr">
        <is>
          <t>Sandy Loam</t>
        </is>
      </c>
      <c r="Z40" t="inlineStr">
        <is>
          <t>Flat / Lowland</t>
        </is>
      </c>
      <c r="AA40" t="n">
        <v>30</v>
      </c>
      <c r="AB40" t="inlineStr">
        <is>
          <t>Tagamusing River</t>
        </is>
      </c>
      <c r="AC40" t="n">
        <v>157.08</v>
      </c>
      <c r="AF40" t="n">
        <v>23.79</v>
      </c>
      <c r="AG40" t="inlineStr">
        <is>
          <t>Direct Seeding (Hill Planting / Furrow Method)</t>
        </is>
      </c>
      <c r="AH40" t="inlineStr">
        <is>
          <t>Conventional Tillage: 1 deep plow (20–25 cm) + 1 harrowing; good tilth easily achieved</t>
        </is>
      </c>
      <c r="AI40" t="inlineStr">
        <is>
          <t>Furrow or sprinkler irrigation; AWD or weekly irrigation; good drainage natural</t>
        </is>
      </c>
      <c r="AJ40" t="n">
        <v>23.79</v>
      </c>
      <c r="AK40" t="n">
        <v>177.04</v>
      </c>
      <c r="AL40" t="n">
        <v>7.44</v>
      </c>
      <c r="AM40" t="inlineStr">
        <is>
          <t>No</t>
        </is>
      </c>
      <c r="AN40" t="inlineStr">
        <is>
          <t>Observed harvest</t>
        </is>
      </c>
    </row>
    <row r="41">
      <c r="A41" t="inlineStr">
        <is>
          <t>Corn</t>
        </is>
      </c>
      <c r="B41" t="inlineStr">
        <is>
          <t>Sumabnit</t>
        </is>
      </c>
      <c r="C41" t="inlineStr">
        <is>
          <t>DS 2021-2022</t>
        </is>
      </c>
      <c r="D41" t="inlineStr">
        <is>
          <t>November</t>
        </is>
      </c>
      <c r="E41" t="inlineStr">
        <is>
          <t>2021</t>
        </is>
      </c>
      <c r="F41" t="inlineStr">
        <is>
          <t>March</t>
        </is>
      </c>
      <c r="G41" t="inlineStr">
        <is>
          <t>2022</t>
        </is>
      </c>
      <c r="H41" t="n">
        <v>3.47</v>
      </c>
      <c r="I41" t="n">
        <v>26.41</v>
      </c>
      <c r="J41" t="n">
        <v>19.95</v>
      </c>
      <c r="K41" t="n">
        <v>31.91</v>
      </c>
      <c r="L41" t="n">
        <v>82.55</v>
      </c>
      <c r="M41" t="n">
        <v>98.34</v>
      </c>
      <c r="N41" t="n">
        <v>17.76</v>
      </c>
      <c r="O41" t="n">
        <v>2</v>
      </c>
      <c r="P41" t="n">
        <v>27.04</v>
      </c>
      <c r="Q41" t="n">
        <v>19.32</v>
      </c>
      <c r="R41" t="n">
        <v>35.27</v>
      </c>
      <c r="S41" t="n">
        <v>75.42</v>
      </c>
      <c r="T41" t="n">
        <v>98.36</v>
      </c>
      <c r="U41" t="n">
        <v>22.13</v>
      </c>
      <c r="V41" t="inlineStr">
        <is>
          <t>Type I – Tropical Monsoon (PAGASA)</t>
        </is>
      </c>
      <c r="W41" t="inlineStr">
        <is>
          <t>Dry (Cool)</t>
        </is>
      </c>
      <c r="X41" t="inlineStr">
        <is>
          <t>Dry (Hot)</t>
        </is>
      </c>
      <c r="Y41" t="inlineStr">
        <is>
          <t>Silty Clay Loam / Fine Sandy Loam</t>
        </is>
      </c>
      <c r="Z41" t="inlineStr">
        <is>
          <t>Flat / Lowland</t>
        </is>
      </c>
      <c r="AA41" t="n">
        <v>30</v>
      </c>
      <c r="AB41" t="inlineStr">
        <is>
          <t>Tagamusing River</t>
        </is>
      </c>
      <c r="AC41" t="n">
        <v>406.56</v>
      </c>
      <c r="AF41" t="n">
        <v>73.36</v>
      </c>
      <c r="AG41" t="inlineStr">
        <is>
          <t>Direct Seeding (Hills or Furrow Method)</t>
        </is>
      </c>
      <c r="AH41" t="inlineStr">
        <is>
          <t>Minimum Tillage; deep ripping to break hardpan; avoid over-disturbance</t>
        </is>
      </c>
      <c r="AI41" t="inlineStr">
        <is>
          <t>Furrow irrigation; frequent light watering; mulch to retain soil moisture</t>
        </is>
      </c>
      <c r="AJ41" t="n">
        <v>73.36</v>
      </c>
      <c r="AK41" t="n">
        <v>545.98</v>
      </c>
      <c r="AL41" t="n">
        <v>7.44</v>
      </c>
      <c r="AM41" t="inlineStr">
        <is>
          <t>No</t>
        </is>
      </c>
      <c r="AN41" t="inlineStr">
        <is>
          <t>Observed harvest</t>
        </is>
      </c>
    </row>
    <row r="42">
      <c r="A42" t="inlineStr">
        <is>
          <t>Corn</t>
        </is>
      </c>
      <c r="B42" t="inlineStr">
        <is>
          <t>Tabuyoc</t>
        </is>
      </c>
      <c r="C42" t="inlineStr">
        <is>
          <t>DS 2021-2022</t>
        </is>
      </c>
      <c r="D42" t="inlineStr">
        <is>
          <t>November</t>
        </is>
      </c>
      <c r="E42" t="inlineStr">
        <is>
          <t>2021</t>
        </is>
      </c>
      <c r="F42" t="inlineStr">
        <is>
          <t>March</t>
        </is>
      </c>
      <c r="G42" t="inlineStr">
        <is>
          <t>2022</t>
        </is>
      </c>
      <c r="H42" t="n">
        <v>3.47</v>
      </c>
      <c r="I42" t="n">
        <v>26.41</v>
      </c>
      <c r="J42" t="n">
        <v>19.95</v>
      </c>
      <c r="K42" t="n">
        <v>31.91</v>
      </c>
      <c r="L42" t="n">
        <v>82.55</v>
      </c>
      <c r="M42" t="n">
        <v>98.34</v>
      </c>
      <c r="N42" t="n">
        <v>17.76</v>
      </c>
      <c r="O42" t="n">
        <v>2</v>
      </c>
      <c r="P42" t="n">
        <v>27.04</v>
      </c>
      <c r="Q42" t="n">
        <v>19.32</v>
      </c>
      <c r="R42" t="n">
        <v>35.27</v>
      </c>
      <c r="S42" t="n">
        <v>75.42</v>
      </c>
      <c r="T42" t="n">
        <v>98.36</v>
      </c>
      <c r="U42" t="n">
        <v>22.13</v>
      </c>
      <c r="V42" t="inlineStr">
        <is>
          <t>Type I – Tropical Monsoon (PAGASA)</t>
        </is>
      </c>
      <c r="W42" t="inlineStr">
        <is>
          <t>Dry (Cool)</t>
        </is>
      </c>
      <c r="X42" t="inlineStr">
        <is>
          <t>Dry (Hot)</t>
        </is>
      </c>
      <c r="Y42" t="inlineStr">
        <is>
          <t>Silty Clay Loam</t>
        </is>
      </c>
      <c r="Z42" t="inlineStr">
        <is>
          <t>Flat / Lowland</t>
        </is>
      </c>
      <c r="AA42" t="n">
        <v>30</v>
      </c>
      <c r="AB42" t="inlineStr">
        <is>
          <t>—</t>
        </is>
      </c>
      <c r="AC42" t="n">
        <v>277.2</v>
      </c>
      <c r="AF42" t="n">
        <v>56.61</v>
      </c>
      <c r="AG42" t="inlineStr">
        <is>
          <t>Direct Seeding (Furrow Method on Raised Beds)</t>
        </is>
      </c>
      <c r="AH42" t="inlineStr">
        <is>
          <t>Deep Tillage (25 cm): 1–2 plowings; form raised beds 20–25 cm high to prevent waterlogging</t>
        </is>
      </c>
      <c r="AI42" t="inlineStr">
        <is>
          <t>Furrow irrigation only (not flood); ensure bed drainage; drain excess after rain</t>
        </is>
      </c>
      <c r="AJ42" t="n">
        <v>56.61</v>
      </c>
      <c r="AK42" t="n">
        <v>421.31</v>
      </c>
      <c r="AL42" t="n">
        <v>7.44</v>
      </c>
      <c r="AM42" t="inlineStr">
        <is>
          <t>No</t>
        </is>
      </c>
      <c r="AN42" t="inlineStr">
        <is>
          <t>Observed harvest</t>
        </is>
      </c>
    </row>
    <row r="43">
      <c r="A43" t="inlineStr">
        <is>
          <t>Corn</t>
        </is>
      </c>
      <c r="B43" t="inlineStr">
        <is>
          <t>Vacante</t>
        </is>
      </c>
      <c r="C43" t="inlineStr">
        <is>
          <t>DS 2021-2022</t>
        </is>
      </c>
      <c r="D43" t="inlineStr">
        <is>
          <t>November</t>
        </is>
      </c>
      <c r="E43" t="inlineStr">
        <is>
          <t>2021</t>
        </is>
      </c>
      <c r="F43" t="inlineStr">
        <is>
          <t>March</t>
        </is>
      </c>
      <c r="G43" t="inlineStr">
        <is>
          <t>2022</t>
        </is>
      </c>
      <c r="H43" t="n">
        <v>3.47</v>
      </c>
      <c r="I43" t="n">
        <v>26.41</v>
      </c>
      <c r="J43" t="n">
        <v>19.95</v>
      </c>
      <c r="K43" t="n">
        <v>31.91</v>
      </c>
      <c r="L43" t="n">
        <v>82.55</v>
      </c>
      <c r="M43" t="n">
        <v>98.34</v>
      </c>
      <c r="N43" t="n">
        <v>17.76</v>
      </c>
      <c r="O43" t="n">
        <v>2</v>
      </c>
      <c r="P43" t="n">
        <v>27.04</v>
      </c>
      <c r="Q43" t="n">
        <v>19.32</v>
      </c>
      <c r="R43" t="n">
        <v>35.27</v>
      </c>
      <c r="S43" t="n">
        <v>75.42</v>
      </c>
      <c r="T43" t="n">
        <v>98.36</v>
      </c>
      <c r="U43" t="n">
        <v>22.13</v>
      </c>
      <c r="V43" t="inlineStr">
        <is>
          <t>Type I – Tropical Monsoon (PAGASA)</t>
        </is>
      </c>
      <c r="W43" t="inlineStr">
        <is>
          <t>Dry (Cool)</t>
        </is>
      </c>
      <c r="X43" t="inlineStr">
        <is>
          <t>Dry (Hot)</t>
        </is>
      </c>
      <c r="Y43" t="inlineStr">
        <is>
          <t>Silty Clay Loam</t>
        </is>
      </c>
      <c r="Z43" t="inlineStr">
        <is>
          <t>Flat / Lowland</t>
        </is>
      </c>
      <c r="AA43" t="n">
        <v>30</v>
      </c>
      <c r="AB43" t="inlineStr">
        <is>
          <t>Aloragat River</t>
        </is>
      </c>
      <c r="AC43" t="n">
        <v>484.68</v>
      </c>
      <c r="AF43" t="n">
        <v>47.66</v>
      </c>
      <c r="AG43" t="inlineStr">
        <is>
          <t>Direct Seeding (Furrow Method on Raised Beds)</t>
        </is>
      </c>
      <c r="AH43" t="inlineStr">
        <is>
          <t>Deep Tillage (25 cm): 1–2 plowings; form raised beds 20–25 cm high to prevent waterlogging</t>
        </is>
      </c>
      <c r="AI43" t="inlineStr">
        <is>
          <t>Furrow irrigation only (not flood); ensure bed drainage; drain excess after rain</t>
        </is>
      </c>
      <c r="AJ43" t="n">
        <v>47.66</v>
      </c>
      <c r="AK43" t="n">
        <v>354.75</v>
      </c>
      <c r="AL43" t="n">
        <v>7.44</v>
      </c>
      <c r="AM43" t="inlineStr">
        <is>
          <t>No</t>
        </is>
      </c>
      <c r="AN43" t="inlineStr">
        <is>
          <t>Observed harvest</t>
        </is>
      </c>
    </row>
    <row r="44">
      <c r="A44" t="inlineStr">
        <is>
          <t>Corn</t>
        </is>
      </c>
      <c r="B44" t="inlineStr">
        <is>
          <t>Balangobong</t>
        </is>
      </c>
      <c r="C44" t="inlineStr">
        <is>
          <t>DS 2022-2023</t>
        </is>
      </c>
      <c r="D44" t="inlineStr">
        <is>
          <t>November</t>
        </is>
      </c>
      <c r="E44" t="inlineStr">
        <is>
          <t>2022</t>
        </is>
      </c>
      <c r="F44" t="inlineStr">
        <is>
          <t>March</t>
        </is>
      </c>
      <c r="G44" t="inlineStr">
        <is>
          <t>2023</t>
        </is>
      </c>
      <c r="H44" t="n">
        <v>2.22</v>
      </c>
      <c r="I44" t="n">
        <v>26.38</v>
      </c>
      <c r="J44" t="n">
        <v>19.97</v>
      </c>
      <c r="K44" t="n">
        <v>31.8</v>
      </c>
      <c r="L44" t="n">
        <v>83.62</v>
      </c>
      <c r="M44" t="n">
        <v>98.40000000000001</v>
      </c>
      <c r="N44" t="n">
        <v>17.64</v>
      </c>
      <c r="O44" t="n">
        <v>0.16</v>
      </c>
      <c r="P44" t="n">
        <v>26.48</v>
      </c>
      <c r="Q44" t="n">
        <v>17.91</v>
      </c>
      <c r="R44" t="n">
        <v>36.41</v>
      </c>
      <c r="S44" t="n">
        <v>67.70999999999999</v>
      </c>
      <c r="T44" t="n">
        <v>98.55</v>
      </c>
      <c r="U44" t="n">
        <v>22.69</v>
      </c>
      <c r="V44" t="inlineStr">
        <is>
          <t>Type I – Tropical Monsoon (PAGASA)</t>
        </is>
      </c>
      <c r="W44" t="inlineStr">
        <is>
          <t>Dry (Cool)</t>
        </is>
      </c>
      <c r="X44" t="inlineStr">
        <is>
          <t>Dry (Hot)</t>
        </is>
      </c>
      <c r="Y44" t="inlineStr">
        <is>
          <t>Silty Clay Loam</t>
        </is>
      </c>
      <c r="Z44" t="inlineStr">
        <is>
          <t>Flat / Lowland</t>
        </is>
      </c>
      <c r="AA44" t="n">
        <v>30</v>
      </c>
      <c r="AB44" t="inlineStr">
        <is>
          <t>—</t>
        </is>
      </c>
      <c r="AC44" t="n">
        <v>281.4</v>
      </c>
      <c r="AF44" t="n">
        <v>53.25</v>
      </c>
      <c r="AG44" t="inlineStr">
        <is>
          <t>Direct Seeding (Furrow Method on Raised Beds)</t>
        </is>
      </c>
      <c r="AH44" t="inlineStr">
        <is>
          <t>Deep Tillage (25 cm): 1–2 plowings; form raised beds 20–25 cm high to prevent waterlogging</t>
        </is>
      </c>
      <c r="AI44" t="inlineStr">
        <is>
          <t>Furrow irrigation only (not flood); ensure bed drainage; drain excess after rain</t>
        </is>
      </c>
      <c r="AJ44" t="n">
        <v>53.26</v>
      </c>
      <c r="AK44" t="n">
        <v>401.09</v>
      </c>
      <c r="AL44" t="n">
        <v>7.53</v>
      </c>
      <c r="AM44" t="inlineStr">
        <is>
          <t>No</t>
        </is>
      </c>
      <c r="AN44" t="inlineStr">
        <is>
          <t>Observed harvest</t>
        </is>
      </c>
    </row>
    <row r="45">
      <c r="A45" t="inlineStr">
        <is>
          <t>Corn</t>
        </is>
      </c>
      <c r="B45" t="inlineStr">
        <is>
          <t>Bued</t>
        </is>
      </c>
      <c r="C45" t="inlineStr">
        <is>
          <t>DS 2022-2023</t>
        </is>
      </c>
      <c r="D45" t="inlineStr">
        <is>
          <t>November</t>
        </is>
      </c>
      <c r="E45" t="inlineStr">
        <is>
          <t>2022</t>
        </is>
      </c>
      <c r="F45" t="inlineStr">
        <is>
          <t>March</t>
        </is>
      </c>
      <c r="G45" t="inlineStr">
        <is>
          <t>2023</t>
        </is>
      </c>
      <c r="H45" t="n">
        <v>2.22</v>
      </c>
      <c r="I45" t="n">
        <v>26.38</v>
      </c>
      <c r="J45" t="n">
        <v>19.97</v>
      </c>
      <c r="K45" t="n">
        <v>31.8</v>
      </c>
      <c r="L45" t="n">
        <v>83.62</v>
      </c>
      <c r="M45" t="n">
        <v>98.40000000000001</v>
      </c>
      <c r="N45" t="n">
        <v>17.64</v>
      </c>
      <c r="O45" t="n">
        <v>0.16</v>
      </c>
      <c r="P45" t="n">
        <v>26.48</v>
      </c>
      <c r="Q45" t="n">
        <v>17.91</v>
      </c>
      <c r="R45" t="n">
        <v>36.41</v>
      </c>
      <c r="S45" t="n">
        <v>67.70999999999999</v>
      </c>
      <c r="T45" t="n">
        <v>98.55</v>
      </c>
      <c r="U45" t="n">
        <v>22.69</v>
      </c>
      <c r="V45" t="inlineStr">
        <is>
          <t>Type I – Tropical Monsoon (PAGASA)</t>
        </is>
      </c>
      <c r="W45" t="inlineStr">
        <is>
          <t>Dry (Cool)</t>
        </is>
      </c>
      <c r="X45" t="inlineStr">
        <is>
          <t>Dry (Hot)</t>
        </is>
      </c>
      <c r="Y45" t="inlineStr">
        <is>
          <t>Silty Clay Loam</t>
        </is>
      </c>
      <c r="Z45" t="inlineStr">
        <is>
          <t>Flat / Lowland</t>
        </is>
      </c>
      <c r="AA45" t="n">
        <v>30</v>
      </c>
      <c r="AB45" t="inlineStr">
        <is>
          <t>Tagamusing River</t>
        </is>
      </c>
      <c r="AC45" t="n">
        <v>210.84</v>
      </c>
      <c r="AF45" t="n">
        <v>42.58</v>
      </c>
      <c r="AG45" t="inlineStr">
        <is>
          <t>Direct Seeding (Furrow Method on Raised Beds)</t>
        </is>
      </c>
      <c r="AH45" t="inlineStr">
        <is>
          <t>Deep Tillage (25 cm): 1–2 plowings; form raised beds 20–25 cm high to prevent waterlogging</t>
        </is>
      </c>
      <c r="AI45" t="inlineStr">
        <is>
          <t>Furrow irrigation only (not flood); ensure bed drainage; drain excess after rain</t>
        </is>
      </c>
      <c r="AJ45" t="n">
        <v>42.58</v>
      </c>
      <c r="AK45" t="n">
        <v>320.71</v>
      </c>
      <c r="AL45" t="n">
        <v>7.53</v>
      </c>
      <c r="AM45" t="inlineStr">
        <is>
          <t>No</t>
        </is>
      </c>
      <c r="AN45" t="inlineStr">
        <is>
          <t>Observed harvest</t>
        </is>
      </c>
    </row>
    <row r="46">
      <c r="A46" t="inlineStr">
        <is>
          <t>Corn</t>
        </is>
      </c>
      <c r="B46" t="inlineStr">
        <is>
          <t>Bugayong</t>
        </is>
      </c>
      <c r="C46" t="inlineStr">
        <is>
          <t>DS 2022-2023</t>
        </is>
      </c>
      <c r="D46" t="inlineStr">
        <is>
          <t>November</t>
        </is>
      </c>
      <c r="E46" t="inlineStr">
        <is>
          <t>2022</t>
        </is>
      </c>
      <c r="F46" t="inlineStr">
        <is>
          <t>March</t>
        </is>
      </c>
      <c r="G46" t="inlineStr">
        <is>
          <t>2023</t>
        </is>
      </c>
      <c r="H46" t="n">
        <v>2.22</v>
      </c>
      <c r="I46" t="n">
        <v>26.38</v>
      </c>
      <c r="J46" t="n">
        <v>19.97</v>
      </c>
      <c r="K46" t="n">
        <v>31.8</v>
      </c>
      <c r="L46" t="n">
        <v>83.62</v>
      </c>
      <c r="M46" t="n">
        <v>98.40000000000001</v>
      </c>
      <c r="N46" t="n">
        <v>17.64</v>
      </c>
      <c r="O46" t="n">
        <v>0.16</v>
      </c>
      <c r="P46" t="n">
        <v>26.48</v>
      </c>
      <c r="Q46" t="n">
        <v>17.91</v>
      </c>
      <c r="R46" t="n">
        <v>36.41</v>
      </c>
      <c r="S46" t="n">
        <v>67.70999999999999</v>
      </c>
      <c r="T46" t="n">
        <v>98.55</v>
      </c>
      <c r="U46" t="n">
        <v>22.69</v>
      </c>
      <c r="V46" t="inlineStr">
        <is>
          <t>Type I – Tropical Monsoon (PAGASA)</t>
        </is>
      </c>
      <c r="W46" t="inlineStr">
        <is>
          <t>Dry (Cool)</t>
        </is>
      </c>
      <c r="X46" t="inlineStr">
        <is>
          <t>Dry (Hot)</t>
        </is>
      </c>
      <c r="Y46" t="inlineStr">
        <is>
          <t>Sandy Loam / Silty Clay Loam</t>
        </is>
      </c>
      <c r="Z46" t="inlineStr">
        <is>
          <t>Flat / Lowland</t>
        </is>
      </c>
      <c r="AA46" t="n">
        <v>30</v>
      </c>
      <c r="AB46" t="inlineStr">
        <is>
          <t>Aloragat River</t>
        </is>
      </c>
      <c r="AC46" t="n">
        <v>346.08</v>
      </c>
      <c r="AF46" t="n">
        <v>21.3</v>
      </c>
      <c r="AG46" t="inlineStr">
        <is>
          <t>Direct Seeding (Furrow or Hill Method)</t>
        </is>
      </c>
      <c r="AH46" t="inlineStr">
        <is>
          <t>Conventional Tillage: 1 deep plow + harrowing; ensure good drainage channels</t>
        </is>
      </c>
      <c r="AI46" t="inlineStr">
        <is>
          <t>Furrow irrigation; avoid waterlogging — clay fraction retains excess moisture</t>
        </is>
      </c>
      <c r="AJ46" t="n">
        <v>21.3</v>
      </c>
      <c r="AK46" t="n">
        <v>160.42</v>
      </c>
      <c r="AL46" t="n">
        <v>7.53</v>
      </c>
      <c r="AM46" t="inlineStr">
        <is>
          <t>No</t>
        </is>
      </c>
      <c r="AN46" t="inlineStr">
        <is>
          <t>Observed harvest</t>
        </is>
      </c>
    </row>
    <row r="47">
      <c r="A47" t="inlineStr">
        <is>
          <t>Corn</t>
        </is>
      </c>
      <c r="B47" t="inlineStr">
        <is>
          <t>Camanggaan</t>
        </is>
      </c>
      <c r="C47" t="inlineStr">
        <is>
          <t>DS 2022-2023</t>
        </is>
      </c>
      <c r="D47" t="inlineStr">
        <is>
          <t>November</t>
        </is>
      </c>
      <c r="E47" t="inlineStr">
        <is>
          <t>2022</t>
        </is>
      </c>
      <c r="F47" t="inlineStr">
        <is>
          <t>March</t>
        </is>
      </c>
      <c r="G47" t="inlineStr">
        <is>
          <t>2023</t>
        </is>
      </c>
      <c r="H47" t="n">
        <v>2.22</v>
      </c>
      <c r="I47" t="n">
        <v>26.38</v>
      </c>
      <c r="J47" t="n">
        <v>19.97</v>
      </c>
      <c r="K47" t="n">
        <v>31.8</v>
      </c>
      <c r="L47" t="n">
        <v>83.62</v>
      </c>
      <c r="M47" t="n">
        <v>98.40000000000001</v>
      </c>
      <c r="N47" t="n">
        <v>17.64</v>
      </c>
      <c r="O47" t="n">
        <v>0.16</v>
      </c>
      <c r="P47" t="n">
        <v>26.48</v>
      </c>
      <c r="Q47" t="n">
        <v>17.91</v>
      </c>
      <c r="R47" t="n">
        <v>36.41</v>
      </c>
      <c r="S47" t="n">
        <v>67.70999999999999</v>
      </c>
      <c r="T47" t="n">
        <v>98.55</v>
      </c>
      <c r="U47" t="n">
        <v>22.69</v>
      </c>
      <c r="V47" t="inlineStr">
        <is>
          <t>Type I – Tropical Monsoon (PAGASA)</t>
        </is>
      </c>
      <c r="W47" t="inlineStr">
        <is>
          <t>Dry (Cool)</t>
        </is>
      </c>
      <c r="X47" t="inlineStr">
        <is>
          <t>Dry (Hot)</t>
        </is>
      </c>
      <c r="Y47" t="inlineStr">
        <is>
          <t>Sandy Loam</t>
        </is>
      </c>
      <c r="Z47" t="inlineStr">
        <is>
          <t>Flat / Lowland</t>
        </is>
      </c>
      <c r="AA47" t="n">
        <v>30</v>
      </c>
      <c r="AB47" t="inlineStr">
        <is>
          <t>—</t>
        </is>
      </c>
      <c r="AC47" t="n">
        <v>244.44</v>
      </c>
      <c r="AF47" t="n">
        <v>24.6</v>
      </c>
      <c r="AG47" t="inlineStr">
        <is>
          <t>Direct Seeding (Hill Planting / Furrow Method)</t>
        </is>
      </c>
      <c r="AH47" t="inlineStr">
        <is>
          <t>Conventional Tillage: 1 deep plow (20–25 cm) + 1 harrowing; good tilth easily achieved</t>
        </is>
      </c>
      <c r="AI47" t="inlineStr">
        <is>
          <t>Furrow or sprinkler irrigation; AWD or weekly irrigation; good drainage natural</t>
        </is>
      </c>
      <c r="AJ47" t="n">
        <v>24.6</v>
      </c>
      <c r="AK47" t="n">
        <v>185.31</v>
      </c>
      <c r="AL47" t="n">
        <v>7.53</v>
      </c>
      <c r="AM47" t="inlineStr">
        <is>
          <t>No</t>
        </is>
      </c>
      <c r="AN47" t="inlineStr">
        <is>
          <t>Observed harvest</t>
        </is>
      </c>
    </row>
    <row r="48">
      <c r="A48" t="inlineStr">
        <is>
          <t>Corn</t>
        </is>
      </c>
      <c r="B48" t="inlineStr">
        <is>
          <t>Capas</t>
        </is>
      </c>
      <c r="C48" t="inlineStr">
        <is>
          <t>DS 2022-2023</t>
        </is>
      </c>
      <c r="D48" t="inlineStr">
        <is>
          <t>November</t>
        </is>
      </c>
      <c r="E48" t="inlineStr">
        <is>
          <t>2022</t>
        </is>
      </c>
      <c r="F48" t="inlineStr">
        <is>
          <t>March</t>
        </is>
      </c>
      <c r="G48" t="inlineStr">
        <is>
          <t>2023</t>
        </is>
      </c>
      <c r="H48" t="n">
        <v>2.22</v>
      </c>
      <c r="I48" t="n">
        <v>26.38</v>
      </c>
      <c r="J48" t="n">
        <v>19.97</v>
      </c>
      <c r="K48" t="n">
        <v>31.8</v>
      </c>
      <c r="L48" t="n">
        <v>83.62</v>
      </c>
      <c r="M48" t="n">
        <v>98.40000000000001</v>
      </c>
      <c r="N48" t="n">
        <v>17.64</v>
      </c>
      <c r="O48" t="n">
        <v>0.16</v>
      </c>
      <c r="P48" t="n">
        <v>26.48</v>
      </c>
      <c r="Q48" t="n">
        <v>17.91</v>
      </c>
      <c r="R48" t="n">
        <v>36.41</v>
      </c>
      <c r="S48" t="n">
        <v>67.70999999999999</v>
      </c>
      <c r="T48" t="n">
        <v>98.55</v>
      </c>
      <c r="U48" t="n">
        <v>22.69</v>
      </c>
      <c r="V48" t="inlineStr">
        <is>
          <t>Type I – Tropical Monsoon (PAGASA)</t>
        </is>
      </c>
      <c r="W48" t="inlineStr">
        <is>
          <t>Dry (Cool)</t>
        </is>
      </c>
      <c r="X48" t="inlineStr">
        <is>
          <t>Dry (Hot)</t>
        </is>
      </c>
      <c r="Y48" t="inlineStr">
        <is>
          <t>Sandy Loam</t>
        </is>
      </c>
      <c r="Z48" t="inlineStr">
        <is>
          <t>Flat / Lowland</t>
        </is>
      </c>
      <c r="AA48" t="n">
        <v>30</v>
      </c>
      <c r="AB48" t="inlineStr">
        <is>
          <t>—</t>
        </is>
      </c>
      <c r="AC48" t="n">
        <v>377.16</v>
      </c>
      <c r="AF48" t="n">
        <v>102.74</v>
      </c>
      <c r="AG48" t="inlineStr">
        <is>
          <t>Direct Seeding (Hill Planting / Furrow Method)</t>
        </is>
      </c>
      <c r="AH48" t="inlineStr">
        <is>
          <t>Conventional Tillage: 1 deep plow (20–25 cm) + 1 harrowing; good tilth easily achieved</t>
        </is>
      </c>
      <c r="AI48" t="inlineStr">
        <is>
          <t>Furrow or sprinkler irrigation; AWD or weekly irrigation; good drainage natural</t>
        </is>
      </c>
      <c r="AJ48" t="n">
        <v>102.74</v>
      </c>
      <c r="AK48" t="n">
        <v>773.8200000000001</v>
      </c>
      <c r="AL48" t="n">
        <v>7.53</v>
      </c>
      <c r="AM48" t="inlineStr">
        <is>
          <t>No</t>
        </is>
      </c>
      <c r="AN48" t="inlineStr">
        <is>
          <t>Observed harvest</t>
        </is>
      </c>
    </row>
    <row r="49">
      <c r="A49" t="inlineStr">
        <is>
          <t>Corn</t>
        </is>
      </c>
      <c r="B49" t="inlineStr">
        <is>
          <t>Cili</t>
        </is>
      </c>
      <c r="C49" t="inlineStr">
        <is>
          <t>DS 2022-2023</t>
        </is>
      </c>
      <c r="D49" t="inlineStr">
        <is>
          <t>November</t>
        </is>
      </c>
      <c r="E49" t="inlineStr">
        <is>
          <t>2022</t>
        </is>
      </c>
      <c r="F49" t="inlineStr">
        <is>
          <t>March</t>
        </is>
      </c>
      <c r="G49" t="inlineStr">
        <is>
          <t>2023</t>
        </is>
      </c>
      <c r="H49" t="n">
        <v>2.22</v>
      </c>
      <c r="I49" t="n">
        <v>26.38</v>
      </c>
      <c r="J49" t="n">
        <v>19.97</v>
      </c>
      <c r="K49" t="n">
        <v>31.8</v>
      </c>
      <c r="L49" t="n">
        <v>83.62</v>
      </c>
      <c r="M49" t="n">
        <v>98.40000000000001</v>
      </c>
      <c r="N49" t="n">
        <v>17.64</v>
      </c>
      <c r="O49" t="n">
        <v>0.16</v>
      </c>
      <c r="P49" t="n">
        <v>26.48</v>
      </c>
      <c r="Q49" t="n">
        <v>17.91</v>
      </c>
      <c r="R49" t="n">
        <v>36.41</v>
      </c>
      <c r="S49" t="n">
        <v>67.70999999999999</v>
      </c>
      <c r="T49" t="n">
        <v>98.55</v>
      </c>
      <c r="U49" t="n">
        <v>22.69</v>
      </c>
      <c r="V49" t="inlineStr">
        <is>
          <t>Type I – Tropical Monsoon (PAGASA)</t>
        </is>
      </c>
      <c r="W49" t="inlineStr">
        <is>
          <t>Dry (Cool)</t>
        </is>
      </c>
      <c r="X49" t="inlineStr">
        <is>
          <t>Dry (Hot)</t>
        </is>
      </c>
      <c r="Y49" t="inlineStr">
        <is>
          <t>Silty Clay Loam</t>
        </is>
      </c>
      <c r="Z49" t="inlineStr">
        <is>
          <t>Flat / Lowland</t>
        </is>
      </c>
      <c r="AA49" t="n">
        <v>30</v>
      </c>
      <c r="AB49" t="inlineStr">
        <is>
          <t>Alibeng River</t>
        </is>
      </c>
      <c r="AC49" t="n">
        <v>264.6</v>
      </c>
      <c r="AF49" t="n">
        <v>54.02</v>
      </c>
      <c r="AG49" t="inlineStr">
        <is>
          <t>Direct Seeding (Furrow Method on Raised Beds)</t>
        </is>
      </c>
      <c r="AH49" t="inlineStr">
        <is>
          <t>Deep Tillage (25 cm): 1–2 plowings; form raised beds 20–25 cm high to prevent waterlogging</t>
        </is>
      </c>
      <c r="AI49" t="inlineStr">
        <is>
          <t>Furrow irrigation only (not flood); ensure bed drainage; drain excess after rain</t>
        </is>
      </c>
      <c r="AJ49" t="n">
        <v>54.02</v>
      </c>
      <c r="AK49" t="n">
        <v>406.86</v>
      </c>
      <c r="AL49" t="n">
        <v>7.53</v>
      </c>
      <c r="AM49" t="inlineStr">
        <is>
          <t>No</t>
        </is>
      </c>
      <c r="AN49" t="inlineStr">
        <is>
          <t>Observed harvest</t>
        </is>
      </c>
    </row>
    <row r="50">
      <c r="A50" t="inlineStr">
        <is>
          <t>Corn</t>
        </is>
      </c>
      <c r="B50" t="inlineStr">
        <is>
          <t>Dumayat</t>
        </is>
      </c>
      <c r="C50" t="inlineStr">
        <is>
          <t>DS 2022-2023</t>
        </is>
      </c>
      <c r="D50" t="inlineStr">
        <is>
          <t>November</t>
        </is>
      </c>
      <c r="E50" t="inlineStr">
        <is>
          <t>2022</t>
        </is>
      </c>
      <c r="F50" t="inlineStr">
        <is>
          <t>March</t>
        </is>
      </c>
      <c r="G50" t="inlineStr">
        <is>
          <t>2023</t>
        </is>
      </c>
      <c r="H50" t="n">
        <v>2.22</v>
      </c>
      <c r="I50" t="n">
        <v>26.38</v>
      </c>
      <c r="J50" t="n">
        <v>19.97</v>
      </c>
      <c r="K50" t="n">
        <v>31.8</v>
      </c>
      <c r="L50" t="n">
        <v>83.62</v>
      </c>
      <c r="M50" t="n">
        <v>98.40000000000001</v>
      </c>
      <c r="N50" t="n">
        <v>17.64</v>
      </c>
      <c r="O50" t="n">
        <v>0.16</v>
      </c>
      <c r="P50" t="n">
        <v>26.48</v>
      </c>
      <c r="Q50" t="n">
        <v>17.91</v>
      </c>
      <c r="R50" t="n">
        <v>36.41</v>
      </c>
      <c r="S50" t="n">
        <v>67.70999999999999</v>
      </c>
      <c r="T50" t="n">
        <v>98.55</v>
      </c>
      <c r="U50" t="n">
        <v>22.69</v>
      </c>
      <c r="V50" t="inlineStr">
        <is>
          <t>Type I – Tropical Monsoon (PAGASA)</t>
        </is>
      </c>
      <c r="W50" t="inlineStr">
        <is>
          <t>Dry (Cool)</t>
        </is>
      </c>
      <c r="X50" t="inlineStr">
        <is>
          <t>Dry (Hot)</t>
        </is>
      </c>
      <c r="Y50" t="inlineStr">
        <is>
          <t>Silty Clay Loam</t>
        </is>
      </c>
      <c r="Z50" t="inlineStr">
        <is>
          <t>Flat / Lowland</t>
        </is>
      </c>
      <c r="AA50" t="n">
        <v>30</v>
      </c>
      <c r="AB50" t="inlineStr">
        <is>
          <t>—</t>
        </is>
      </c>
      <c r="AC50" t="n">
        <v>266.28</v>
      </c>
      <c r="AF50" t="n">
        <v>33.24</v>
      </c>
      <c r="AG50" t="inlineStr">
        <is>
          <t>Direct Seeding (Furrow Method on Raised Beds)</t>
        </is>
      </c>
      <c r="AH50" t="inlineStr">
        <is>
          <t>Deep Tillage (25 cm): 1–2 plowings; form raised beds 20–25 cm high to prevent waterlogging</t>
        </is>
      </c>
      <c r="AI50" t="inlineStr">
        <is>
          <t>Furrow irrigation only (not flood); ensure bed drainage; drain excess after rain</t>
        </is>
      </c>
      <c r="AJ50" t="n">
        <v>33.24</v>
      </c>
      <c r="AK50" t="n">
        <v>250.35</v>
      </c>
      <c r="AL50" t="n">
        <v>7.53</v>
      </c>
      <c r="AM50" t="inlineStr">
        <is>
          <t>No</t>
        </is>
      </c>
      <c r="AN50" t="inlineStr">
        <is>
          <t>Observed harvest</t>
        </is>
      </c>
    </row>
    <row r="51">
      <c r="A51" t="inlineStr">
        <is>
          <t>Corn</t>
        </is>
      </c>
      <c r="B51" t="inlineStr">
        <is>
          <t>Linmansangan</t>
        </is>
      </c>
      <c r="C51" t="inlineStr">
        <is>
          <t>DS 2022-2023</t>
        </is>
      </c>
      <c r="D51" t="inlineStr">
        <is>
          <t>November</t>
        </is>
      </c>
      <c r="E51" t="inlineStr">
        <is>
          <t>2022</t>
        </is>
      </c>
      <c r="F51" t="inlineStr">
        <is>
          <t>March</t>
        </is>
      </c>
      <c r="G51" t="inlineStr">
        <is>
          <t>2023</t>
        </is>
      </c>
      <c r="H51" t="n">
        <v>2.22</v>
      </c>
      <c r="I51" t="n">
        <v>26.38</v>
      </c>
      <c r="J51" t="n">
        <v>19.97</v>
      </c>
      <c r="K51" t="n">
        <v>31.8</v>
      </c>
      <c r="L51" t="n">
        <v>83.62</v>
      </c>
      <c r="M51" t="n">
        <v>98.40000000000001</v>
      </c>
      <c r="N51" t="n">
        <v>17.64</v>
      </c>
      <c r="O51" t="n">
        <v>0.16</v>
      </c>
      <c r="P51" t="n">
        <v>26.48</v>
      </c>
      <c r="Q51" t="n">
        <v>17.91</v>
      </c>
      <c r="R51" t="n">
        <v>36.41</v>
      </c>
      <c r="S51" t="n">
        <v>67.70999999999999</v>
      </c>
      <c r="T51" t="n">
        <v>98.55</v>
      </c>
      <c r="U51" t="n">
        <v>22.69</v>
      </c>
      <c r="V51" t="inlineStr">
        <is>
          <t>Type I – Tropical Monsoon (PAGASA)</t>
        </is>
      </c>
      <c r="W51" t="inlineStr">
        <is>
          <t>Dry (Cool)</t>
        </is>
      </c>
      <c r="X51" t="inlineStr">
        <is>
          <t>Dry (Hot)</t>
        </is>
      </c>
      <c r="Y51" t="inlineStr">
        <is>
          <t>Silty Clay Loam</t>
        </is>
      </c>
      <c r="Z51" t="inlineStr">
        <is>
          <t>Flat / Lowland</t>
        </is>
      </c>
      <c r="AA51" t="n">
        <v>30</v>
      </c>
      <c r="AB51" t="inlineStr">
        <is>
          <t>—</t>
        </is>
      </c>
      <c r="AC51" t="n">
        <v>492.24</v>
      </c>
      <c r="AF51" t="n">
        <v>81.13</v>
      </c>
      <c r="AG51" t="inlineStr">
        <is>
          <t>Direct Seeding (Furrow Method on Raised Beds)</t>
        </is>
      </c>
      <c r="AH51" t="inlineStr">
        <is>
          <t>Deep Tillage (25 cm): 1–2 plowings; form raised beds 20–25 cm high to prevent waterlogging</t>
        </is>
      </c>
      <c r="AI51" t="inlineStr">
        <is>
          <t>Furrow irrigation only (not flood); ensure bed drainage; drain excess after rain</t>
        </is>
      </c>
      <c r="AJ51" t="n">
        <v>81.13</v>
      </c>
      <c r="AK51" t="n">
        <v>611.0700000000001</v>
      </c>
      <c r="AL51" t="n">
        <v>7.53</v>
      </c>
      <c r="AM51" t="inlineStr">
        <is>
          <t>No</t>
        </is>
      </c>
      <c r="AN51" t="inlineStr">
        <is>
          <t>Observed harvest</t>
        </is>
      </c>
    </row>
    <row r="52">
      <c r="A52" t="inlineStr">
        <is>
          <t>Corn</t>
        </is>
      </c>
      <c r="B52" t="inlineStr">
        <is>
          <t>Mangkasuy</t>
        </is>
      </c>
      <c r="C52" t="inlineStr">
        <is>
          <t>DS 2022-2023</t>
        </is>
      </c>
      <c r="D52" t="inlineStr">
        <is>
          <t>November</t>
        </is>
      </c>
      <c r="E52" t="inlineStr">
        <is>
          <t>2022</t>
        </is>
      </c>
      <c r="F52" t="inlineStr">
        <is>
          <t>March</t>
        </is>
      </c>
      <c r="G52" t="inlineStr">
        <is>
          <t>2023</t>
        </is>
      </c>
      <c r="H52" t="n">
        <v>2.22</v>
      </c>
      <c r="I52" t="n">
        <v>26.38</v>
      </c>
      <c r="J52" t="n">
        <v>19.97</v>
      </c>
      <c r="K52" t="n">
        <v>31.8</v>
      </c>
      <c r="L52" t="n">
        <v>83.62</v>
      </c>
      <c r="M52" t="n">
        <v>98.40000000000001</v>
      </c>
      <c r="N52" t="n">
        <v>17.64</v>
      </c>
      <c r="O52" t="n">
        <v>0.16</v>
      </c>
      <c r="P52" t="n">
        <v>26.48</v>
      </c>
      <c r="Q52" t="n">
        <v>17.91</v>
      </c>
      <c r="R52" t="n">
        <v>36.41</v>
      </c>
      <c r="S52" t="n">
        <v>67.70999999999999</v>
      </c>
      <c r="T52" t="n">
        <v>98.55</v>
      </c>
      <c r="U52" t="n">
        <v>22.69</v>
      </c>
      <c r="V52" t="inlineStr">
        <is>
          <t>Type I – Tropical Monsoon (PAGASA)</t>
        </is>
      </c>
      <c r="W52" t="inlineStr">
        <is>
          <t>Dry (Cool)</t>
        </is>
      </c>
      <c r="X52" t="inlineStr">
        <is>
          <t>Dry (Hot)</t>
        </is>
      </c>
      <c r="Y52" t="inlineStr">
        <is>
          <t>Sandy Loam</t>
        </is>
      </c>
      <c r="Z52" t="inlineStr">
        <is>
          <t>Flat / Lowland</t>
        </is>
      </c>
      <c r="AA52" t="n">
        <v>30</v>
      </c>
      <c r="AB52" t="inlineStr">
        <is>
          <t>Tagamusing River</t>
        </is>
      </c>
      <c r="AC52" t="n">
        <v>802.2</v>
      </c>
      <c r="AF52" t="n">
        <v>92.38</v>
      </c>
      <c r="AG52" t="inlineStr">
        <is>
          <t>Direct Seeding (Hill Planting / Furrow Method)</t>
        </is>
      </c>
      <c r="AH52" t="inlineStr">
        <is>
          <t>Conventional Tillage: 1 deep plow (20–25 cm) + 1 harrowing; good tilth easily achieved</t>
        </is>
      </c>
      <c r="AI52" t="inlineStr">
        <is>
          <t>Furrow or sprinkler irrigation; AWD or weekly irrigation; good drainage natural</t>
        </is>
      </c>
      <c r="AJ52" t="n">
        <v>92.38</v>
      </c>
      <c r="AK52" t="n">
        <v>695.78</v>
      </c>
      <c r="AL52" t="n">
        <v>7.53</v>
      </c>
      <c r="AM52" t="inlineStr">
        <is>
          <t>No</t>
        </is>
      </c>
      <c r="AN52" t="inlineStr">
        <is>
          <t>Observed harvest</t>
        </is>
      </c>
    </row>
    <row r="53">
      <c r="A53" t="inlineStr">
        <is>
          <t>Corn</t>
        </is>
      </c>
      <c r="B53" t="inlineStr">
        <is>
          <t>Moreno</t>
        </is>
      </c>
      <c r="C53" t="inlineStr">
        <is>
          <t>DS 2022-2023</t>
        </is>
      </c>
      <c r="D53" t="inlineStr">
        <is>
          <t>November</t>
        </is>
      </c>
      <c r="E53" t="inlineStr">
        <is>
          <t>2022</t>
        </is>
      </c>
      <c r="F53" t="inlineStr">
        <is>
          <t>March</t>
        </is>
      </c>
      <c r="G53" t="inlineStr">
        <is>
          <t>2023</t>
        </is>
      </c>
      <c r="H53" t="n">
        <v>2.22</v>
      </c>
      <c r="I53" t="n">
        <v>26.38</v>
      </c>
      <c r="J53" t="n">
        <v>19.97</v>
      </c>
      <c r="K53" t="n">
        <v>31.8</v>
      </c>
      <c r="L53" t="n">
        <v>83.62</v>
      </c>
      <c r="M53" t="n">
        <v>98.40000000000001</v>
      </c>
      <c r="N53" t="n">
        <v>17.64</v>
      </c>
      <c r="O53" t="n">
        <v>0.16</v>
      </c>
      <c r="P53" t="n">
        <v>26.48</v>
      </c>
      <c r="Q53" t="n">
        <v>17.91</v>
      </c>
      <c r="R53" t="n">
        <v>36.41</v>
      </c>
      <c r="S53" t="n">
        <v>67.70999999999999</v>
      </c>
      <c r="T53" t="n">
        <v>98.55</v>
      </c>
      <c r="U53" t="n">
        <v>22.69</v>
      </c>
      <c r="V53" t="inlineStr">
        <is>
          <t>Type I – Tropical Monsoon (PAGASA)</t>
        </is>
      </c>
      <c r="W53" t="inlineStr">
        <is>
          <t>Dry (Cool)</t>
        </is>
      </c>
      <c r="X53" t="inlineStr">
        <is>
          <t>Dry (Hot)</t>
        </is>
      </c>
      <c r="Y53" t="inlineStr">
        <is>
          <t>Sandy Loam</t>
        </is>
      </c>
      <c r="Z53" t="inlineStr">
        <is>
          <t>Moderately Sloping / Highland</t>
        </is>
      </c>
      <c r="AA53" t="n">
        <v>90</v>
      </c>
      <c r="AB53" t="inlineStr">
        <is>
          <t>Alibeng River</t>
        </is>
      </c>
      <c r="AC53" t="n">
        <v>641.76</v>
      </c>
      <c r="AF53" t="n">
        <v>57.86</v>
      </c>
      <c r="AG53" t="inlineStr">
        <is>
          <t>Direct Seeding (Hill Planting / Furrow Method)</t>
        </is>
      </c>
      <c r="AH53" t="inlineStr">
        <is>
          <t>Conventional Tillage: 1 deep plow (20–25 cm) + 1 harrowing; good tilth easily achieved</t>
        </is>
      </c>
      <c r="AI53" t="inlineStr">
        <is>
          <t>Furrow or sprinkler irrigation; AWD or weekly irrigation; good drainage natural</t>
        </is>
      </c>
      <c r="AJ53" t="n">
        <v>57.86</v>
      </c>
      <c r="AK53" t="n">
        <v>435.77</v>
      </c>
      <c r="AL53" t="n">
        <v>7.53</v>
      </c>
      <c r="AM53" t="inlineStr">
        <is>
          <t>No</t>
        </is>
      </c>
      <c r="AN53" t="inlineStr">
        <is>
          <t>Observed harvest</t>
        </is>
      </c>
    </row>
    <row r="54">
      <c r="A54" t="inlineStr">
        <is>
          <t>Corn</t>
        </is>
      </c>
      <c r="B54" t="inlineStr">
        <is>
          <t>Pasileng Norte</t>
        </is>
      </c>
      <c r="C54" t="inlineStr">
        <is>
          <t>DS 2022-2023</t>
        </is>
      </c>
      <c r="D54" t="inlineStr">
        <is>
          <t>November</t>
        </is>
      </c>
      <c r="E54" t="inlineStr">
        <is>
          <t>2022</t>
        </is>
      </c>
      <c r="F54" t="inlineStr">
        <is>
          <t>March</t>
        </is>
      </c>
      <c r="G54" t="inlineStr">
        <is>
          <t>2023</t>
        </is>
      </c>
      <c r="H54" t="n">
        <v>2.22</v>
      </c>
      <c r="I54" t="n">
        <v>26.38</v>
      </c>
      <c r="J54" t="n">
        <v>19.97</v>
      </c>
      <c r="K54" t="n">
        <v>31.8</v>
      </c>
      <c r="L54" t="n">
        <v>83.62</v>
      </c>
      <c r="M54" t="n">
        <v>98.40000000000001</v>
      </c>
      <c r="N54" t="n">
        <v>17.64</v>
      </c>
      <c r="O54" t="n">
        <v>0.16</v>
      </c>
      <c r="P54" t="n">
        <v>26.48</v>
      </c>
      <c r="Q54" t="n">
        <v>17.91</v>
      </c>
      <c r="R54" t="n">
        <v>36.41</v>
      </c>
      <c r="S54" t="n">
        <v>67.70999999999999</v>
      </c>
      <c r="T54" t="n">
        <v>98.55</v>
      </c>
      <c r="U54" t="n">
        <v>22.69</v>
      </c>
      <c r="V54" t="inlineStr">
        <is>
          <t>Type I – Tropical Monsoon (PAGASA)</t>
        </is>
      </c>
      <c r="W54" t="inlineStr">
        <is>
          <t>Dry (Cool)</t>
        </is>
      </c>
      <c r="X54" t="inlineStr">
        <is>
          <t>Dry (Hot)</t>
        </is>
      </c>
      <c r="Y54" t="inlineStr">
        <is>
          <t>Sandy Loam</t>
        </is>
      </c>
      <c r="Z54" t="inlineStr">
        <is>
          <t>Flat / Lowland</t>
        </is>
      </c>
      <c r="AA54" t="n">
        <v>30</v>
      </c>
      <c r="AB54" t="inlineStr">
        <is>
          <t>Tagamusing River</t>
        </is>
      </c>
      <c r="AC54" t="n">
        <v>140.28</v>
      </c>
      <c r="AF54" t="n">
        <v>36.4</v>
      </c>
      <c r="AG54" t="inlineStr">
        <is>
          <t>Direct Seeding (Hill Planting / Furrow Method)</t>
        </is>
      </c>
      <c r="AH54" t="inlineStr">
        <is>
          <t>Conventional Tillage: 1 deep plow (20–25 cm) + 1 harrowing; good tilth easily achieved</t>
        </is>
      </c>
      <c r="AI54" t="inlineStr">
        <is>
          <t>Furrow or sprinkler irrigation; AWD or weekly irrigation; good drainage natural</t>
        </is>
      </c>
      <c r="AJ54" t="n">
        <v>36.4</v>
      </c>
      <c r="AK54" t="n">
        <v>274.17</v>
      </c>
      <c r="AL54" t="n">
        <v>7.53</v>
      </c>
      <c r="AM54" t="inlineStr">
        <is>
          <t>No</t>
        </is>
      </c>
      <c r="AN54" t="inlineStr">
        <is>
          <t>Observed harvest</t>
        </is>
      </c>
    </row>
    <row r="55">
      <c r="A55" t="inlineStr">
        <is>
          <t>Corn</t>
        </is>
      </c>
      <c r="B55" t="inlineStr">
        <is>
          <t>Pasileng Sur</t>
        </is>
      </c>
      <c r="C55" t="inlineStr">
        <is>
          <t>DS 2022-2023</t>
        </is>
      </c>
      <c r="D55" t="inlineStr">
        <is>
          <t>November</t>
        </is>
      </c>
      <c r="E55" t="inlineStr">
        <is>
          <t>2022</t>
        </is>
      </c>
      <c r="F55" t="inlineStr">
        <is>
          <t>March</t>
        </is>
      </c>
      <c r="G55" t="inlineStr">
        <is>
          <t>2023</t>
        </is>
      </c>
      <c r="H55" t="n">
        <v>2.22</v>
      </c>
      <c r="I55" t="n">
        <v>26.38</v>
      </c>
      <c r="J55" t="n">
        <v>19.97</v>
      </c>
      <c r="K55" t="n">
        <v>31.8</v>
      </c>
      <c r="L55" t="n">
        <v>83.62</v>
      </c>
      <c r="M55" t="n">
        <v>98.40000000000001</v>
      </c>
      <c r="N55" t="n">
        <v>17.64</v>
      </c>
      <c r="O55" t="n">
        <v>0.16</v>
      </c>
      <c r="P55" t="n">
        <v>26.48</v>
      </c>
      <c r="Q55" t="n">
        <v>17.91</v>
      </c>
      <c r="R55" t="n">
        <v>36.41</v>
      </c>
      <c r="S55" t="n">
        <v>67.70999999999999</v>
      </c>
      <c r="T55" t="n">
        <v>98.55</v>
      </c>
      <c r="U55" t="n">
        <v>22.69</v>
      </c>
      <c r="V55" t="inlineStr">
        <is>
          <t>Type I – Tropical Monsoon (PAGASA)</t>
        </is>
      </c>
      <c r="W55" t="inlineStr">
        <is>
          <t>Dry (Cool)</t>
        </is>
      </c>
      <c r="X55" t="inlineStr">
        <is>
          <t>Dry (Hot)</t>
        </is>
      </c>
      <c r="Y55" t="inlineStr">
        <is>
          <t>Sandy Loam</t>
        </is>
      </c>
      <c r="Z55" t="inlineStr">
        <is>
          <t>Flat / Lowland</t>
        </is>
      </c>
      <c r="AA55" t="n">
        <v>30</v>
      </c>
      <c r="AB55" t="inlineStr">
        <is>
          <t>Tagamusing River</t>
        </is>
      </c>
      <c r="AC55" t="n">
        <v>414.96</v>
      </c>
      <c r="AF55" t="n">
        <v>69.81999999999999</v>
      </c>
      <c r="AG55" t="inlineStr">
        <is>
          <t>Direct Seeding (Hill Planting / Furrow Method)</t>
        </is>
      </c>
      <c r="AH55" t="inlineStr">
        <is>
          <t>Conventional Tillage: 1 deep plow (20–25 cm) + 1 harrowing; good tilth easily achieved</t>
        </is>
      </c>
      <c r="AI55" t="inlineStr">
        <is>
          <t>Furrow or sprinkler irrigation; AWD or weekly irrigation; good drainage natural</t>
        </is>
      </c>
      <c r="AJ55" t="n">
        <v>69.81999999999999</v>
      </c>
      <c r="AK55" t="n">
        <v>525.89</v>
      </c>
      <c r="AL55" t="n">
        <v>7.53</v>
      </c>
      <c r="AM55" t="inlineStr">
        <is>
          <t>No</t>
        </is>
      </c>
      <c r="AN55" t="inlineStr">
        <is>
          <t>Observed harvest</t>
        </is>
      </c>
    </row>
    <row r="56">
      <c r="A56" t="inlineStr">
        <is>
          <t>Corn</t>
        </is>
      </c>
      <c r="B56" t="inlineStr">
        <is>
          <t>San Felipe Central</t>
        </is>
      </c>
      <c r="C56" t="inlineStr">
        <is>
          <t>DS 2022-2023</t>
        </is>
      </c>
      <c r="D56" t="inlineStr">
        <is>
          <t>November</t>
        </is>
      </c>
      <c r="E56" t="inlineStr">
        <is>
          <t>2022</t>
        </is>
      </c>
      <c r="F56" t="inlineStr">
        <is>
          <t>March</t>
        </is>
      </c>
      <c r="G56" t="inlineStr">
        <is>
          <t>2023</t>
        </is>
      </c>
      <c r="H56" t="n">
        <v>2.22</v>
      </c>
      <c r="I56" t="n">
        <v>26.38</v>
      </c>
      <c r="J56" t="n">
        <v>19.97</v>
      </c>
      <c r="K56" t="n">
        <v>31.8</v>
      </c>
      <c r="L56" t="n">
        <v>83.62</v>
      </c>
      <c r="M56" t="n">
        <v>98.40000000000001</v>
      </c>
      <c r="N56" t="n">
        <v>17.64</v>
      </c>
      <c r="O56" t="n">
        <v>0.16</v>
      </c>
      <c r="P56" t="n">
        <v>26.48</v>
      </c>
      <c r="Q56" t="n">
        <v>17.91</v>
      </c>
      <c r="R56" t="n">
        <v>36.41</v>
      </c>
      <c r="S56" t="n">
        <v>67.70999999999999</v>
      </c>
      <c r="T56" t="n">
        <v>98.55</v>
      </c>
      <c r="U56" t="n">
        <v>22.69</v>
      </c>
      <c r="V56" t="inlineStr">
        <is>
          <t>Type I – Tropical Monsoon (PAGASA)</t>
        </is>
      </c>
      <c r="W56" t="inlineStr">
        <is>
          <t>Dry (Cool)</t>
        </is>
      </c>
      <c r="X56" t="inlineStr">
        <is>
          <t>Dry (Hot)</t>
        </is>
      </c>
      <c r="Y56" t="inlineStr">
        <is>
          <t>Sandy Loam</t>
        </is>
      </c>
      <c r="Z56" t="inlineStr">
        <is>
          <t>Flat / Lowland</t>
        </is>
      </c>
      <c r="AA56" t="n">
        <v>30</v>
      </c>
      <c r="AB56" t="inlineStr">
        <is>
          <t>—</t>
        </is>
      </c>
      <c r="AC56" t="n">
        <v>452.76</v>
      </c>
      <c r="AF56" t="n">
        <v>66.39</v>
      </c>
      <c r="AG56" t="inlineStr">
        <is>
          <t>Direct Seeding (Hill Planting / Furrow Method)</t>
        </is>
      </c>
      <c r="AH56" t="inlineStr">
        <is>
          <t>Conventional Tillage: 1 deep plow (20–25 cm) + 1 harrowing; good tilth easily achieved</t>
        </is>
      </c>
      <c r="AI56" t="inlineStr">
        <is>
          <t>Furrow or sprinkler irrigation; AWD or weekly irrigation; good drainage natural</t>
        </is>
      </c>
      <c r="AJ56" t="n">
        <v>66.39</v>
      </c>
      <c r="AK56" t="n">
        <v>500.06</v>
      </c>
      <c r="AL56" t="n">
        <v>7.53</v>
      </c>
      <c r="AM56" t="inlineStr">
        <is>
          <t>No</t>
        </is>
      </c>
      <c r="AN56" t="inlineStr">
        <is>
          <t>Observed harvest</t>
        </is>
      </c>
    </row>
    <row r="57">
      <c r="A57" t="inlineStr">
        <is>
          <t>Corn</t>
        </is>
      </c>
      <c r="B57" t="inlineStr">
        <is>
          <t>San Felipe Sur</t>
        </is>
      </c>
      <c r="C57" t="inlineStr">
        <is>
          <t>DS 2022-2023</t>
        </is>
      </c>
      <c r="D57" t="inlineStr">
        <is>
          <t>November</t>
        </is>
      </c>
      <c r="E57" t="inlineStr">
        <is>
          <t>2022</t>
        </is>
      </c>
      <c r="F57" t="inlineStr">
        <is>
          <t>March</t>
        </is>
      </c>
      <c r="G57" t="inlineStr">
        <is>
          <t>2023</t>
        </is>
      </c>
      <c r="H57" t="n">
        <v>2.22</v>
      </c>
      <c r="I57" t="n">
        <v>26.38</v>
      </c>
      <c r="J57" t="n">
        <v>19.97</v>
      </c>
      <c r="K57" t="n">
        <v>31.8</v>
      </c>
      <c r="L57" t="n">
        <v>83.62</v>
      </c>
      <c r="M57" t="n">
        <v>98.40000000000001</v>
      </c>
      <c r="N57" t="n">
        <v>17.64</v>
      </c>
      <c r="O57" t="n">
        <v>0.16</v>
      </c>
      <c r="P57" t="n">
        <v>26.48</v>
      </c>
      <c r="Q57" t="n">
        <v>17.91</v>
      </c>
      <c r="R57" t="n">
        <v>36.41</v>
      </c>
      <c r="S57" t="n">
        <v>67.70999999999999</v>
      </c>
      <c r="T57" t="n">
        <v>98.55</v>
      </c>
      <c r="U57" t="n">
        <v>22.69</v>
      </c>
      <c r="V57" t="inlineStr">
        <is>
          <t>Type I – Tropical Monsoon (PAGASA)</t>
        </is>
      </c>
      <c r="W57" t="inlineStr">
        <is>
          <t>Dry (Cool)</t>
        </is>
      </c>
      <c r="X57" t="inlineStr">
        <is>
          <t>Dry (Hot)</t>
        </is>
      </c>
      <c r="Y57" t="inlineStr">
        <is>
          <t>Sandy Loam</t>
        </is>
      </c>
      <c r="Z57" t="inlineStr">
        <is>
          <t>Flat / Lowland</t>
        </is>
      </c>
      <c r="AA57" t="n">
        <v>30</v>
      </c>
      <c r="AB57" t="inlineStr">
        <is>
          <t>Tagamusing River</t>
        </is>
      </c>
      <c r="AC57" t="n">
        <v>504</v>
      </c>
      <c r="AF57" t="n">
        <v>68.83</v>
      </c>
      <c r="AG57" t="inlineStr">
        <is>
          <t>Direct Seeding (Hill Planting / Furrow Method)</t>
        </is>
      </c>
      <c r="AH57" t="inlineStr">
        <is>
          <t>Conventional Tillage: 1 deep plow (20–25 cm) + 1 harrowing; good tilth easily achieved</t>
        </is>
      </c>
      <c r="AI57" t="inlineStr">
        <is>
          <t>Furrow or sprinkler irrigation; AWD or weekly irrigation; good drainage natural</t>
        </is>
      </c>
      <c r="AJ57" t="n">
        <v>68.83</v>
      </c>
      <c r="AK57" t="n">
        <v>518.4299999999999</v>
      </c>
      <c r="AL57" t="n">
        <v>7.53</v>
      </c>
      <c r="AM57" t="inlineStr">
        <is>
          <t>No</t>
        </is>
      </c>
      <c r="AN57" t="inlineStr">
        <is>
          <t>Observed harvest</t>
        </is>
      </c>
    </row>
    <row r="58">
      <c r="A58" t="inlineStr">
        <is>
          <t>Corn</t>
        </is>
      </c>
      <c r="B58" t="inlineStr">
        <is>
          <t>San Pablo</t>
        </is>
      </c>
      <c r="C58" t="inlineStr">
        <is>
          <t>DS 2022-2023</t>
        </is>
      </c>
      <c r="D58" t="inlineStr">
        <is>
          <t>November</t>
        </is>
      </c>
      <c r="E58" t="inlineStr">
        <is>
          <t>2022</t>
        </is>
      </c>
      <c r="F58" t="inlineStr">
        <is>
          <t>March</t>
        </is>
      </c>
      <c r="G58" t="inlineStr">
        <is>
          <t>2023</t>
        </is>
      </c>
      <c r="H58" t="n">
        <v>2.22</v>
      </c>
      <c r="I58" t="n">
        <v>26.38</v>
      </c>
      <c r="J58" t="n">
        <v>19.97</v>
      </c>
      <c r="K58" t="n">
        <v>31.8</v>
      </c>
      <c r="L58" t="n">
        <v>83.62</v>
      </c>
      <c r="M58" t="n">
        <v>98.40000000000001</v>
      </c>
      <c r="N58" t="n">
        <v>17.64</v>
      </c>
      <c r="O58" t="n">
        <v>0.16</v>
      </c>
      <c r="P58" t="n">
        <v>26.48</v>
      </c>
      <c r="Q58" t="n">
        <v>17.91</v>
      </c>
      <c r="R58" t="n">
        <v>36.41</v>
      </c>
      <c r="S58" t="n">
        <v>67.70999999999999</v>
      </c>
      <c r="T58" t="n">
        <v>98.55</v>
      </c>
      <c r="U58" t="n">
        <v>22.69</v>
      </c>
      <c r="V58" t="inlineStr">
        <is>
          <t>Type I – Tropical Monsoon (PAGASA)</t>
        </is>
      </c>
      <c r="W58" t="inlineStr">
        <is>
          <t>Dry (Cool)</t>
        </is>
      </c>
      <c r="X58" t="inlineStr">
        <is>
          <t>Dry (Hot)</t>
        </is>
      </c>
      <c r="Y58" t="inlineStr">
        <is>
          <t>Sandy Loam</t>
        </is>
      </c>
      <c r="Z58" t="inlineStr">
        <is>
          <t>Flat / Lowland</t>
        </is>
      </c>
      <c r="AA58" t="n">
        <v>30</v>
      </c>
      <c r="AB58" t="inlineStr">
        <is>
          <t>San Pablo Creek</t>
        </is>
      </c>
      <c r="AC58" t="n">
        <v>215.04</v>
      </c>
      <c r="AF58" t="n">
        <v>53.23</v>
      </c>
      <c r="AG58" t="inlineStr">
        <is>
          <t>Direct Seeding (Hill Planting / Furrow Method)</t>
        </is>
      </c>
      <c r="AH58" t="inlineStr">
        <is>
          <t>Conventional Tillage: 1 deep plow (20–25 cm) + 1 harrowing; good tilth easily achieved</t>
        </is>
      </c>
      <c r="AI58" t="inlineStr">
        <is>
          <t>Furrow or sprinkler irrigation; AWD or weekly irrigation; good drainage natural</t>
        </is>
      </c>
      <c r="AJ58" t="n">
        <v>53.23</v>
      </c>
      <c r="AK58" t="n">
        <v>400.89</v>
      </c>
      <c r="AL58" t="n">
        <v>7.53</v>
      </c>
      <c r="AM58" t="inlineStr">
        <is>
          <t>No</t>
        </is>
      </c>
      <c r="AN58" t="inlineStr">
        <is>
          <t>Observed harvest</t>
        </is>
      </c>
    </row>
    <row r="59">
      <c r="A59" t="inlineStr">
        <is>
          <t>Corn</t>
        </is>
      </c>
      <c r="B59" t="inlineStr">
        <is>
          <t>Santiago</t>
        </is>
      </c>
      <c r="C59" t="inlineStr">
        <is>
          <t>DS 2022-2023</t>
        </is>
      </c>
      <c r="D59" t="inlineStr">
        <is>
          <t>November</t>
        </is>
      </c>
      <c r="E59" t="inlineStr">
        <is>
          <t>2022</t>
        </is>
      </c>
      <c r="F59" t="inlineStr">
        <is>
          <t>March</t>
        </is>
      </c>
      <c r="G59" t="inlineStr">
        <is>
          <t>2023</t>
        </is>
      </c>
      <c r="H59" t="n">
        <v>2.22</v>
      </c>
      <c r="I59" t="n">
        <v>26.38</v>
      </c>
      <c r="J59" t="n">
        <v>19.97</v>
      </c>
      <c r="K59" t="n">
        <v>31.8</v>
      </c>
      <c r="L59" t="n">
        <v>83.62</v>
      </c>
      <c r="M59" t="n">
        <v>98.40000000000001</v>
      </c>
      <c r="N59" t="n">
        <v>17.64</v>
      </c>
      <c r="O59" t="n">
        <v>0.16</v>
      </c>
      <c r="P59" t="n">
        <v>26.48</v>
      </c>
      <c r="Q59" t="n">
        <v>17.91</v>
      </c>
      <c r="R59" t="n">
        <v>36.41</v>
      </c>
      <c r="S59" t="n">
        <v>67.70999999999999</v>
      </c>
      <c r="T59" t="n">
        <v>98.55</v>
      </c>
      <c r="U59" t="n">
        <v>22.69</v>
      </c>
      <c r="V59" t="inlineStr">
        <is>
          <t>Type I – Tropical Monsoon (PAGASA)</t>
        </is>
      </c>
      <c r="W59" t="inlineStr">
        <is>
          <t>Dry (Cool)</t>
        </is>
      </c>
      <c r="X59" t="inlineStr">
        <is>
          <t>Dry (Hot)</t>
        </is>
      </c>
      <c r="Y59" t="inlineStr">
        <is>
          <t>Silty Clay Loam</t>
        </is>
      </c>
      <c r="Z59" t="inlineStr">
        <is>
          <t>Flat / Lowland</t>
        </is>
      </c>
      <c r="AA59" t="n">
        <v>30</v>
      </c>
      <c r="AB59" t="inlineStr">
        <is>
          <t>—</t>
        </is>
      </c>
      <c r="AC59" t="n">
        <v>283.08</v>
      </c>
      <c r="AF59" t="n">
        <v>70.65000000000001</v>
      </c>
      <c r="AG59" t="inlineStr">
        <is>
          <t>Direct Seeding (Furrow Method on Raised Beds)</t>
        </is>
      </c>
      <c r="AH59" t="inlineStr">
        <is>
          <t>Deep Tillage (25 cm): 1–2 plowings; form raised beds 20–25 cm high to prevent waterlogging</t>
        </is>
      </c>
      <c r="AI59" t="inlineStr">
        <is>
          <t>Furrow irrigation only (not flood); ensure bed drainage; drain excess after rain</t>
        </is>
      </c>
      <c r="AJ59" t="n">
        <v>70.65000000000001</v>
      </c>
      <c r="AK59" t="n">
        <v>531.99</v>
      </c>
      <c r="AL59" t="n">
        <v>7.53</v>
      </c>
      <c r="AM59" t="inlineStr">
        <is>
          <t>No</t>
        </is>
      </c>
      <c r="AN59" t="inlineStr">
        <is>
          <t>Observed harvest</t>
        </is>
      </c>
    </row>
    <row r="60">
      <c r="A60" t="inlineStr">
        <is>
          <t>Corn</t>
        </is>
      </c>
      <c r="B60" t="inlineStr">
        <is>
          <t>Sta. Catalina</t>
        </is>
      </c>
      <c r="C60" t="inlineStr">
        <is>
          <t>DS 2022-2023</t>
        </is>
      </c>
      <c r="D60" t="inlineStr">
        <is>
          <t>November</t>
        </is>
      </c>
      <c r="E60" t="inlineStr">
        <is>
          <t>2022</t>
        </is>
      </c>
      <c r="F60" t="inlineStr">
        <is>
          <t>March</t>
        </is>
      </c>
      <c r="G60" t="inlineStr">
        <is>
          <t>2023</t>
        </is>
      </c>
      <c r="H60" t="n">
        <v>2.22</v>
      </c>
      <c r="I60" t="n">
        <v>26.38</v>
      </c>
      <c r="J60" t="n">
        <v>19.97</v>
      </c>
      <c r="K60" t="n">
        <v>31.8</v>
      </c>
      <c r="L60" t="n">
        <v>83.62</v>
      </c>
      <c r="M60" t="n">
        <v>98.40000000000001</v>
      </c>
      <c r="N60" t="n">
        <v>17.64</v>
      </c>
      <c r="O60" t="n">
        <v>0.16</v>
      </c>
      <c r="P60" t="n">
        <v>26.48</v>
      </c>
      <c r="Q60" t="n">
        <v>17.91</v>
      </c>
      <c r="R60" t="n">
        <v>36.41</v>
      </c>
      <c r="S60" t="n">
        <v>67.70999999999999</v>
      </c>
      <c r="T60" t="n">
        <v>98.55</v>
      </c>
      <c r="U60" t="n">
        <v>22.69</v>
      </c>
      <c r="V60" t="inlineStr">
        <is>
          <t>Type I – Tropical Monsoon (PAGASA)</t>
        </is>
      </c>
      <c r="W60" t="inlineStr">
        <is>
          <t>Dry (Cool)</t>
        </is>
      </c>
      <c r="X60" t="inlineStr">
        <is>
          <t>Dry (Hot)</t>
        </is>
      </c>
      <c r="Y60" t="inlineStr">
        <is>
          <t>Fine Sand / Sandy Loam</t>
        </is>
      </c>
      <c r="Z60" t="inlineStr">
        <is>
          <t>Moderately Sloping / Highland</t>
        </is>
      </c>
      <c r="AA60" t="n">
        <v>90</v>
      </c>
      <c r="AB60" t="inlineStr">
        <is>
          <t>—</t>
        </is>
      </c>
      <c r="AC60" t="n">
        <v>709.8</v>
      </c>
      <c r="AF60" t="n">
        <v>80.76000000000001</v>
      </c>
      <c r="AG60" t="inlineStr">
        <is>
          <t>Direct Seeding (Hills or Furrow Method)</t>
        </is>
      </c>
      <c r="AH60" t="inlineStr">
        <is>
          <t>Minimum Tillage; deep ripping to break hardpan; avoid over-disturbance</t>
        </is>
      </c>
      <c r="AI60" t="inlineStr">
        <is>
          <t>Furrow irrigation; frequent light watering; mulch to retain soil moisture</t>
        </is>
      </c>
      <c r="AJ60" t="n">
        <v>80.77</v>
      </c>
      <c r="AK60" t="n">
        <v>608.29</v>
      </c>
      <c r="AL60" t="n">
        <v>7.53</v>
      </c>
      <c r="AM60" t="inlineStr">
        <is>
          <t>No</t>
        </is>
      </c>
      <c r="AN60" t="inlineStr">
        <is>
          <t>Observed harvest</t>
        </is>
      </c>
    </row>
    <row r="61">
      <c r="A61" t="inlineStr">
        <is>
          <t>Corn</t>
        </is>
      </c>
      <c r="B61" t="inlineStr">
        <is>
          <t>Sta. Maria Norte</t>
        </is>
      </c>
      <c r="C61" t="inlineStr">
        <is>
          <t>DS 2022-2023</t>
        </is>
      </c>
      <c r="D61" t="inlineStr">
        <is>
          <t>November</t>
        </is>
      </c>
      <c r="E61" t="inlineStr">
        <is>
          <t>2022</t>
        </is>
      </c>
      <c r="F61" t="inlineStr">
        <is>
          <t>March</t>
        </is>
      </c>
      <c r="G61" t="inlineStr">
        <is>
          <t>2023</t>
        </is>
      </c>
      <c r="H61" t="n">
        <v>2.22</v>
      </c>
      <c r="I61" t="n">
        <v>26.38</v>
      </c>
      <c r="J61" t="n">
        <v>19.97</v>
      </c>
      <c r="K61" t="n">
        <v>31.8</v>
      </c>
      <c r="L61" t="n">
        <v>83.62</v>
      </c>
      <c r="M61" t="n">
        <v>98.40000000000001</v>
      </c>
      <c r="N61" t="n">
        <v>17.64</v>
      </c>
      <c r="O61" t="n">
        <v>0.16</v>
      </c>
      <c r="P61" t="n">
        <v>26.48</v>
      </c>
      <c r="Q61" t="n">
        <v>17.91</v>
      </c>
      <c r="R61" t="n">
        <v>36.41</v>
      </c>
      <c r="S61" t="n">
        <v>67.70999999999999</v>
      </c>
      <c r="T61" t="n">
        <v>98.55</v>
      </c>
      <c r="U61" t="n">
        <v>22.69</v>
      </c>
      <c r="V61" t="inlineStr">
        <is>
          <t>Type I – Tropical Monsoon (PAGASA)</t>
        </is>
      </c>
      <c r="W61" t="inlineStr">
        <is>
          <t>Dry (Cool)</t>
        </is>
      </c>
      <c r="X61" t="inlineStr">
        <is>
          <t>Dry (Hot)</t>
        </is>
      </c>
      <c r="Y61" t="inlineStr">
        <is>
          <t>Sandy Loam</t>
        </is>
      </c>
      <c r="Z61" t="inlineStr">
        <is>
          <t>Flat / Lowland</t>
        </is>
      </c>
      <c r="AA61" t="n">
        <v>30</v>
      </c>
      <c r="AB61" t="inlineStr">
        <is>
          <t>Tagamusing River</t>
        </is>
      </c>
      <c r="AC61" t="n">
        <v>157.08</v>
      </c>
      <c r="AF61" t="n">
        <v>23.69</v>
      </c>
      <c r="AG61" t="inlineStr">
        <is>
          <t>Direct Seeding (Hill Planting / Furrow Method)</t>
        </is>
      </c>
      <c r="AH61" t="inlineStr">
        <is>
          <t>Conventional Tillage: 1 deep plow (20–25 cm) + 1 harrowing; good tilth easily achieved</t>
        </is>
      </c>
      <c r="AI61" t="inlineStr">
        <is>
          <t>Furrow or sprinkler irrigation; AWD or weekly irrigation; good drainage natural</t>
        </is>
      </c>
      <c r="AJ61" t="n">
        <v>23.69</v>
      </c>
      <c r="AK61" t="n">
        <v>178.42</v>
      </c>
      <c r="AL61" t="n">
        <v>7.53</v>
      </c>
      <c r="AM61" t="inlineStr">
        <is>
          <t>No</t>
        </is>
      </c>
      <c r="AN61" t="inlineStr">
        <is>
          <t>Observed harvest</t>
        </is>
      </c>
    </row>
    <row r="62">
      <c r="A62" t="inlineStr">
        <is>
          <t>Corn</t>
        </is>
      </c>
      <c r="B62" t="inlineStr">
        <is>
          <t>Sumabnit</t>
        </is>
      </c>
      <c r="C62" t="inlineStr">
        <is>
          <t>DS 2022-2023</t>
        </is>
      </c>
      <c r="D62" t="inlineStr">
        <is>
          <t>November</t>
        </is>
      </c>
      <c r="E62" t="inlineStr">
        <is>
          <t>2022</t>
        </is>
      </c>
      <c r="F62" t="inlineStr">
        <is>
          <t>March</t>
        </is>
      </c>
      <c r="G62" t="inlineStr">
        <is>
          <t>2023</t>
        </is>
      </c>
      <c r="H62" t="n">
        <v>2.22</v>
      </c>
      <c r="I62" t="n">
        <v>26.38</v>
      </c>
      <c r="J62" t="n">
        <v>19.97</v>
      </c>
      <c r="K62" t="n">
        <v>31.8</v>
      </c>
      <c r="L62" t="n">
        <v>83.62</v>
      </c>
      <c r="M62" t="n">
        <v>98.40000000000001</v>
      </c>
      <c r="N62" t="n">
        <v>17.64</v>
      </c>
      <c r="O62" t="n">
        <v>0.16</v>
      </c>
      <c r="P62" t="n">
        <v>26.48</v>
      </c>
      <c r="Q62" t="n">
        <v>17.91</v>
      </c>
      <c r="R62" t="n">
        <v>36.41</v>
      </c>
      <c r="S62" t="n">
        <v>67.70999999999999</v>
      </c>
      <c r="T62" t="n">
        <v>98.55</v>
      </c>
      <c r="U62" t="n">
        <v>22.69</v>
      </c>
      <c r="V62" t="inlineStr">
        <is>
          <t>Type I – Tropical Monsoon (PAGASA)</t>
        </is>
      </c>
      <c r="W62" t="inlineStr">
        <is>
          <t>Dry (Cool)</t>
        </is>
      </c>
      <c r="X62" t="inlineStr">
        <is>
          <t>Dry (Hot)</t>
        </is>
      </c>
      <c r="Y62" t="inlineStr">
        <is>
          <t>Silty Clay Loam / Fine Sandy Loam</t>
        </is>
      </c>
      <c r="Z62" t="inlineStr">
        <is>
          <t>Flat / Lowland</t>
        </is>
      </c>
      <c r="AA62" t="n">
        <v>30</v>
      </c>
      <c r="AB62" t="inlineStr">
        <is>
          <t>Tagamusing River</t>
        </is>
      </c>
      <c r="AC62" t="n">
        <v>406.56</v>
      </c>
      <c r="AF62" t="n">
        <v>73.05</v>
      </c>
      <c r="AG62" t="inlineStr">
        <is>
          <t>Direct Seeding (Hills or Furrow Method)</t>
        </is>
      </c>
      <c r="AH62" t="inlineStr">
        <is>
          <t>Minimum Tillage; deep ripping to break hardpan; avoid over-disturbance</t>
        </is>
      </c>
      <c r="AI62" t="inlineStr">
        <is>
          <t>Furrow irrigation; frequent light watering; mulch to retain soil moisture</t>
        </is>
      </c>
      <c r="AJ62" t="n">
        <v>73.06</v>
      </c>
      <c r="AK62" t="n">
        <v>550.22</v>
      </c>
      <c r="AL62" t="n">
        <v>7.53</v>
      </c>
      <c r="AM62" t="inlineStr">
        <is>
          <t>No</t>
        </is>
      </c>
      <c r="AN62" t="inlineStr">
        <is>
          <t>Observed harvest</t>
        </is>
      </c>
    </row>
    <row r="63">
      <c r="A63" t="inlineStr">
        <is>
          <t>Corn</t>
        </is>
      </c>
      <c r="B63" t="inlineStr">
        <is>
          <t>Tabuyoc</t>
        </is>
      </c>
      <c r="C63" t="inlineStr">
        <is>
          <t>DS 2022-2023</t>
        </is>
      </c>
      <c r="D63" t="inlineStr">
        <is>
          <t>November</t>
        </is>
      </c>
      <c r="E63" t="inlineStr">
        <is>
          <t>2022</t>
        </is>
      </c>
      <c r="F63" t="inlineStr">
        <is>
          <t>March</t>
        </is>
      </c>
      <c r="G63" t="inlineStr">
        <is>
          <t>2023</t>
        </is>
      </c>
      <c r="H63" t="n">
        <v>2.22</v>
      </c>
      <c r="I63" t="n">
        <v>26.38</v>
      </c>
      <c r="J63" t="n">
        <v>19.97</v>
      </c>
      <c r="K63" t="n">
        <v>31.8</v>
      </c>
      <c r="L63" t="n">
        <v>83.62</v>
      </c>
      <c r="M63" t="n">
        <v>98.40000000000001</v>
      </c>
      <c r="N63" t="n">
        <v>17.64</v>
      </c>
      <c r="O63" t="n">
        <v>0.16</v>
      </c>
      <c r="P63" t="n">
        <v>26.48</v>
      </c>
      <c r="Q63" t="n">
        <v>17.91</v>
      </c>
      <c r="R63" t="n">
        <v>36.41</v>
      </c>
      <c r="S63" t="n">
        <v>67.70999999999999</v>
      </c>
      <c r="T63" t="n">
        <v>98.55</v>
      </c>
      <c r="U63" t="n">
        <v>22.69</v>
      </c>
      <c r="V63" t="inlineStr">
        <is>
          <t>Type I – Tropical Monsoon (PAGASA)</t>
        </is>
      </c>
      <c r="W63" t="inlineStr">
        <is>
          <t>Dry (Cool)</t>
        </is>
      </c>
      <c r="X63" t="inlineStr">
        <is>
          <t>Dry (Hot)</t>
        </is>
      </c>
      <c r="Y63" t="inlineStr">
        <is>
          <t>Silty Clay Loam</t>
        </is>
      </c>
      <c r="Z63" t="inlineStr">
        <is>
          <t>Flat / Lowland</t>
        </is>
      </c>
      <c r="AA63" t="n">
        <v>30</v>
      </c>
      <c r="AB63" t="inlineStr">
        <is>
          <t>—</t>
        </is>
      </c>
      <c r="AC63" t="n">
        <v>277.2</v>
      </c>
      <c r="AF63" t="n">
        <v>56.37</v>
      </c>
      <c r="AG63" t="inlineStr">
        <is>
          <t>Direct Seeding (Furrow Method on Raised Beds)</t>
        </is>
      </c>
      <c r="AH63" t="inlineStr">
        <is>
          <t>Deep Tillage (25 cm): 1–2 plowings; form raised beds 20–25 cm high to prevent waterlogging</t>
        </is>
      </c>
      <c r="AI63" t="inlineStr">
        <is>
          <t>Furrow irrigation only (not flood); ensure bed drainage; drain excess after rain</t>
        </is>
      </c>
      <c r="AJ63" t="n">
        <v>56.37</v>
      </c>
      <c r="AK63" t="n">
        <v>424.58</v>
      </c>
      <c r="AL63" t="n">
        <v>7.53</v>
      </c>
      <c r="AM63" t="inlineStr">
        <is>
          <t>No</t>
        </is>
      </c>
      <c r="AN63" t="inlineStr">
        <is>
          <t>Observed harvest</t>
        </is>
      </c>
    </row>
    <row r="64">
      <c r="A64" t="inlineStr">
        <is>
          <t>Corn</t>
        </is>
      </c>
      <c r="B64" t="inlineStr">
        <is>
          <t>Vacante</t>
        </is>
      </c>
      <c r="C64" t="inlineStr">
        <is>
          <t>DS 2022-2023</t>
        </is>
      </c>
      <c r="D64" t="inlineStr">
        <is>
          <t>November</t>
        </is>
      </c>
      <c r="E64" t="inlineStr">
        <is>
          <t>2022</t>
        </is>
      </c>
      <c r="F64" t="inlineStr">
        <is>
          <t>March</t>
        </is>
      </c>
      <c r="G64" t="inlineStr">
        <is>
          <t>2023</t>
        </is>
      </c>
      <c r="H64" t="n">
        <v>2.22</v>
      </c>
      <c r="I64" t="n">
        <v>26.38</v>
      </c>
      <c r="J64" t="n">
        <v>19.97</v>
      </c>
      <c r="K64" t="n">
        <v>31.8</v>
      </c>
      <c r="L64" t="n">
        <v>83.62</v>
      </c>
      <c r="M64" t="n">
        <v>98.40000000000001</v>
      </c>
      <c r="N64" t="n">
        <v>17.64</v>
      </c>
      <c r="O64" t="n">
        <v>0.16</v>
      </c>
      <c r="P64" t="n">
        <v>26.48</v>
      </c>
      <c r="Q64" t="n">
        <v>17.91</v>
      </c>
      <c r="R64" t="n">
        <v>36.41</v>
      </c>
      <c r="S64" t="n">
        <v>67.70999999999999</v>
      </c>
      <c r="T64" t="n">
        <v>98.55</v>
      </c>
      <c r="U64" t="n">
        <v>22.69</v>
      </c>
      <c r="V64" t="inlineStr">
        <is>
          <t>Type I – Tropical Monsoon (PAGASA)</t>
        </is>
      </c>
      <c r="W64" t="inlineStr">
        <is>
          <t>Dry (Cool)</t>
        </is>
      </c>
      <c r="X64" t="inlineStr">
        <is>
          <t>Dry (Hot)</t>
        </is>
      </c>
      <c r="Y64" t="inlineStr">
        <is>
          <t>Silty Clay Loam</t>
        </is>
      </c>
      <c r="Z64" t="inlineStr">
        <is>
          <t>Flat / Lowland</t>
        </is>
      </c>
      <c r="AA64" t="n">
        <v>30</v>
      </c>
      <c r="AB64" t="inlineStr">
        <is>
          <t>Aloragat River</t>
        </is>
      </c>
      <c r="AC64" t="n">
        <v>484.68</v>
      </c>
      <c r="AF64" t="n">
        <v>47.47</v>
      </c>
      <c r="AG64" t="inlineStr">
        <is>
          <t>Direct Seeding (Furrow Method on Raised Beds)</t>
        </is>
      </c>
      <c r="AH64" t="inlineStr">
        <is>
          <t>Deep Tillage (25 cm): 1–2 plowings; form raised beds 20–25 cm high to prevent waterlogging</t>
        </is>
      </c>
      <c r="AI64" t="inlineStr">
        <is>
          <t>Furrow irrigation only (not flood); ensure bed drainage; drain excess after rain</t>
        </is>
      </c>
      <c r="AJ64" t="n">
        <v>47.47</v>
      </c>
      <c r="AK64" t="n">
        <v>357.5</v>
      </c>
      <c r="AL64" t="n">
        <v>7.53</v>
      </c>
      <c r="AM64" t="inlineStr">
        <is>
          <t>No</t>
        </is>
      </c>
      <c r="AN64" t="inlineStr">
        <is>
          <t>Observed harvest</t>
        </is>
      </c>
    </row>
    <row r="65">
      <c r="A65" t="inlineStr">
        <is>
          <t>Corn</t>
        </is>
      </c>
      <c r="B65" t="inlineStr">
        <is>
          <t>Balangobong</t>
        </is>
      </c>
      <c r="C65" t="inlineStr">
        <is>
          <t>DS 2023-2024</t>
        </is>
      </c>
      <c r="D65" t="inlineStr">
        <is>
          <t>November</t>
        </is>
      </c>
      <c r="E65" t="inlineStr">
        <is>
          <t>2023</t>
        </is>
      </c>
      <c r="F65" t="inlineStr">
        <is>
          <t>March</t>
        </is>
      </c>
      <c r="G65" t="inlineStr">
        <is>
          <t>2024</t>
        </is>
      </c>
      <c r="H65" t="n">
        <v>1.34</v>
      </c>
      <c r="I65" t="n">
        <v>26.5</v>
      </c>
      <c r="J65" t="n">
        <v>19.59</v>
      </c>
      <c r="K65" t="n">
        <v>32.04</v>
      </c>
      <c r="L65" t="n">
        <v>81.69</v>
      </c>
      <c r="M65" t="n">
        <v>98.48999999999999</v>
      </c>
      <c r="N65" t="n">
        <v>17.2</v>
      </c>
      <c r="O65" t="n">
        <v>45</v>
      </c>
      <c r="P65" t="n">
        <v>26.5</v>
      </c>
      <c r="Q65" t="n">
        <v>22.1</v>
      </c>
      <c r="R65" t="n">
        <v>31.6</v>
      </c>
      <c r="S65" t="n">
        <v>70</v>
      </c>
      <c r="V65" t="inlineStr">
        <is>
          <t>Type I – Tropical Monsoon (PAGASA)</t>
        </is>
      </c>
      <c r="W65" t="inlineStr">
        <is>
          <t>Dry (Cool)</t>
        </is>
      </c>
      <c r="X65" t="inlineStr">
        <is>
          <t>Dry (Hot)</t>
        </is>
      </c>
      <c r="Y65" t="inlineStr">
        <is>
          <t>Silty Clay Loam</t>
        </is>
      </c>
      <c r="Z65" t="inlineStr">
        <is>
          <t>Flat / Lowland</t>
        </is>
      </c>
      <c r="AA65" t="n">
        <v>30</v>
      </c>
      <c r="AB65" t="inlineStr">
        <is>
          <t>—</t>
        </is>
      </c>
      <c r="AC65" t="n">
        <v>281.4</v>
      </c>
      <c r="AF65" t="n">
        <v>62.46</v>
      </c>
      <c r="AG65" t="inlineStr">
        <is>
          <t>Direct Seeding (Furrow Method on Raised Beds)</t>
        </is>
      </c>
      <c r="AH65" t="inlineStr">
        <is>
          <t>Deep Tillage (25 cm): 1–2 plowings; form raised beds 20–25 cm high to prevent waterlogging</t>
        </is>
      </c>
      <c r="AI65" t="inlineStr">
        <is>
          <t>Furrow irrigation only (not flood); ensure bed drainage; drain excess after rain</t>
        </is>
      </c>
      <c r="AJ65" t="n">
        <v>60.3</v>
      </c>
      <c r="AK65" t="n">
        <v>435.16</v>
      </c>
      <c r="AL65" t="n">
        <v>7.22</v>
      </c>
      <c r="AM65" t="inlineStr">
        <is>
          <t>No</t>
        </is>
      </c>
      <c r="AN65" t="inlineStr">
        <is>
          <t>Observed harvest</t>
        </is>
      </c>
    </row>
    <row r="66">
      <c r="A66" t="inlineStr">
        <is>
          <t>Corn</t>
        </is>
      </c>
      <c r="B66" t="inlineStr">
        <is>
          <t>Bued</t>
        </is>
      </c>
      <c r="C66" t="inlineStr">
        <is>
          <t>DS 2023-2024</t>
        </is>
      </c>
      <c r="D66" t="inlineStr">
        <is>
          <t>November</t>
        </is>
      </c>
      <c r="E66" t="inlineStr">
        <is>
          <t>2023</t>
        </is>
      </c>
      <c r="F66" t="inlineStr">
        <is>
          <t>March</t>
        </is>
      </c>
      <c r="G66" t="inlineStr">
        <is>
          <t>2024</t>
        </is>
      </c>
      <c r="H66" t="n">
        <v>1.34</v>
      </c>
      <c r="I66" t="n">
        <v>26.5</v>
      </c>
      <c r="J66" t="n">
        <v>19.59</v>
      </c>
      <c r="K66" t="n">
        <v>32.04</v>
      </c>
      <c r="L66" t="n">
        <v>81.69</v>
      </c>
      <c r="M66" t="n">
        <v>98.48999999999999</v>
      </c>
      <c r="N66" t="n">
        <v>17.2</v>
      </c>
      <c r="O66" t="n">
        <v>45</v>
      </c>
      <c r="P66" t="n">
        <v>26.5</v>
      </c>
      <c r="Q66" t="n">
        <v>22.1</v>
      </c>
      <c r="R66" t="n">
        <v>31.6</v>
      </c>
      <c r="S66" t="n">
        <v>70</v>
      </c>
      <c r="V66" t="inlineStr">
        <is>
          <t>Type I – Tropical Monsoon (PAGASA)</t>
        </is>
      </c>
      <c r="W66" t="inlineStr">
        <is>
          <t>Dry (Cool)</t>
        </is>
      </c>
      <c r="X66" t="inlineStr">
        <is>
          <t>Dry (Hot)</t>
        </is>
      </c>
      <c r="Y66" t="inlineStr">
        <is>
          <t>Silty Clay Loam</t>
        </is>
      </c>
      <c r="Z66" t="inlineStr">
        <is>
          <t>Flat / Lowland</t>
        </is>
      </c>
      <c r="AA66" t="n">
        <v>30</v>
      </c>
      <c r="AB66" t="inlineStr">
        <is>
          <t>Tagamusing River</t>
        </is>
      </c>
      <c r="AC66" t="n">
        <v>210.84</v>
      </c>
      <c r="AF66" t="n">
        <v>49.95</v>
      </c>
      <c r="AG66" t="inlineStr">
        <is>
          <t>Direct Seeding (Furrow Method on Raised Beds)</t>
        </is>
      </c>
      <c r="AH66" t="inlineStr">
        <is>
          <t>Deep Tillage (25 cm): 1–2 plowings; form raised beds 20–25 cm high to prevent waterlogging</t>
        </is>
      </c>
      <c r="AI66" t="inlineStr">
        <is>
          <t>Furrow irrigation only (not flood); ensure bed drainage; drain excess after rain</t>
        </is>
      </c>
      <c r="AJ66" t="n">
        <v>48.22</v>
      </c>
      <c r="AK66" t="n">
        <v>347.95</v>
      </c>
      <c r="AL66" t="n">
        <v>7.22</v>
      </c>
      <c r="AM66" t="inlineStr">
        <is>
          <t>No</t>
        </is>
      </c>
      <c r="AN66" t="inlineStr">
        <is>
          <t>Observed harvest</t>
        </is>
      </c>
    </row>
    <row r="67">
      <c r="A67" t="inlineStr">
        <is>
          <t>Corn</t>
        </is>
      </c>
      <c r="B67" t="inlineStr">
        <is>
          <t>Bugayong</t>
        </is>
      </c>
      <c r="C67" t="inlineStr">
        <is>
          <t>DS 2023-2024</t>
        </is>
      </c>
      <c r="D67" t="inlineStr">
        <is>
          <t>November</t>
        </is>
      </c>
      <c r="E67" t="inlineStr">
        <is>
          <t>2023</t>
        </is>
      </c>
      <c r="F67" t="inlineStr">
        <is>
          <t>March</t>
        </is>
      </c>
      <c r="G67" t="inlineStr">
        <is>
          <t>2024</t>
        </is>
      </c>
      <c r="H67" t="n">
        <v>1.34</v>
      </c>
      <c r="I67" t="n">
        <v>26.5</v>
      </c>
      <c r="J67" t="n">
        <v>19.59</v>
      </c>
      <c r="K67" t="n">
        <v>32.04</v>
      </c>
      <c r="L67" t="n">
        <v>81.69</v>
      </c>
      <c r="M67" t="n">
        <v>98.48999999999999</v>
      </c>
      <c r="N67" t="n">
        <v>17.2</v>
      </c>
      <c r="O67" t="n">
        <v>45</v>
      </c>
      <c r="P67" t="n">
        <v>26.5</v>
      </c>
      <c r="Q67" t="n">
        <v>22.1</v>
      </c>
      <c r="R67" t="n">
        <v>31.6</v>
      </c>
      <c r="S67" t="n">
        <v>70</v>
      </c>
      <c r="V67" t="inlineStr">
        <is>
          <t>Type I – Tropical Monsoon (PAGASA)</t>
        </is>
      </c>
      <c r="W67" t="inlineStr">
        <is>
          <t>Dry (Cool)</t>
        </is>
      </c>
      <c r="X67" t="inlineStr">
        <is>
          <t>Dry (Hot)</t>
        </is>
      </c>
      <c r="Y67" t="inlineStr">
        <is>
          <t>Sandy Loam / Silty Clay Loam</t>
        </is>
      </c>
      <c r="Z67" t="inlineStr">
        <is>
          <t>Flat / Lowland</t>
        </is>
      </c>
      <c r="AA67" t="n">
        <v>30</v>
      </c>
      <c r="AB67" t="inlineStr">
        <is>
          <t>Aloragat River</t>
        </is>
      </c>
      <c r="AC67" t="n">
        <v>346.08</v>
      </c>
      <c r="AF67" t="n">
        <v>24.98</v>
      </c>
      <c r="AG67" t="inlineStr">
        <is>
          <t>Direct Seeding (Furrow or Hill Method)</t>
        </is>
      </c>
      <c r="AH67" t="inlineStr">
        <is>
          <t>Conventional Tillage: 1 deep plow + harrowing; ensure good drainage channels</t>
        </is>
      </c>
      <c r="AI67" t="inlineStr">
        <is>
          <t>Furrow irrigation; avoid waterlogging — clay fraction retains excess moisture</t>
        </is>
      </c>
      <c r="AJ67" t="n">
        <v>24.12</v>
      </c>
      <c r="AK67" t="n">
        <v>174.04</v>
      </c>
      <c r="AL67" t="n">
        <v>7.22</v>
      </c>
      <c r="AM67" t="inlineStr">
        <is>
          <t>No</t>
        </is>
      </c>
      <c r="AN67" t="inlineStr">
        <is>
          <t>Observed harvest</t>
        </is>
      </c>
    </row>
    <row r="68">
      <c r="A68" t="inlineStr">
        <is>
          <t>Corn</t>
        </is>
      </c>
      <c r="B68" t="inlineStr">
        <is>
          <t>Camanggaan</t>
        </is>
      </c>
      <c r="C68" t="inlineStr">
        <is>
          <t>DS 2023-2024</t>
        </is>
      </c>
      <c r="D68" t="inlineStr">
        <is>
          <t>November</t>
        </is>
      </c>
      <c r="E68" t="inlineStr">
        <is>
          <t>2023</t>
        </is>
      </c>
      <c r="F68" t="inlineStr">
        <is>
          <t>March</t>
        </is>
      </c>
      <c r="G68" t="inlineStr">
        <is>
          <t>2024</t>
        </is>
      </c>
      <c r="H68" t="n">
        <v>1.34</v>
      </c>
      <c r="I68" t="n">
        <v>26.5</v>
      </c>
      <c r="J68" t="n">
        <v>19.59</v>
      </c>
      <c r="K68" t="n">
        <v>32.04</v>
      </c>
      <c r="L68" t="n">
        <v>81.69</v>
      </c>
      <c r="M68" t="n">
        <v>98.48999999999999</v>
      </c>
      <c r="N68" t="n">
        <v>17.2</v>
      </c>
      <c r="O68" t="n">
        <v>45</v>
      </c>
      <c r="P68" t="n">
        <v>26.5</v>
      </c>
      <c r="Q68" t="n">
        <v>22.1</v>
      </c>
      <c r="R68" t="n">
        <v>31.6</v>
      </c>
      <c r="S68" t="n">
        <v>70</v>
      </c>
      <c r="V68" t="inlineStr">
        <is>
          <t>Type I – Tropical Monsoon (PAGASA)</t>
        </is>
      </c>
      <c r="W68" t="inlineStr">
        <is>
          <t>Dry (Cool)</t>
        </is>
      </c>
      <c r="X68" t="inlineStr">
        <is>
          <t>Dry (Hot)</t>
        </is>
      </c>
      <c r="Y68" t="inlineStr">
        <is>
          <t>Sandy Loam</t>
        </is>
      </c>
      <c r="Z68" t="inlineStr">
        <is>
          <t>Flat / Lowland</t>
        </is>
      </c>
      <c r="AA68" t="n">
        <v>30</v>
      </c>
      <c r="AB68" t="inlineStr">
        <is>
          <t>—</t>
        </is>
      </c>
      <c r="AC68" t="n">
        <v>244.44</v>
      </c>
      <c r="AF68" t="n">
        <v>28.86</v>
      </c>
      <c r="AG68" t="inlineStr">
        <is>
          <t>Direct Seeding (Hill Planting / Furrow Method)</t>
        </is>
      </c>
      <c r="AH68" t="inlineStr">
        <is>
          <t>Conventional Tillage: 1 deep plow (20–25 cm) + 1 harrowing; good tilth easily achieved</t>
        </is>
      </c>
      <c r="AI68" t="inlineStr">
        <is>
          <t>Furrow or sprinkler irrigation; AWD or weekly irrigation; good drainage natural</t>
        </is>
      </c>
      <c r="AJ68" t="n">
        <v>27.86</v>
      </c>
      <c r="AK68" t="n">
        <v>201.05</v>
      </c>
      <c r="AL68" t="n">
        <v>7.22</v>
      </c>
      <c r="AM68" t="inlineStr">
        <is>
          <t>No</t>
        </is>
      </c>
      <c r="AN68" t="inlineStr">
        <is>
          <t>Observed harvest</t>
        </is>
      </c>
    </row>
    <row r="69">
      <c r="A69" t="inlineStr">
        <is>
          <t>Corn</t>
        </is>
      </c>
      <c r="B69" t="inlineStr">
        <is>
          <t>Capas</t>
        </is>
      </c>
      <c r="C69" t="inlineStr">
        <is>
          <t>DS 2023-2024</t>
        </is>
      </c>
      <c r="D69" t="inlineStr">
        <is>
          <t>November</t>
        </is>
      </c>
      <c r="E69" t="inlineStr">
        <is>
          <t>2023</t>
        </is>
      </c>
      <c r="F69" t="inlineStr">
        <is>
          <t>March</t>
        </is>
      </c>
      <c r="G69" t="inlineStr">
        <is>
          <t>2024</t>
        </is>
      </c>
      <c r="H69" t="n">
        <v>1.34</v>
      </c>
      <c r="I69" t="n">
        <v>26.5</v>
      </c>
      <c r="J69" t="n">
        <v>19.59</v>
      </c>
      <c r="K69" t="n">
        <v>32.04</v>
      </c>
      <c r="L69" t="n">
        <v>81.69</v>
      </c>
      <c r="M69" t="n">
        <v>98.48999999999999</v>
      </c>
      <c r="N69" t="n">
        <v>17.2</v>
      </c>
      <c r="O69" t="n">
        <v>45</v>
      </c>
      <c r="P69" t="n">
        <v>26.5</v>
      </c>
      <c r="Q69" t="n">
        <v>22.1</v>
      </c>
      <c r="R69" t="n">
        <v>31.6</v>
      </c>
      <c r="S69" t="n">
        <v>70</v>
      </c>
      <c r="V69" t="inlineStr">
        <is>
          <t>Type I – Tropical Monsoon (PAGASA)</t>
        </is>
      </c>
      <c r="W69" t="inlineStr">
        <is>
          <t>Dry (Cool)</t>
        </is>
      </c>
      <c r="X69" t="inlineStr">
        <is>
          <t>Dry (Hot)</t>
        </is>
      </c>
      <c r="Y69" t="inlineStr">
        <is>
          <t>Sandy Loam</t>
        </is>
      </c>
      <c r="Z69" t="inlineStr">
        <is>
          <t>Flat / Lowland</t>
        </is>
      </c>
      <c r="AA69" t="n">
        <v>30</v>
      </c>
      <c r="AB69" t="inlineStr">
        <is>
          <t>—</t>
        </is>
      </c>
      <c r="AC69" t="n">
        <v>377.16</v>
      </c>
      <c r="AF69" t="n">
        <v>120.51</v>
      </c>
      <c r="AG69" t="inlineStr">
        <is>
          <t>Direct Seeding (Hill Planting / Furrow Method)</t>
        </is>
      </c>
      <c r="AH69" t="inlineStr">
        <is>
          <t>Conventional Tillage: 1 deep plow (20–25 cm) + 1 harrowing; good tilth easily achieved</t>
        </is>
      </c>
      <c r="AI69" t="inlineStr">
        <is>
          <t>Furrow or sprinkler irrigation; AWD or weekly irrigation; good drainage natural</t>
        </is>
      </c>
      <c r="AJ69" t="n">
        <v>116.34</v>
      </c>
      <c r="AK69" t="n">
        <v>839.54</v>
      </c>
      <c r="AL69" t="n">
        <v>7.22</v>
      </c>
      <c r="AM69" t="inlineStr">
        <is>
          <t>No</t>
        </is>
      </c>
      <c r="AN69" t="inlineStr">
        <is>
          <t>Observed harvest</t>
        </is>
      </c>
    </row>
    <row r="70">
      <c r="A70" t="inlineStr">
        <is>
          <t>Corn</t>
        </is>
      </c>
      <c r="B70" t="inlineStr">
        <is>
          <t>Cili</t>
        </is>
      </c>
      <c r="C70" t="inlineStr">
        <is>
          <t>DS 2023-2024</t>
        </is>
      </c>
      <c r="D70" t="inlineStr">
        <is>
          <t>November</t>
        </is>
      </c>
      <c r="E70" t="inlineStr">
        <is>
          <t>2023</t>
        </is>
      </c>
      <c r="F70" t="inlineStr">
        <is>
          <t>March</t>
        </is>
      </c>
      <c r="G70" t="inlineStr">
        <is>
          <t>2024</t>
        </is>
      </c>
      <c r="H70" t="n">
        <v>1.34</v>
      </c>
      <c r="I70" t="n">
        <v>26.5</v>
      </c>
      <c r="J70" t="n">
        <v>19.59</v>
      </c>
      <c r="K70" t="n">
        <v>32.04</v>
      </c>
      <c r="L70" t="n">
        <v>81.69</v>
      </c>
      <c r="M70" t="n">
        <v>98.48999999999999</v>
      </c>
      <c r="N70" t="n">
        <v>17.2</v>
      </c>
      <c r="O70" t="n">
        <v>45</v>
      </c>
      <c r="P70" t="n">
        <v>26.5</v>
      </c>
      <c r="Q70" t="n">
        <v>22.1</v>
      </c>
      <c r="R70" t="n">
        <v>31.6</v>
      </c>
      <c r="S70" t="n">
        <v>70</v>
      </c>
      <c r="V70" t="inlineStr">
        <is>
          <t>Type I – Tropical Monsoon (PAGASA)</t>
        </is>
      </c>
      <c r="W70" t="inlineStr">
        <is>
          <t>Dry (Cool)</t>
        </is>
      </c>
      <c r="X70" t="inlineStr">
        <is>
          <t>Dry (Hot)</t>
        </is>
      </c>
      <c r="Y70" t="inlineStr">
        <is>
          <t>Silty Clay Loam</t>
        </is>
      </c>
      <c r="Z70" t="inlineStr">
        <is>
          <t>Flat / Lowland</t>
        </is>
      </c>
      <c r="AA70" t="n">
        <v>30</v>
      </c>
      <c r="AB70" t="inlineStr">
        <is>
          <t>Alibeng River</t>
        </is>
      </c>
      <c r="AC70" t="n">
        <v>264.6</v>
      </c>
      <c r="AF70" t="n">
        <v>63.36</v>
      </c>
      <c r="AG70" t="inlineStr">
        <is>
          <t>Direct Seeding (Furrow Method on Raised Beds)</t>
        </is>
      </c>
      <c r="AH70" t="inlineStr">
        <is>
          <t>Deep Tillage (25 cm): 1–2 plowings; form raised beds 20–25 cm high to prevent waterlogging</t>
        </is>
      </c>
      <c r="AI70" t="inlineStr">
        <is>
          <t>Furrow irrigation only (not flood); ensure bed drainage; drain excess after rain</t>
        </is>
      </c>
      <c r="AJ70" t="n">
        <v>61.17</v>
      </c>
      <c r="AK70" t="n">
        <v>441.41</v>
      </c>
      <c r="AL70" t="n">
        <v>7.22</v>
      </c>
      <c r="AM70" t="inlineStr">
        <is>
          <t>No</t>
        </is>
      </c>
      <c r="AN70" t="inlineStr">
        <is>
          <t>Observed harvest</t>
        </is>
      </c>
    </row>
    <row r="71">
      <c r="A71" t="inlineStr">
        <is>
          <t>Corn</t>
        </is>
      </c>
      <c r="B71" t="inlineStr">
        <is>
          <t>Dumayat</t>
        </is>
      </c>
      <c r="C71" t="inlineStr">
        <is>
          <t>DS 2023-2024</t>
        </is>
      </c>
      <c r="D71" t="inlineStr">
        <is>
          <t>November</t>
        </is>
      </c>
      <c r="E71" t="inlineStr">
        <is>
          <t>2023</t>
        </is>
      </c>
      <c r="F71" t="inlineStr">
        <is>
          <t>March</t>
        </is>
      </c>
      <c r="G71" t="inlineStr">
        <is>
          <t>2024</t>
        </is>
      </c>
      <c r="H71" t="n">
        <v>1.34</v>
      </c>
      <c r="I71" t="n">
        <v>26.5</v>
      </c>
      <c r="J71" t="n">
        <v>19.59</v>
      </c>
      <c r="K71" t="n">
        <v>32.04</v>
      </c>
      <c r="L71" t="n">
        <v>81.69</v>
      </c>
      <c r="M71" t="n">
        <v>98.48999999999999</v>
      </c>
      <c r="N71" t="n">
        <v>17.2</v>
      </c>
      <c r="O71" t="n">
        <v>45</v>
      </c>
      <c r="P71" t="n">
        <v>26.5</v>
      </c>
      <c r="Q71" t="n">
        <v>22.1</v>
      </c>
      <c r="R71" t="n">
        <v>31.6</v>
      </c>
      <c r="S71" t="n">
        <v>70</v>
      </c>
      <c r="V71" t="inlineStr">
        <is>
          <t>Type I – Tropical Monsoon (PAGASA)</t>
        </is>
      </c>
      <c r="W71" t="inlineStr">
        <is>
          <t>Dry (Cool)</t>
        </is>
      </c>
      <c r="X71" t="inlineStr">
        <is>
          <t>Dry (Hot)</t>
        </is>
      </c>
      <c r="Y71" t="inlineStr">
        <is>
          <t>Silty Clay Loam</t>
        </is>
      </c>
      <c r="Z71" t="inlineStr">
        <is>
          <t>Flat / Lowland</t>
        </is>
      </c>
      <c r="AA71" t="n">
        <v>30</v>
      </c>
      <c r="AB71" t="inlineStr">
        <is>
          <t>—</t>
        </is>
      </c>
      <c r="AC71" t="n">
        <v>266.28</v>
      </c>
      <c r="AF71" t="n">
        <v>38.99</v>
      </c>
      <c r="AG71" t="inlineStr">
        <is>
          <t>Direct Seeding (Furrow Method on Raised Beds)</t>
        </is>
      </c>
      <c r="AH71" t="inlineStr">
        <is>
          <t>Deep Tillage (25 cm): 1–2 plowings; form raised beds 20–25 cm high to prevent waterlogging</t>
        </is>
      </c>
      <c r="AI71" t="inlineStr">
        <is>
          <t>Furrow irrigation only (not flood); ensure bed drainage; drain excess after rain</t>
        </is>
      </c>
      <c r="AJ71" t="n">
        <v>37.64</v>
      </c>
      <c r="AK71" t="n">
        <v>271.61</v>
      </c>
      <c r="AL71" t="n">
        <v>7.22</v>
      </c>
      <c r="AM71" t="inlineStr">
        <is>
          <t>No</t>
        </is>
      </c>
      <c r="AN71" t="inlineStr">
        <is>
          <t>Observed harvest</t>
        </is>
      </c>
    </row>
    <row r="72">
      <c r="A72" t="inlineStr">
        <is>
          <t>Corn</t>
        </is>
      </c>
      <c r="B72" t="inlineStr">
        <is>
          <t>Linmansangan</t>
        </is>
      </c>
      <c r="C72" t="inlineStr">
        <is>
          <t>DS 2023-2024</t>
        </is>
      </c>
      <c r="D72" t="inlineStr">
        <is>
          <t>November</t>
        </is>
      </c>
      <c r="E72" t="inlineStr">
        <is>
          <t>2023</t>
        </is>
      </c>
      <c r="F72" t="inlineStr">
        <is>
          <t>March</t>
        </is>
      </c>
      <c r="G72" t="inlineStr">
        <is>
          <t>2024</t>
        </is>
      </c>
      <c r="H72" t="n">
        <v>1.34</v>
      </c>
      <c r="I72" t="n">
        <v>26.5</v>
      </c>
      <c r="J72" t="n">
        <v>19.59</v>
      </c>
      <c r="K72" t="n">
        <v>32.04</v>
      </c>
      <c r="L72" t="n">
        <v>81.69</v>
      </c>
      <c r="M72" t="n">
        <v>98.48999999999999</v>
      </c>
      <c r="N72" t="n">
        <v>17.2</v>
      </c>
      <c r="O72" t="n">
        <v>45</v>
      </c>
      <c r="P72" t="n">
        <v>26.5</v>
      </c>
      <c r="Q72" t="n">
        <v>22.1</v>
      </c>
      <c r="R72" t="n">
        <v>31.6</v>
      </c>
      <c r="S72" t="n">
        <v>70</v>
      </c>
      <c r="V72" t="inlineStr">
        <is>
          <t>Type I – Tropical Monsoon (PAGASA)</t>
        </is>
      </c>
      <c r="W72" t="inlineStr">
        <is>
          <t>Dry (Cool)</t>
        </is>
      </c>
      <c r="X72" t="inlineStr">
        <is>
          <t>Dry (Hot)</t>
        </is>
      </c>
      <c r="Y72" t="inlineStr">
        <is>
          <t>Silty Clay Loam</t>
        </is>
      </c>
      <c r="Z72" t="inlineStr">
        <is>
          <t>Flat / Lowland</t>
        </is>
      </c>
      <c r="AA72" t="n">
        <v>30</v>
      </c>
      <c r="AB72" t="inlineStr">
        <is>
          <t>—</t>
        </is>
      </c>
      <c r="AC72" t="n">
        <v>492.24</v>
      </c>
      <c r="AF72" t="n">
        <v>95.16</v>
      </c>
      <c r="AG72" t="inlineStr">
        <is>
          <t>Direct Seeding (Furrow Method on Raised Beds)</t>
        </is>
      </c>
      <c r="AH72" t="inlineStr">
        <is>
          <t>Deep Tillage (25 cm): 1–2 plowings; form raised beds 20–25 cm high to prevent waterlogging</t>
        </is>
      </c>
      <c r="AI72" t="inlineStr">
        <is>
          <t>Furrow irrigation only (not flood); ensure bed drainage; drain excess after rain</t>
        </is>
      </c>
      <c r="AJ72" t="n">
        <v>91.87</v>
      </c>
      <c r="AK72" t="n">
        <v>662.96</v>
      </c>
      <c r="AL72" t="n">
        <v>7.22</v>
      </c>
      <c r="AM72" t="inlineStr">
        <is>
          <t>No</t>
        </is>
      </c>
      <c r="AN72" t="inlineStr">
        <is>
          <t>Observed harvest</t>
        </is>
      </c>
    </row>
    <row r="73">
      <c r="A73" t="inlineStr">
        <is>
          <t>Corn</t>
        </is>
      </c>
      <c r="B73" t="inlineStr">
        <is>
          <t>Mangkasuy</t>
        </is>
      </c>
      <c r="C73" t="inlineStr">
        <is>
          <t>DS 2023-2024</t>
        </is>
      </c>
      <c r="D73" t="inlineStr">
        <is>
          <t>November</t>
        </is>
      </c>
      <c r="E73" t="inlineStr">
        <is>
          <t>2023</t>
        </is>
      </c>
      <c r="F73" t="inlineStr">
        <is>
          <t>March</t>
        </is>
      </c>
      <c r="G73" t="inlineStr">
        <is>
          <t>2024</t>
        </is>
      </c>
      <c r="H73" t="n">
        <v>1.34</v>
      </c>
      <c r="I73" t="n">
        <v>26.5</v>
      </c>
      <c r="J73" t="n">
        <v>19.59</v>
      </c>
      <c r="K73" t="n">
        <v>32.04</v>
      </c>
      <c r="L73" t="n">
        <v>81.69</v>
      </c>
      <c r="M73" t="n">
        <v>98.48999999999999</v>
      </c>
      <c r="N73" t="n">
        <v>17.2</v>
      </c>
      <c r="O73" t="n">
        <v>45</v>
      </c>
      <c r="P73" t="n">
        <v>26.5</v>
      </c>
      <c r="Q73" t="n">
        <v>22.1</v>
      </c>
      <c r="R73" t="n">
        <v>31.6</v>
      </c>
      <c r="S73" t="n">
        <v>70</v>
      </c>
      <c r="V73" t="inlineStr">
        <is>
          <t>Type I – Tropical Monsoon (PAGASA)</t>
        </is>
      </c>
      <c r="W73" t="inlineStr">
        <is>
          <t>Dry (Cool)</t>
        </is>
      </c>
      <c r="X73" t="inlineStr">
        <is>
          <t>Dry (Hot)</t>
        </is>
      </c>
      <c r="Y73" t="inlineStr">
        <is>
          <t>Sandy Loam</t>
        </is>
      </c>
      <c r="Z73" t="inlineStr">
        <is>
          <t>Flat / Lowland</t>
        </is>
      </c>
      <c r="AA73" t="n">
        <v>30</v>
      </c>
      <c r="AB73" t="inlineStr">
        <is>
          <t>Tagamusing River</t>
        </is>
      </c>
      <c r="AC73" t="n">
        <v>802.2</v>
      </c>
      <c r="AF73" t="n">
        <v>108.36</v>
      </c>
      <c r="AG73" t="inlineStr">
        <is>
          <t>Direct Seeding (Hill Planting / Furrow Method)</t>
        </is>
      </c>
      <c r="AH73" t="inlineStr">
        <is>
          <t>Conventional Tillage: 1 deep plow (20–25 cm) + 1 harrowing; good tilth easily achieved</t>
        </is>
      </c>
      <c r="AI73" t="inlineStr">
        <is>
          <t>Furrow or sprinkler irrigation; AWD or weekly irrigation; good drainage natural</t>
        </is>
      </c>
      <c r="AJ73" t="n">
        <v>104.6</v>
      </c>
      <c r="AK73" t="n">
        <v>754.86</v>
      </c>
      <c r="AL73" t="n">
        <v>7.22</v>
      </c>
      <c r="AM73" t="inlineStr">
        <is>
          <t>No</t>
        </is>
      </c>
      <c r="AN73" t="inlineStr">
        <is>
          <t>Observed harvest</t>
        </is>
      </c>
    </row>
    <row r="74">
      <c r="A74" t="inlineStr">
        <is>
          <t>Corn</t>
        </is>
      </c>
      <c r="B74" t="inlineStr">
        <is>
          <t>Moreno</t>
        </is>
      </c>
      <c r="C74" t="inlineStr">
        <is>
          <t>DS 2023-2024</t>
        </is>
      </c>
      <c r="D74" t="inlineStr">
        <is>
          <t>November</t>
        </is>
      </c>
      <c r="E74" t="inlineStr">
        <is>
          <t>2023</t>
        </is>
      </c>
      <c r="F74" t="inlineStr">
        <is>
          <t>March</t>
        </is>
      </c>
      <c r="G74" t="inlineStr">
        <is>
          <t>2024</t>
        </is>
      </c>
      <c r="H74" t="n">
        <v>1.34</v>
      </c>
      <c r="I74" t="n">
        <v>26.5</v>
      </c>
      <c r="J74" t="n">
        <v>19.59</v>
      </c>
      <c r="K74" t="n">
        <v>32.04</v>
      </c>
      <c r="L74" t="n">
        <v>81.69</v>
      </c>
      <c r="M74" t="n">
        <v>98.48999999999999</v>
      </c>
      <c r="N74" t="n">
        <v>17.2</v>
      </c>
      <c r="O74" t="n">
        <v>45</v>
      </c>
      <c r="P74" t="n">
        <v>26.5</v>
      </c>
      <c r="Q74" t="n">
        <v>22.1</v>
      </c>
      <c r="R74" t="n">
        <v>31.6</v>
      </c>
      <c r="S74" t="n">
        <v>70</v>
      </c>
      <c r="V74" t="inlineStr">
        <is>
          <t>Type I – Tropical Monsoon (PAGASA)</t>
        </is>
      </c>
      <c r="W74" t="inlineStr">
        <is>
          <t>Dry (Cool)</t>
        </is>
      </c>
      <c r="X74" t="inlineStr">
        <is>
          <t>Dry (Hot)</t>
        </is>
      </c>
      <c r="Y74" t="inlineStr">
        <is>
          <t>Sandy Loam</t>
        </is>
      </c>
      <c r="Z74" t="inlineStr">
        <is>
          <t>Moderately Sloping / Highland</t>
        </is>
      </c>
      <c r="AA74" t="n">
        <v>90</v>
      </c>
      <c r="AB74" t="inlineStr">
        <is>
          <t>Alibeng River</t>
        </is>
      </c>
      <c r="AC74" t="n">
        <v>641.76</v>
      </c>
      <c r="AF74" t="n">
        <v>67.87</v>
      </c>
      <c r="AG74" t="inlineStr">
        <is>
          <t>Direct Seeding (Hill Planting / Furrow Method)</t>
        </is>
      </c>
      <c r="AH74" t="inlineStr">
        <is>
          <t>Conventional Tillage: 1 deep plow (20–25 cm) + 1 harrowing; good tilth easily achieved</t>
        </is>
      </c>
      <c r="AI74" t="inlineStr">
        <is>
          <t>Furrow or sprinkler irrigation; AWD or weekly irrigation; good drainage natural</t>
        </is>
      </c>
      <c r="AJ74" t="n">
        <v>65.51000000000001</v>
      </c>
      <c r="AK74" t="n">
        <v>472.78</v>
      </c>
      <c r="AL74" t="n">
        <v>7.22</v>
      </c>
      <c r="AM74" t="inlineStr">
        <is>
          <t>No</t>
        </is>
      </c>
      <c r="AN74" t="inlineStr">
        <is>
          <t>Observed harvest</t>
        </is>
      </c>
    </row>
    <row r="75">
      <c r="A75" t="inlineStr">
        <is>
          <t>Corn</t>
        </is>
      </c>
      <c r="B75" t="inlineStr">
        <is>
          <t>Pasileng Norte</t>
        </is>
      </c>
      <c r="C75" t="inlineStr">
        <is>
          <t>DS 2023-2024</t>
        </is>
      </c>
      <c r="D75" t="inlineStr">
        <is>
          <t>November</t>
        </is>
      </c>
      <c r="E75" t="inlineStr">
        <is>
          <t>2023</t>
        </is>
      </c>
      <c r="F75" t="inlineStr">
        <is>
          <t>March</t>
        </is>
      </c>
      <c r="G75" t="inlineStr">
        <is>
          <t>2024</t>
        </is>
      </c>
      <c r="H75" t="n">
        <v>1.34</v>
      </c>
      <c r="I75" t="n">
        <v>26.5</v>
      </c>
      <c r="J75" t="n">
        <v>19.59</v>
      </c>
      <c r="K75" t="n">
        <v>32.04</v>
      </c>
      <c r="L75" t="n">
        <v>81.69</v>
      </c>
      <c r="M75" t="n">
        <v>98.48999999999999</v>
      </c>
      <c r="N75" t="n">
        <v>17.2</v>
      </c>
      <c r="O75" t="n">
        <v>45</v>
      </c>
      <c r="P75" t="n">
        <v>26.5</v>
      </c>
      <c r="Q75" t="n">
        <v>22.1</v>
      </c>
      <c r="R75" t="n">
        <v>31.6</v>
      </c>
      <c r="S75" t="n">
        <v>70</v>
      </c>
      <c r="V75" t="inlineStr">
        <is>
          <t>Type I – Tropical Monsoon (PAGASA)</t>
        </is>
      </c>
      <c r="W75" t="inlineStr">
        <is>
          <t>Dry (Cool)</t>
        </is>
      </c>
      <c r="X75" t="inlineStr">
        <is>
          <t>Dry (Hot)</t>
        </is>
      </c>
      <c r="Y75" t="inlineStr">
        <is>
          <t>Sandy Loam</t>
        </is>
      </c>
      <c r="Z75" t="inlineStr">
        <is>
          <t>Flat / Lowland</t>
        </is>
      </c>
      <c r="AA75" t="n">
        <v>30</v>
      </c>
      <c r="AB75" t="inlineStr">
        <is>
          <t>Tagamusing River</t>
        </is>
      </c>
      <c r="AC75" t="n">
        <v>140.28</v>
      </c>
      <c r="AF75" t="n">
        <v>42.7</v>
      </c>
      <c r="AG75" t="inlineStr">
        <is>
          <t>Direct Seeding (Hill Planting / Furrow Method)</t>
        </is>
      </c>
      <c r="AH75" t="inlineStr">
        <is>
          <t>Conventional Tillage: 1 deep plow (20–25 cm) + 1 harrowing; good tilth easily achieved</t>
        </is>
      </c>
      <c r="AI75" t="inlineStr">
        <is>
          <t>Furrow or sprinkler irrigation; AWD or weekly irrigation; good drainage natural</t>
        </is>
      </c>
      <c r="AJ75" t="n">
        <v>41.22</v>
      </c>
      <c r="AK75" t="n">
        <v>297.46</v>
      </c>
      <c r="AL75" t="n">
        <v>7.22</v>
      </c>
      <c r="AM75" t="inlineStr">
        <is>
          <t>No</t>
        </is>
      </c>
      <c r="AN75" t="inlineStr">
        <is>
          <t>Observed harvest</t>
        </is>
      </c>
    </row>
    <row r="76">
      <c r="A76" t="inlineStr">
        <is>
          <t>Corn</t>
        </is>
      </c>
      <c r="B76" t="inlineStr">
        <is>
          <t>Pasileng Sur</t>
        </is>
      </c>
      <c r="C76" t="inlineStr">
        <is>
          <t>DS 2023-2024</t>
        </is>
      </c>
      <c r="D76" t="inlineStr">
        <is>
          <t>November</t>
        </is>
      </c>
      <c r="E76" t="inlineStr">
        <is>
          <t>2023</t>
        </is>
      </c>
      <c r="F76" t="inlineStr">
        <is>
          <t>March</t>
        </is>
      </c>
      <c r="G76" t="inlineStr">
        <is>
          <t>2024</t>
        </is>
      </c>
      <c r="H76" t="n">
        <v>1.34</v>
      </c>
      <c r="I76" t="n">
        <v>26.5</v>
      </c>
      <c r="J76" t="n">
        <v>19.59</v>
      </c>
      <c r="K76" t="n">
        <v>32.04</v>
      </c>
      <c r="L76" t="n">
        <v>81.69</v>
      </c>
      <c r="M76" t="n">
        <v>98.48999999999999</v>
      </c>
      <c r="N76" t="n">
        <v>17.2</v>
      </c>
      <c r="O76" t="n">
        <v>45</v>
      </c>
      <c r="P76" t="n">
        <v>26.5</v>
      </c>
      <c r="Q76" t="n">
        <v>22.1</v>
      </c>
      <c r="R76" t="n">
        <v>31.6</v>
      </c>
      <c r="S76" t="n">
        <v>70</v>
      </c>
      <c r="V76" t="inlineStr">
        <is>
          <t>Type I – Tropical Monsoon (PAGASA)</t>
        </is>
      </c>
      <c r="W76" t="inlineStr">
        <is>
          <t>Dry (Cool)</t>
        </is>
      </c>
      <c r="X76" t="inlineStr">
        <is>
          <t>Dry (Hot)</t>
        </is>
      </c>
      <c r="Y76" t="inlineStr">
        <is>
          <t>Sandy Loam</t>
        </is>
      </c>
      <c r="Z76" t="inlineStr">
        <is>
          <t>Flat / Lowland</t>
        </is>
      </c>
      <c r="AA76" t="n">
        <v>30</v>
      </c>
      <c r="AB76" t="inlineStr">
        <is>
          <t>Tagamusing River</t>
        </is>
      </c>
      <c r="AC76" t="n">
        <v>414.96</v>
      </c>
      <c r="AF76" t="n">
        <v>81.90000000000001</v>
      </c>
      <c r="AG76" t="inlineStr">
        <is>
          <t>Direct Seeding (Hill Planting / Furrow Method)</t>
        </is>
      </c>
      <c r="AH76" t="inlineStr">
        <is>
          <t>Conventional Tillage: 1 deep plow (20–25 cm) + 1 harrowing; good tilth easily achieved</t>
        </is>
      </c>
      <c r="AI76" t="inlineStr">
        <is>
          <t>Furrow or sprinkler irrigation; AWD or weekly irrigation; good drainage natural</t>
        </is>
      </c>
      <c r="AJ76" t="n">
        <v>79.06</v>
      </c>
      <c r="AK76" t="n">
        <v>570.55</v>
      </c>
      <c r="AL76" t="n">
        <v>7.22</v>
      </c>
      <c r="AM76" t="inlineStr">
        <is>
          <t>No</t>
        </is>
      </c>
      <c r="AN76" t="inlineStr">
        <is>
          <t>Observed harvest</t>
        </is>
      </c>
    </row>
    <row r="77">
      <c r="A77" t="inlineStr">
        <is>
          <t>Corn</t>
        </is>
      </c>
      <c r="B77" t="inlineStr">
        <is>
          <t>San Felipe Central</t>
        </is>
      </c>
      <c r="C77" t="inlineStr">
        <is>
          <t>DS 2023-2024</t>
        </is>
      </c>
      <c r="D77" t="inlineStr">
        <is>
          <t>November</t>
        </is>
      </c>
      <c r="E77" t="inlineStr">
        <is>
          <t>2023</t>
        </is>
      </c>
      <c r="F77" t="inlineStr">
        <is>
          <t>March</t>
        </is>
      </c>
      <c r="G77" t="inlineStr">
        <is>
          <t>2024</t>
        </is>
      </c>
      <c r="H77" t="n">
        <v>1.34</v>
      </c>
      <c r="I77" t="n">
        <v>26.5</v>
      </c>
      <c r="J77" t="n">
        <v>19.59</v>
      </c>
      <c r="K77" t="n">
        <v>32.04</v>
      </c>
      <c r="L77" t="n">
        <v>81.69</v>
      </c>
      <c r="M77" t="n">
        <v>98.48999999999999</v>
      </c>
      <c r="N77" t="n">
        <v>17.2</v>
      </c>
      <c r="O77" t="n">
        <v>45</v>
      </c>
      <c r="P77" t="n">
        <v>26.5</v>
      </c>
      <c r="Q77" t="n">
        <v>22.1</v>
      </c>
      <c r="R77" t="n">
        <v>31.6</v>
      </c>
      <c r="S77" t="n">
        <v>70</v>
      </c>
      <c r="V77" t="inlineStr">
        <is>
          <t>Type I – Tropical Monsoon (PAGASA)</t>
        </is>
      </c>
      <c r="W77" t="inlineStr">
        <is>
          <t>Dry (Cool)</t>
        </is>
      </c>
      <c r="X77" t="inlineStr">
        <is>
          <t>Dry (Hot)</t>
        </is>
      </c>
      <c r="Y77" t="inlineStr">
        <is>
          <t>Sandy Loam</t>
        </is>
      </c>
      <c r="Z77" t="inlineStr">
        <is>
          <t>Flat / Lowland</t>
        </is>
      </c>
      <c r="AA77" t="n">
        <v>30</v>
      </c>
      <c r="AB77" t="inlineStr">
        <is>
          <t>—</t>
        </is>
      </c>
      <c r="AC77" t="n">
        <v>452.76</v>
      </c>
      <c r="AF77" t="n">
        <v>77.88</v>
      </c>
      <c r="AG77" t="inlineStr">
        <is>
          <t>Direct Seeding (Hill Planting / Furrow Method)</t>
        </is>
      </c>
      <c r="AH77" t="inlineStr">
        <is>
          <t>Conventional Tillage: 1 deep plow (20–25 cm) + 1 harrowing; good tilth easily achieved</t>
        </is>
      </c>
      <c r="AI77" t="inlineStr">
        <is>
          <t>Furrow or sprinkler irrigation; AWD or weekly irrigation; good drainage natural</t>
        </is>
      </c>
      <c r="AJ77" t="n">
        <v>75.18000000000001</v>
      </c>
      <c r="AK77" t="n">
        <v>542.52</v>
      </c>
      <c r="AL77" t="n">
        <v>7.22</v>
      </c>
      <c r="AM77" t="inlineStr">
        <is>
          <t>No</t>
        </is>
      </c>
      <c r="AN77" t="inlineStr">
        <is>
          <t>Observed harvest</t>
        </is>
      </c>
    </row>
    <row r="78">
      <c r="A78" t="inlineStr">
        <is>
          <t>Corn</t>
        </is>
      </c>
      <c r="B78" t="inlineStr">
        <is>
          <t>San Felipe Sur</t>
        </is>
      </c>
      <c r="C78" t="inlineStr">
        <is>
          <t>DS 2023-2024</t>
        </is>
      </c>
      <c r="D78" t="inlineStr">
        <is>
          <t>November</t>
        </is>
      </c>
      <c r="E78" t="inlineStr">
        <is>
          <t>2023</t>
        </is>
      </c>
      <c r="F78" t="inlineStr">
        <is>
          <t>March</t>
        </is>
      </c>
      <c r="G78" t="inlineStr">
        <is>
          <t>2024</t>
        </is>
      </c>
      <c r="H78" t="n">
        <v>1.34</v>
      </c>
      <c r="I78" t="n">
        <v>26.5</v>
      </c>
      <c r="J78" t="n">
        <v>19.59</v>
      </c>
      <c r="K78" t="n">
        <v>32.04</v>
      </c>
      <c r="L78" t="n">
        <v>81.69</v>
      </c>
      <c r="M78" t="n">
        <v>98.48999999999999</v>
      </c>
      <c r="N78" t="n">
        <v>17.2</v>
      </c>
      <c r="O78" t="n">
        <v>45</v>
      </c>
      <c r="P78" t="n">
        <v>26.5</v>
      </c>
      <c r="Q78" t="n">
        <v>22.1</v>
      </c>
      <c r="R78" t="n">
        <v>31.6</v>
      </c>
      <c r="S78" t="n">
        <v>70</v>
      </c>
      <c r="V78" t="inlineStr">
        <is>
          <t>Type I – Tropical Monsoon (PAGASA)</t>
        </is>
      </c>
      <c r="W78" t="inlineStr">
        <is>
          <t>Dry (Cool)</t>
        </is>
      </c>
      <c r="X78" t="inlineStr">
        <is>
          <t>Dry (Hot)</t>
        </is>
      </c>
      <c r="Y78" t="inlineStr">
        <is>
          <t>Sandy Loam</t>
        </is>
      </c>
      <c r="Z78" t="inlineStr">
        <is>
          <t>Flat / Lowland</t>
        </is>
      </c>
      <c r="AA78" t="n">
        <v>30</v>
      </c>
      <c r="AB78" t="inlineStr">
        <is>
          <t>Tagamusing River</t>
        </is>
      </c>
      <c r="AC78" t="n">
        <v>504</v>
      </c>
      <c r="AF78" t="n">
        <v>80.73999999999999</v>
      </c>
      <c r="AG78" t="inlineStr">
        <is>
          <t>Direct Seeding (Hill Planting / Furrow Method)</t>
        </is>
      </c>
      <c r="AH78" t="inlineStr">
        <is>
          <t>Conventional Tillage: 1 deep plow (20–25 cm) + 1 harrowing; good tilth easily achieved</t>
        </is>
      </c>
      <c r="AI78" t="inlineStr">
        <is>
          <t>Furrow or sprinkler irrigation; AWD or weekly irrigation; good drainage natural</t>
        </is>
      </c>
      <c r="AJ78" t="n">
        <v>77.94</v>
      </c>
      <c r="AK78" t="n">
        <v>562.46</v>
      </c>
      <c r="AL78" t="n">
        <v>7.22</v>
      </c>
      <c r="AM78" t="inlineStr">
        <is>
          <t>No</t>
        </is>
      </c>
      <c r="AN78" t="inlineStr">
        <is>
          <t>Observed harvest</t>
        </is>
      </c>
    </row>
    <row r="79">
      <c r="A79" t="inlineStr">
        <is>
          <t>Corn</t>
        </is>
      </c>
      <c r="B79" t="inlineStr">
        <is>
          <t>San Pablo</t>
        </is>
      </c>
      <c r="C79" t="inlineStr">
        <is>
          <t>DS 2023-2024</t>
        </is>
      </c>
      <c r="D79" t="inlineStr">
        <is>
          <t>November</t>
        </is>
      </c>
      <c r="E79" t="inlineStr">
        <is>
          <t>2023</t>
        </is>
      </c>
      <c r="F79" t="inlineStr">
        <is>
          <t>March</t>
        </is>
      </c>
      <c r="G79" t="inlineStr">
        <is>
          <t>2024</t>
        </is>
      </c>
      <c r="H79" t="n">
        <v>1.34</v>
      </c>
      <c r="I79" t="n">
        <v>26.5</v>
      </c>
      <c r="J79" t="n">
        <v>19.59</v>
      </c>
      <c r="K79" t="n">
        <v>32.04</v>
      </c>
      <c r="L79" t="n">
        <v>81.69</v>
      </c>
      <c r="M79" t="n">
        <v>98.48999999999999</v>
      </c>
      <c r="N79" t="n">
        <v>17.2</v>
      </c>
      <c r="O79" t="n">
        <v>45</v>
      </c>
      <c r="P79" t="n">
        <v>26.5</v>
      </c>
      <c r="Q79" t="n">
        <v>22.1</v>
      </c>
      <c r="R79" t="n">
        <v>31.6</v>
      </c>
      <c r="S79" t="n">
        <v>70</v>
      </c>
      <c r="V79" t="inlineStr">
        <is>
          <t>Type I – Tropical Monsoon (PAGASA)</t>
        </is>
      </c>
      <c r="W79" t="inlineStr">
        <is>
          <t>Dry (Cool)</t>
        </is>
      </c>
      <c r="X79" t="inlineStr">
        <is>
          <t>Dry (Hot)</t>
        </is>
      </c>
      <c r="Y79" t="inlineStr">
        <is>
          <t>Sandy Loam</t>
        </is>
      </c>
      <c r="Z79" t="inlineStr">
        <is>
          <t>Flat / Lowland</t>
        </is>
      </c>
      <c r="AA79" t="n">
        <v>30</v>
      </c>
      <c r="AB79" t="inlineStr">
        <is>
          <t>San Pablo Creek</t>
        </is>
      </c>
      <c r="AC79" t="n">
        <v>215.04</v>
      </c>
      <c r="AF79" t="n">
        <v>62.43</v>
      </c>
      <c r="AG79" t="inlineStr">
        <is>
          <t>Direct Seeding (Hill Planting / Furrow Method)</t>
        </is>
      </c>
      <c r="AH79" t="inlineStr">
        <is>
          <t>Conventional Tillage: 1 deep plow (20–25 cm) + 1 harrowing; good tilth easily achieved</t>
        </is>
      </c>
      <c r="AI79" t="inlineStr">
        <is>
          <t>Furrow or sprinkler irrigation; AWD or weekly irrigation; good drainage natural</t>
        </is>
      </c>
      <c r="AJ79" t="n">
        <v>60.27</v>
      </c>
      <c r="AK79" t="n">
        <v>434.93</v>
      </c>
      <c r="AL79" t="n">
        <v>7.22</v>
      </c>
      <c r="AM79" t="inlineStr">
        <is>
          <t>No</t>
        </is>
      </c>
      <c r="AN79" t="inlineStr">
        <is>
          <t>Observed harvest</t>
        </is>
      </c>
    </row>
    <row r="80">
      <c r="A80" t="inlineStr">
        <is>
          <t>Corn</t>
        </is>
      </c>
      <c r="B80" t="inlineStr">
        <is>
          <t>Santiago</t>
        </is>
      </c>
      <c r="C80" t="inlineStr">
        <is>
          <t>DS 2023-2024</t>
        </is>
      </c>
      <c r="D80" t="inlineStr">
        <is>
          <t>November</t>
        </is>
      </c>
      <c r="E80" t="inlineStr">
        <is>
          <t>2023</t>
        </is>
      </c>
      <c r="F80" t="inlineStr">
        <is>
          <t>March</t>
        </is>
      </c>
      <c r="G80" t="inlineStr">
        <is>
          <t>2024</t>
        </is>
      </c>
      <c r="H80" t="n">
        <v>1.34</v>
      </c>
      <c r="I80" t="n">
        <v>26.5</v>
      </c>
      <c r="J80" t="n">
        <v>19.59</v>
      </c>
      <c r="K80" t="n">
        <v>32.04</v>
      </c>
      <c r="L80" t="n">
        <v>81.69</v>
      </c>
      <c r="M80" t="n">
        <v>98.48999999999999</v>
      </c>
      <c r="N80" t="n">
        <v>17.2</v>
      </c>
      <c r="O80" t="n">
        <v>45</v>
      </c>
      <c r="P80" t="n">
        <v>26.5</v>
      </c>
      <c r="Q80" t="n">
        <v>22.1</v>
      </c>
      <c r="R80" t="n">
        <v>31.6</v>
      </c>
      <c r="S80" t="n">
        <v>70</v>
      </c>
      <c r="V80" t="inlineStr">
        <is>
          <t>Type I – Tropical Monsoon (PAGASA)</t>
        </is>
      </c>
      <c r="W80" t="inlineStr">
        <is>
          <t>Dry (Cool)</t>
        </is>
      </c>
      <c r="X80" t="inlineStr">
        <is>
          <t>Dry (Hot)</t>
        </is>
      </c>
      <c r="Y80" t="inlineStr">
        <is>
          <t>Silty Clay Loam</t>
        </is>
      </c>
      <c r="Z80" t="inlineStr">
        <is>
          <t>Flat / Lowland</t>
        </is>
      </c>
      <c r="AA80" t="n">
        <v>30</v>
      </c>
      <c r="AB80" t="inlineStr">
        <is>
          <t>—</t>
        </is>
      </c>
      <c r="AC80" t="n">
        <v>283.08</v>
      </c>
      <c r="AF80" t="n">
        <v>82.84</v>
      </c>
      <c r="AG80" t="inlineStr">
        <is>
          <t>Direct Seeding (Furrow Method on Raised Beds)</t>
        </is>
      </c>
      <c r="AH80" t="inlineStr">
        <is>
          <t>Deep Tillage (25 cm): 1–2 plowings; form raised beds 20–25 cm high to prevent waterlogging</t>
        </is>
      </c>
      <c r="AI80" t="inlineStr">
        <is>
          <t>Furrow irrigation only (not flood); ensure bed drainage; drain excess after rain</t>
        </is>
      </c>
      <c r="AJ80" t="n">
        <v>79.98</v>
      </c>
      <c r="AK80" t="n">
        <v>577.14</v>
      </c>
      <c r="AL80" t="n">
        <v>7.22</v>
      </c>
      <c r="AM80" t="inlineStr">
        <is>
          <t>No</t>
        </is>
      </c>
      <c r="AN80" t="inlineStr">
        <is>
          <t>Observed harvest</t>
        </is>
      </c>
    </row>
    <row r="81">
      <c r="A81" t="inlineStr">
        <is>
          <t>Corn</t>
        </is>
      </c>
      <c r="B81" t="inlineStr">
        <is>
          <t>Sta. Catalina</t>
        </is>
      </c>
      <c r="C81" t="inlineStr">
        <is>
          <t>DS 2023-2024</t>
        </is>
      </c>
      <c r="D81" t="inlineStr">
        <is>
          <t>November</t>
        </is>
      </c>
      <c r="E81" t="inlineStr">
        <is>
          <t>2023</t>
        </is>
      </c>
      <c r="F81" t="inlineStr">
        <is>
          <t>March</t>
        </is>
      </c>
      <c r="G81" t="inlineStr">
        <is>
          <t>2024</t>
        </is>
      </c>
      <c r="H81" t="n">
        <v>1.34</v>
      </c>
      <c r="I81" t="n">
        <v>26.5</v>
      </c>
      <c r="J81" t="n">
        <v>19.59</v>
      </c>
      <c r="K81" t="n">
        <v>32.04</v>
      </c>
      <c r="L81" t="n">
        <v>81.69</v>
      </c>
      <c r="M81" t="n">
        <v>98.48999999999999</v>
      </c>
      <c r="N81" t="n">
        <v>17.2</v>
      </c>
      <c r="O81" t="n">
        <v>45</v>
      </c>
      <c r="P81" t="n">
        <v>26.5</v>
      </c>
      <c r="Q81" t="n">
        <v>22.1</v>
      </c>
      <c r="R81" t="n">
        <v>31.6</v>
      </c>
      <c r="S81" t="n">
        <v>70</v>
      </c>
      <c r="V81" t="inlineStr">
        <is>
          <t>Type I – Tropical Monsoon (PAGASA)</t>
        </is>
      </c>
      <c r="W81" t="inlineStr">
        <is>
          <t>Dry (Cool)</t>
        </is>
      </c>
      <c r="X81" t="inlineStr">
        <is>
          <t>Dry (Hot)</t>
        </is>
      </c>
      <c r="Y81" t="inlineStr">
        <is>
          <t>Fine Sand / Sandy Loam</t>
        </is>
      </c>
      <c r="Z81" t="inlineStr">
        <is>
          <t>Moderately Sloping / Highland</t>
        </is>
      </c>
      <c r="AA81" t="n">
        <v>90</v>
      </c>
      <c r="AB81" t="inlineStr">
        <is>
          <t>—</t>
        </is>
      </c>
      <c r="AC81" t="n">
        <v>709.8</v>
      </c>
      <c r="AF81" t="n">
        <v>94.73</v>
      </c>
      <c r="AG81" t="inlineStr">
        <is>
          <t>Direct Seeding (Hills or Furrow Method)</t>
        </is>
      </c>
      <c r="AH81" t="inlineStr">
        <is>
          <t>Minimum Tillage; deep ripping to break hardpan; avoid over-disturbance</t>
        </is>
      </c>
      <c r="AI81" t="inlineStr">
        <is>
          <t>Furrow irrigation; frequent light watering; mulch to retain soil moisture</t>
        </is>
      </c>
      <c r="AJ81" t="n">
        <v>91.45</v>
      </c>
      <c r="AK81" t="n">
        <v>659.95</v>
      </c>
      <c r="AL81" t="n">
        <v>7.22</v>
      </c>
      <c r="AM81" t="inlineStr">
        <is>
          <t>No</t>
        </is>
      </c>
      <c r="AN81" t="inlineStr">
        <is>
          <t>Observed harvest</t>
        </is>
      </c>
    </row>
    <row r="82">
      <c r="A82" t="inlineStr">
        <is>
          <t>Corn</t>
        </is>
      </c>
      <c r="B82" t="inlineStr">
        <is>
          <t>Sta. Maria Norte</t>
        </is>
      </c>
      <c r="C82" t="inlineStr">
        <is>
          <t>DS 2023-2024</t>
        </is>
      </c>
      <c r="D82" t="inlineStr">
        <is>
          <t>November</t>
        </is>
      </c>
      <c r="E82" t="inlineStr">
        <is>
          <t>2023</t>
        </is>
      </c>
      <c r="F82" t="inlineStr">
        <is>
          <t>March</t>
        </is>
      </c>
      <c r="G82" t="inlineStr">
        <is>
          <t>2024</t>
        </is>
      </c>
      <c r="H82" t="n">
        <v>1.34</v>
      </c>
      <c r="I82" t="n">
        <v>26.5</v>
      </c>
      <c r="J82" t="n">
        <v>19.59</v>
      </c>
      <c r="K82" t="n">
        <v>32.04</v>
      </c>
      <c r="L82" t="n">
        <v>81.69</v>
      </c>
      <c r="M82" t="n">
        <v>98.48999999999999</v>
      </c>
      <c r="N82" t="n">
        <v>17.2</v>
      </c>
      <c r="O82" t="n">
        <v>45</v>
      </c>
      <c r="P82" t="n">
        <v>26.5</v>
      </c>
      <c r="Q82" t="n">
        <v>22.1</v>
      </c>
      <c r="R82" t="n">
        <v>31.6</v>
      </c>
      <c r="S82" t="n">
        <v>70</v>
      </c>
      <c r="V82" t="inlineStr">
        <is>
          <t>Type I – Tropical Monsoon (PAGASA)</t>
        </is>
      </c>
      <c r="W82" t="inlineStr">
        <is>
          <t>Dry (Cool)</t>
        </is>
      </c>
      <c r="X82" t="inlineStr">
        <is>
          <t>Dry (Hot)</t>
        </is>
      </c>
      <c r="Y82" t="inlineStr">
        <is>
          <t>Sandy Loam</t>
        </is>
      </c>
      <c r="Z82" t="inlineStr">
        <is>
          <t>Flat / Lowland</t>
        </is>
      </c>
      <c r="AA82" t="n">
        <v>30</v>
      </c>
      <c r="AB82" t="inlineStr">
        <is>
          <t>Tagamusing River</t>
        </is>
      </c>
      <c r="AC82" t="n">
        <v>157.08</v>
      </c>
      <c r="AF82" t="n">
        <v>27.79</v>
      </c>
      <c r="AG82" t="inlineStr">
        <is>
          <t>Direct Seeding (Hill Planting / Furrow Method)</t>
        </is>
      </c>
      <c r="AH82" t="inlineStr">
        <is>
          <t>Conventional Tillage: 1 deep plow (20–25 cm) + 1 harrowing; good tilth easily achieved</t>
        </is>
      </c>
      <c r="AI82" t="inlineStr">
        <is>
          <t>Furrow or sprinkler irrigation; AWD or weekly irrigation; good drainage natural</t>
        </is>
      </c>
      <c r="AJ82" t="n">
        <v>26.82</v>
      </c>
      <c r="AK82" t="n">
        <v>193.57</v>
      </c>
      <c r="AL82" t="n">
        <v>7.22</v>
      </c>
      <c r="AM82" t="inlineStr">
        <is>
          <t>No</t>
        </is>
      </c>
      <c r="AN82" t="inlineStr">
        <is>
          <t>Observed harvest</t>
        </is>
      </c>
    </row>
    <row r="83">
      <c r="A83" t="inlineStr">
        <is>
          <t>Corn</t>
        </is>
      </c>
      <c r="B83" t="inlineStr">
        <is>
          <t>Sumabnit</t>
        </is>
      </c>
      <c r="C83" t="inlineStr">
        <is>
          <t>DS 2023-2024</t>
        </is>
      </c>
      <c r="D83" t="inlineStr">
        <is>
          <t>November</t>
        </is>
      </c>
      <c r="E83" t="inlineStr">
        <is>
          <t>2023</t>
        </is>
      </c>
      <c r="F83" t="inlineStr">
        <is>
          <t>March</t>
        </is>
      </c>
      <c r="G83" t="inlineStr">
        <is>
          <t>2024</t>
        </is>
      </c>
      <c r="H83" t="n">
        <v>1.34</v>
      </c>
      <c r="I83" t="n">
        <v>26.5</v>
      </c>
      <c r="J83" t="n">
        <v>19.59</v>
      </c>
      <c r="K83" t="n">
        <v>32.04</v>
      </c>
      <c r="L83" t="n">
        <v>81.69</v>
      </c>
      <c r="M83" t="n">
        <v>98.48999999999999</v>
      </c>
      <c r="N83" t="n">
        <v>17.2</v>
      </c>
      <c r="O83" t="n">
        <v>45</v>
      </c>
      <c r="P83" t="n">
        <v>26.5</v>
      </c>
      <c r="Q83" t="n">
        <v>22.1</v>
      </c>
      <c r="R83" t="n">
        <v>31.6</v>
      </c>
      <c r="S83" t="n">
        <v>70</v>
      </c>
      <c r="V83" t="inlineStr">
        <is>
          <t>Type I – Tropical Monsoon (PAGASA)</t>
        </is>
      </c>
      <c r="W83" t="inlineStr">
        <is>
          <t>Dry (Cool)</t>
        </is>
      </c>
      <c r="X83" t="inlineStr">
        <is>
          <t>Dry (Hot)</t>
        </is>
      </c>
      <c r="Y83" t="inlineStr">
        <is>
          <t>Silty Clay Loam / Fine Sandy Loam</t>
        </is>
      </c>
      <c r="Z83" t="inlineStr">
        <is>
          <t>Flat / Lowland</t>
        </is>
      </c>
      <c r="AA83" t="n">
        <v>30</v>
      </c>
      <c r="AB83" t="inlineStr">
        <is>
          <t>Tagamusing River</t>
        </is>
      </c>
      <c r="AC83" t="n">
        <v>406.56</v>
      </c>
      <c r="AF83" t="n">
        <v>85.69</v>
      </c>
      <c r="AG83" t="inlineStr">
        <is>
          <t>Direct Seeding (Hills or Furrow Method)</t>
        </is>
      </c>
      <c r="AH83" t="inlineStr">
        <is>
          <t>Minimum Tillage; deep ripping to break hardpan; avoid over-disturbance</t>
        </is>
      </c>
      <c r="AI83" t="inlineStr">
        <is>
          <t>Furrow irrigation; frequent light watering; mulch to retain soil moisture</t>
        </is>
      </c>
      <c r="AJ83" t="n">
        <v>82.72</v>
      </c>
      <c r="AK83" t="n">
        <v>596.95</v>
      </c>
      <c r="AL83" t="n">
        <v>7.22</v>
      </c>
      <c r="AM83" t="inlineStr">
        <is>
          <t>No</t>
        </is>
      </c>
      <c r="AN83" t="inlineStr">
        <is>
          <t>Observed harvest</t>
        </is>
      </c>
    </row>
    <row r="84">
      <c r="A84" t="inlineStr">
        <is>
          <t>Corn</t>
        </is>
      </c>
      <c r="B84" t="inlineStr">
        <is>
          <t>Tabuyoc</t>
        </is>
      </c>
      <c r="C84" t="inlineStr">
        <is>
          <t>DS 2023-2024</t>
        </is>
      </c>
      <c r="D84" t="inlineStr">
        <is>
          <t>November</t>
        </is>
      </c>
      <c r="E84" t="inlineStr">
        <is>
          <t>2023</t>
        </is>
      </c>
      <c r="F84" t="inlineStr">
        <is>
          <t>March</t>
        </is>
      </c>
      <c r="G84" t="inlineStr">
        <is>
          <t>2024</t>
        </is>
      </c>
      <c r="H84" t="n">
        <v>1.34</v>
      </c>
      <c r="I84" t="n">
        <v>26.5</v>
      </c>
      <c r="J84" t="n">
        <v>19.59</v>
      </c>
      <c r="K84" t="n">
        <v>32.04</v>
      </c>
      <c r="L84" t="n">
        <v>81.69</v>
      </c>
      <c r="M84" t="n">
        <v>98.48999999999999</v>
      </c>
      <c r="N84" t="n">
        <v>17.2</v>
      </c>
      <c r="O84" t="n">
        <v>45</v>
      </c>
      <c r="P84" t="n">
        <v>26.5</v>
      </c>
      <c r="Q84" t="n">
        <v>22.1</v>
      </c>
      <c r="R84" t="n">
        <v>31.6</v>
      </c>
      <c r="S84" t="n">
        <v>70</v>
      </c>
      <c r="V84" t="inlineStr">
        <is>
          <t>Type I – Tropical Monsoon (PAGASA)</t>
        </is>
      </c>
      <c r="W84" t="inlineStr">
        <is>
          <t>Dry (Cool)</t>
        </is>
      </c>
      <c r="X84" t="inlineStr">
        <is>
          <t>Dry (Hot)</t>
        </is>
      </c>
      <c r="Y84" t="inlineStr">
        <is>
          <t>Silty Clay Loam</t>
        </is>
      </c>
      <c r="Z84" t="inlineStr">
        <is>
          <t>Flat / Lowland</t>
        </is>
      </c>
      <c r="AA84" t="n">
        <v>30</v>
      </c>
      <c r="AB84" t="inlineStr">
        <is>
          <t>—</t>
        </is>
      </c>
      <c r="AC84" t="n">
        <v>277.2</v>
      </c>
      <c r="AF84" t="n">
        <v>66.12</v>
      </c>
      <c r="AG84" t="inlineStr">
        <is>
          <t>Direct Seeding (Furrow Method on Raised Beds)</t>
        </is>
      </c>
      <c r="AH84" t="inlineStr">
        <is>
          <t>Deep Tillage (25 cm): 1–2 plowings; form raised beds 20–25 cm high to prevent waterlogging</t>
        </is>
      </c>
      <c r="AI84" t="inlineStr">
        <is>
          <t>Furrow irrigation only (not flood); ensure bed drainage; drain excess after rain</t>
        </is>
      </c>
      <c r="AJ84" t="n">
        <v>63.83</v>
      </c>
      <c r="AK84" t="n">
        <v>460.63</v>
      </c>
      <c r="AL84" t="n">
        <v>7.22</v>
      </c>
      <c r="AM84" t="inlineStr">
        <is>
          <t>No</t>
        </is>
      </c>
      <c r="AN84" t="inlineStr">
        <is>
          <t>Observed harvest</t>
        </is>
      </c>
    </row>
    <row r="85">
      <c r="A85" t="inlineStr">
        <is>
          <t>Corn</t>
        </is>
      </c>
      <c r="B85" t="inlineStr">
        <is>
          <t>Vacante</t>
        </is>
      </c>
      <c r="C85" t="inlineStr">
        <is>
          <t>DS 2023-2024</t>
        </is>
      </c>
      <c r="D85" t="inlineStr">
        <is>
          <t>November</t>
        </is>
      </c>
      <c r="E85" t="inlineStr">
        <is>
          <t>2023</t>
        </is>
      </c>
      <c r="F85" t="inlineStr">
        <is>
          <t>March</t>
        </is>
      </c>
      <c r="G85" t="inlineStr">
        <is>
          <t>2024</t>
        </is>
      </c>
      <c r="H85" t="n">
        <v>1.34</v>
      </c>
      <c r="I85" t="n">
        <v>26.5</v>
      </c>
      <c r="J85" t="n">
        <v>19.59</v>
      </c>
      <c r="K85" t="n">
        <v>32.04</v>
      </c>
      <c r="L85" t="n">
        <v>81.69</v>
      </c>
      <c r="M85" t="n">
        <v>98.48999999999999</v>
      </c>
      <c r="N85" t="n">
        <v>17.2</v>
      </c>
      <c r="O85" t="n">
        <v>45</v>
      </c>
      <c r="P85" t="n">
        <v>26.5</v>
      </c>
      <c r="Q85" t="n">
        <v>22.1</v>
      </c>
      <c r="R85" t="n">
        <v>31.6</v>
      </c>
      <c r="S85" t="n">
        <v>70</v>
      </c>
      <c r="V85" t="inlineStr">
        <is>
          <t>Type I – Tropical Monsoon (PAGASA)</t>
        </is>
      </c>
      <c r="W85" t="inlineStr">
        <is>
          <t>Dry (Cool)</t>
        </is>
      </c>
      <c r="X85" t="inlineStr">
        <is>
          <t>Dry (Hot)</t>
        </is>
      </c>
      <c r="Y85" t="inlineStr">
        <is>
          <t>Silty Clay Loam</t>
        </is>
      </c>
      <c r="Z85" t="inlineStr">
        <is>
          <t>Flat / Lowland</t>
        </is>
      </c>
      <c r="AA85" t="n">
        <v>30</v>
      </c>
      <c r="AB85" t="inlineStr">
        <is>
          <t>Aloragat River</t>
        </is>
      </c>
      <c r="AC85" t="n">
        <v>484.68</v>
      </c>
      <c r="AF85" t="n">
        <v>55.68</v>
      </c>
      <c r="AG85" t="inlineStr">
        <is>
          <t>Direct Seeding (Furrow Method on Raised Beds)</t>
        </is>
      </c>
      <c r="AH85" t="inlineStr">
        <is>
          <t>Deep Tillage (25 cm): 1–2 plowings; form raised beds 20–25 cm high to prevent waterlogging</t>
        </is>
      </c>
      <c r="AI85" t="inlineStr">
        <is>
          <t>Furrow irrigation only (not flood); ensure bed drainage; drain excess after rain</t>
        </is>
      </c>
      <c r="AJ85" t="n">
        <v>53.75</v>
      </c>
      <c r="AK85" t="n">
        <v>387.86</v>
      </c>
      <c r="AL85" t="n">
        <v>7.22</v>
      </c>
      <c r="AM85" t="inlineStr">
        <is>
          <t>No</t>
        </is>
      </c>
      <c r="AN85" t="inlineStr">
        <is>
          <t>Observed harvest</t>
        </is>
      </c>
    </row>
    <row r="86">
      <c r="A86" t="inlineStr">
        <is>
          <t>Corn</t>
        </is>
      </c>
      <c r="B86" t="inlineStr">
        <is>
          <t>Balangobong</t>
        </is>
      </c>
      <c r="C86" t="inlineStr">
        <is>
          <t>DS 2024-2025</t>
        </is>
      </c>
      <c r="D86" t="inlineStr">
        <is>
          <t>November</t>
        </is>
      </c>
      <c r="E86" t="inlineStr">
        <is>
          <t>2024</t>
        </is>
      </c>
      <c r="F86" t="inlineStr">
        <is>
          <t>March</t>
        </is>
      </c>
      <c r="G86" t="inlineStr">
        <is>
          <t>2025</t>
        </is>
      </c>
      <c r="H86" t="n">
        <v>88</v>
      </c>
      <c r="I86" t="n">
        <v>25.8</v>
      </c>
      <c r="J86" t="n">
        <v>22.2</v>
      </c>
      <c r="K86" t="n">
        <v>30.2</v>
      </c>
      <c r="L86" t="n">
        <v>79</v>
      </c>
      <c r="O86" t="n">
        <v>45</v>
      </c>
      <c r="P86" t="n">
        <v>26.5</v>
      </c>
      <c r="Q86" t="n">
        <v>22.1</v>
      </c>
      <c r="R86" t="n">
        <v>31.6</v>
      </c>
      <c r="S86" t="n">
        <v>70</v>
      </c>
      <c r="V86" t="inlineStr">
        <is>
          <t>Type I – Tropical Monsoon (PAGASA)</t>
        </is>
      </c>
      <c r="W86" t="inlineStr">
        <is>
          <t>Dry (Cool)</t>
        </is>
      </c>
      <c r="X86" t="inlineStr">
        <is>
          <t>Dry (Hot)</t>
        </is>
      </c>
      <c r="Y86" t="inlineStr">
        <is>
          <t>Silty Clay Loam</t>
        </is>
      </c>
      <c r="Z86" t="inlineStr">
        <is>
          <t>Flat / Lowland</t>
        </is>
      </c>
      <c r="AA86" t="n">
        <v>30</v>
      </c>
      <c r="AB86" t="inlineStr">
        <is>
          <t>—</t>
        </is>
      </c>
      <c r="AC86" t="n">
        <v>281.4</v>
      </c>
      <c r="AF86" t="n">
        <v>65.12</v>
      </c>
      <c r="AG86" t="inlineStr">
        <is>
          <t>Direct Seeding (Furrow Method on Raised Beds)</t>
        </is>
      </c>
      <c r="AH86" t="inlineStr">
        <is>
          <t>Deep Tillage (25 cm): 1–2 plowings; form raised beds 20–25 cm high to prevent waterlogging</t>
        </is>
      </c>
      <c r="AI86" t="inlineStr">
        <is>
          <t>Furrow irrigation only (not flood); ensure bed drainage; drain excess after rain</t>
        </is>
      </c>
      <c r="AJ86" t="n">
        <v>65.12</v>
      </c>
      <c r="AK86" t="n">
        <v>507.93</v>
      </c>
      <c r="AL86" t="n">
        <v>7.8</v>
      </c>
      <c r="AM86" t="inlineStr">
        <is>
          <t>No</t>
        </is>
      </c>
      <c r="AN86" t="inlineStr">
        <is>
          <t>Observed harvest</t>
        </is>
      </c>
    </row>
    <row r="87">
      <c r="A87" t="inlineStr">
        <is>
          <t>Corn</t>
        </is>
      </c>
      <c r="B87" t="inlineStr">
        <is>
          <t>Bued</t>
        </is>
      </c>
      <c r="C87" t="inlineStr">
        <is>
          <t>DS 2024-2025</t>
        </is>
      </c>
      <c r="D87" t="inlineStr">
        <is>
          <t>November</t>
        </is>
      </c>
      <c r="E87" t="inlineStr">
        <is>
          <t>2024</t>
        </is>
      </c>
      <c r="F87" t="inlineStr">
        <is>
          <t>March</t>
        </is>
      </c>
      <c r="G87" t="inlineStr">
        <is>
          <t>2025</t>
        </is>
      </c>
      <c r="H87" t="n">
        <v>88</v>
      </c>
      <c r="I87" t="n">
        <v>25.8</v>
      </c>
      <c r="J87" t="n">
        <v>22.2</v>
      </c>
      <c r="K87" t="n">
        <v>30.2</v>
      </c>
      <c r="L87" t="n">
        <v>79</v>
      </c>
      <c r="O87" t="n">
        <v>45</v>
      </c>
      <c r="P87" t="n">
        <v>26.5</v>
      </c>
      <c r="Q87" t="n">
        <v>22.1</v>
      </c>
      <c r="R87" t="n">
        <v>31.6</v>
      </c>
      <c r="S87" t="n">
        <v>70</v>
      </c>
      <c r="V87" t="inlineStr">
        <is>
          <t>Type I – Tropical Monsoon (PAGASA)</t>
        </is>
      </c>
      <c r="W87" t="inlineStr">
        <is>
          <t>Dry (Cool)</t>
        </is>
      </c>
      <c r="X87" t="inlineStr">
        <is>
          <t>Dry (Hot)</t>
        </is>
      </c>
      <c r="Y87" t="inlineStr">
        <is>
          <t>Silty Clay Loam</t>
        </is>
      </c>
      <c r="Z87" t="inlineStr">
        <is>
          <t>Flat / Lowland</t>
        </is>
      </c>
      <c r="AA87" t="n">
        <v>30</v>
      </c>
      <c r="AB87" t="inlineStr">
        <is>
          <t>Tagamusing River</t>
        </is>
      </c>
      <c r="AC87" t="n">
        <v>210.84</v>
      </c>
      <c r="AF87" t="n">
        <v>52.07</v>
      </c>
      <c r="AG87" t="inlineStr">
        <is>
          <t>Direct Seeding (Furrow Method on Raised Beds)</t>
        </is>
      </c>
      <c r="AH87" t="inlineStr">
        <is>
          <t>Deep Tillage (25 cm): 1–2 plowings; form raised beds 20–25 cm high to prevent waterlogging</t>
        </is>
      </c>
      <c r="AI87" t="inlineStr">
        <is>
          <t>Furrow irrigation only (not flood); ensure bed drainage; drain excess after rain</t>
        </is>
      </c>
      <c r="AJ87" t="n">
        <v>52.07</v>
      </c>
      <c r="AK87" t="n">
        <v>406.14</v>
      </c>
      <c r="AL87" t="n">
        <v>7.8</v>
      </c>
      <c r="AM87" t="inlineStr">
        <is>
          <t>No</t>
        </is>
      </c>
      <c r="AN87" t="inlineStr">
        <is>
          <t>Observed harvest</t>
        </is>
      </c>
    </row>
    <row r="88">
      <c r="A88" t="inlineStr">
        <is>
          <t>Corn</t>
        </is>
      </c>
      <c r="B88" t="inlineStr">
        <is>
          <t>Bugayong</t>
        </is>
      </c>
      <c r="C88" t="inlineStr">
        <is>
          <t>DS 2024-2025</t>
        </is>
      </c>
      <c r="D88" t="inlineStr">
        <is>
          <t>November</t>
        </is>
      </c>
      <c r="E88" t="inlineStr">
        <is>
          <t>2024</t>
        </is>
      </c>
      <c r="F88" t="inlineStr">
        <is>
          <t>March</t>
        </is>
      </c>
      <c r="G88" t="inlineStr">
        <is>
          <t>2025</t>
        </is>
      </c>
      <c r="H88" t="n">
        <v>88</v>
      </c>
      <c r="I88" t="n">
        <v>25.8</v>
      </c>
      <c r="J88" t="n">
        <v>22.2</v>
      </c>
      <c r="K88" t="n">
        <v>30.2</v>
      </c>
      <c r="L88" t="n">
        <v>79</v>
      </c>
      <c r="O88" t="n">
        <v>45</v>
      </c>
      <c r="P88" t="n">
        <v>26.5</v>
      </c>
      <c r="Q88" t="n">
        <v>22.1</v>
      </c>
      <c r="R88" t="n">
        <v>31.6</v>
      </c>
      <c r="S88" t="n">
        <v>70</v>
      </c>
      <c r="V88" t="inlineStr">
        <is>
          <t>Type I – Tropical Monsoon (PAGASA)</t>
        </is>
      </c>
      <c r="W88" t="inlineStr">
        <is>
          <t>Dry (Cool)</t>
        </is>
      </c>
      <c r="X88" t="inlineStr">
        <is>
          <t>Dry (Hot)</t>
        </is>
      </c>
      <c r="Y88" t="inlineStr">
        <is>
          <t>Sandy Loam / Silty Clay Loam</t>
        </is>
      </c>
      <c r="Z88" t="inlineStr">
        <is>
          <t>Flat / Lowland</t>
        </is>
      </c>
      <c r="AA88" t="n">
        <v>30</v>
      </c>
      <c r="AB88" t="inlineStr">
        <is>
          <t>Aloragat River</t>
        </is>
      </c>
      <c r="AC88" t="n">
        <v>346.08</v>
      </c>
      <c r="AF88" t="n">
        <v>26.04</v>
      </c>
      <c r="AG88" t="inlineStr">
        <is>
          <t>Direct Seeding (Furrow or Hill Method)</t>
        </is>
      </c>
      <c r="AH88" t="inlineStr">
        <is>
          <t>Conventional Tillage: 1 deep plow + harrowing; ensure good drainage channels</t>
        </is>
      </c>
      <c r="AI88" t="inlineStr">
        <is>
          <t>Furrow irrigation; avoid waterlogging — clay fraction retains excess moisture</t>
        </is>
      </c>
      <c r="AJ88" t="n">
        <v>26.04</v>
      </c>
      <c r="AK88" t="n">
        <v>203.15</v>
      </c>
      <c r="AL88" t="n">
        <v>7.8</v>
      </c>
      <c r="AM88" t="inlineStr">
        <is>
          <t>No</t>
        </is>
      </c>
      <c r="AN88" t="inlineStr">
        <is>
          <t>Observed harvest</t>
        </is>
      </c>
    </row>
    <row r="89">
      <c r="A89" t="inlineStr">
        <is>
          <t>Corn</t>
        </is>
      </c>
      <c r="B89" t="inlineStr">
        <is>
          <t>Camanggaan</t>
        </is>
      </c>
      <c r="C89" t="inlineStr">
        <is>
          <t>DS 2024-2025</t>
        </is>
      </c>
      <c r="D89" t="inlineStr">
        <is>
          <t>November</t>
        </is>
      </c>
      <c r="E89" t="inlineStr">
        <is>
          <t>2024</t>
        </is>
      </c>
      <c r="F89" t="inlineStr">
        <is>
          <t>March</t>
        </is>
      </c>
      <c r="G89" t="inlineStr">
        <is>
          <t>2025</t>
        </is>
      </c>
      <c r="H89" t="n">
        <v>88</v>
      </c>
      <c r="I89" t="n">
        <v>25.8</v>
      </c>
      <c r="J89" t="n">
        <v>22.2</v>
      </c>
      <c r="K89" t="n">
        <v>30.2</v>
      </c>
      <c r="L89" t="n">
        <v>79</v>
      </c>
      <c r="O89" t="n">
        <v>45</v>
      </c>
      <c r="P89" t="n">
        <v>26.5</v>
      </c>
      <c r="Q89" t="n">
        <v>22.1</v>
      </c>
      <c r="R89" t="n">
        <v>31.6</v>
      </c>
      <c r="S89" t="n">
        <v>70</v>
      </c>
      <c r="V89" t="inlineStr">
        <is>
          <t>Type I – Tropical Monsoon (PAGASA)</t>
        </is>
      </c>
      <c r="W89" t="inlineStr">
        <is>
          <t>Dry (Cool)</t>
        </is>
      </c>
      <c r="X89" t="inlineStr">
        <is>
          <t>Dry (Hot)</t>
        </is>
      </c>
      <c r="Y89" t="inlineStr">
        <is>
          <t>Sandy Loam</t>
        </is>
      </c>
      <c r="Z89" t="inlineStr">
        <is>
          <t>Flat / Lowland</t>
        </is>
      </c>
      <c r="AA89" t="n">
        <v>30</v>
      </c>
      <c r="AB89" t="inlineStr">
        <is>
          <t>—</t>
        </is>
      </c>
      <c r="AC89" t="n">
        <v>244.44</v>
      </c>
      <c r="AF89" t="n">
        <v>30.09</v>
      </c>
      <c r="AG89" t="inlineStr">
        <is>
          <t>Direct Seeding (Hill Planting / Furrow Method)</t>
        </is>
      </c>
      <c r="AH89" t="inlineStr">
        <is>
          <t>Conventional Tillage: 1 deep plow (20–25 cm) + 1 harrowing; good tilth easily achieved</t>
        </is>
      </c>
      <c r="AI89" t="inlineStr">
        <is>
          <t>Furrow or sprinkler irrigation; AWD or weekly irrigation; good drainage natural</t>
        </is>
      </c>
      <c r="AJ89" t="n">
        <v>30.09</v>
      </c>
      <c r="AK89" t="n">
        <v>234.67</v>
      </c>
      <c r="AL89" t="n">
        <v>7.8</v>
      </c>
      <c r="AM89" t="inlineStr">
        <is>
          <t>No</t>
        </is>
      </c>
      <c r="AN89" t="inlineStr">
        <is>
          <t>Observed harvest</t>
        </is>
      </c>
    </row>
    <row r="90">
      <c r="A90" t="inlineStr">
        <is>
          <t>Corn</t>
        </is>
      </c>
      <c r="B90" t="inlineStr">
        <is>
          <t>Capas</t>
        </is>
      </c>
      <c r="C90" t="inlineStr">
        <is>
          <t>DS 2024-2025</t>
        </is>
      </c>
      <c r="D90" t="inlineStr">
        <is>
          <t>November</t>
        </is>
      </c>
      <c r="E90" t="inlineStr">
        <is>
          <t>2024</t>
        </is>
      </c>
      <c r="F90" t="inlineStr">
        <is>
          <t>March</t>
        </is>
      </c>
      <c r="G90" t="inlineStr">
        <is>
          <t>2025</t>
        </is>
      </c>
      <c r="H90" t="n">
        <v>88</v>
      </c>
      <c r="I90" t="n">
        <v>25.8</v>
      </c>
      <c r="J90" t="n">
        <v>22.2</v>
      </c>
      <c r="K90" t="n">
        <v>30.2</v>
      </c>
      <c r="L90" t="n">
        <v>79</v>
      </c>
      <c r="O90" t="n">
        <v>45</v>
      </c>
      <c r="P90" t="n">
        <v>26.5</v>
      </c>
      <c r="Q90" t="n">
        <v>22.1</v>
      </c>
      <c r="R90" t="n">
        <v>31.6</v>
      </c>
      <c r="S90" t="n">
        <v>70</v>
      </c>
      <c r="V90" t="inlineStr">
        <is>
          <t>Type I – Tropical Monsoon (PAGASA)</t>
        </is>
      </c>
      <c r="W90" t="inlineStr">
        <is>
          <t>Dry (Cool)</t>
        </is>
      </c>
      <c r="X90" t="inlineStr">
        <is>
          <t>Dry (Hot)</t>
        </is>
      </c>
      <c r="Y90" t="inlineStr">
        <is>
          <t>Sandy Loam</t>
        </is>
      </c>
      <c r="Z90" t="inlineStr">
        <is>
          <t>Flat / Lowland</t>
        </is>
      </c>
      <c r="AA90" t="n">
        <v>30</v>
      </c>
      <c r="AB90" t="inlineStr">
        <is>
          <t>—</t>
        </is>
      </c>
      <c r="AC90" t="n">
        <v>377.16</v>
      </c>
      <c r="AF90" t="n">
        <v>125.63</v>
      </c>
      <c r="AG90" t="inlineStr">
        <is>
          <t>Direct Seeding (Hill Planting / Furrow Method)</t>
        </is>
      </c>
      <c r="AH90" t="inlineStr">
        <is>
          <t>Conventional Tillage: 1 deep plow (20–25 cm) + 1 harrowing; good tilth easily achieved</t>
        </is>
      </c>
      <c r="AI90" t="inlineStr">
        <is>
          <t>Furrow or sprinkler irrigation; AWD or weekly irrigation; good drainage natural</t>
        </is>
      </c>
      <c r="AJ90" t="n">
        <v>125.63</v>
      </c>
      <c r="AK90" t="n">
        <v>979.9400000000001</v>
      </c>
      <c r="AL90" t="n">
        <v>7.8</v>
      </c>
      <c r="AM90" t="inlineStr">
        <is>
          <t>No</t>
        </is>
      </c>
      <c r="AN90" t="inlineStr">
        <is>
          <t>Observed harvest</t>
        </is>
      </c>
    </row>
    <row r="91">
      <c r="A91" t="inlineStr">
        <is>
          <t>Corn</t>
        </is>
      </c>
      <c r="B91" t="inlineStr">
        <is>
          <t>Cili</t>
        </is>
      </c>
      <c r="C91" t="inlineStr">
        <is>
          <t>DS 2024-2025</t>
        </is>
      </c>
      <c r="D91" t="inlineStr">
        <is>
          <t>November</t>
        </is>
      </c>
      <c r="E91" t="inlineStr">
        <is>
          <t>2024</t>
        </is>
      </c>
      <c r="F91" t="inlineStr">
        <is>
          <t>March</t>
        </is>
      </c>
      <c r="G91" t="inlineStr">
        <is>
          <t>2025</t>
        </is>
      </c>
      <c r="H91" t="n">
        <v>88</v>
      </c>
      <c r="I91" t="n">
        <v>25.8</v>
      </c>
      <c r="J91" t="n">
        <v>22.2</v>
      </c>
      <c r="K91" t="n">
        <v>30.2</v>
      </c>
      <c r="L91" t="n">
        <v>79</v>
      </c>
      <c r="O91" t="n">
        <v>45</v>
      </c>
      <c r="P91" t="n">
        <v>26.5</v>
      </c>
      <c r="Q91" t="n">
        <v>22.1</v>
      </c>
      <c r="R91" t="n">
        <v>31.6</v>
      </c>
      <c r="S91" t="n">
        <v>70</v>
      </c>
      <c r="V91" t="inlineStr">
        <is>
          <t>Type I – Tropical Monsoon (PAGASA)</t>
        </is>
      </c>
      <c r="W91" t="inlineStr">
        <is>
          <t>Dry (Cool)</t>
        </is>
      </c>
      <c r="X91" t="inlineStr">
        <is>
          <t>Dry (Hot)</t>
        </is>
      </c>
      <c r="Y91" t="inlineStr">
        <is>
          <t>Silty Clay Loam</t>
        </is>
      </c>
      <c r="Z91" t="inlineStr">
        <is>
          <t>Flat / Lowland</t>
        </is>
      </c>
      <c r="AA91" t="n">
        <v>30</v>
      </c>
      <c r="AB91" t="inlineStr">
        <is>
          <t>Alibeng River</t>
        </is>
      </c>
      <c r="AC91" t="n">
        <v>264.6</v>
      </c>
      <c r="AF91" t="n">
        <v>66.05</v>
      </c>
      <c r="AG91" t="inlineStr">
        <is>
          <t>Direct Seeding (Furrow Method on Raised Beds)</t>
        </is>
      </c>
      <c r="AH91" t="inlineStr">
        <is>
          <t>Deep Tillage (25 cm): 1–2 plowings; form raised beds 20–25 cm high to prevent waterlogging</t>
        </is>
      </c>
      <c r="AI91" t="inlineStr">
        <is>
          <t>Furrow irrigation only (not flood); ensure bed drainage; drain excess after rain</t>
        </is>
      </c>
      <c r="AJ91" t="n">
        <v>66.05</v>
      </c>
      <c r="AK91" t="n">
        <v>515.23</v>
      </c>
      <c r="AL91" t="n">
        <v>7.8</v>
      </c>
      <c r="AM91" t="inlineStr">
        <is>
          <t>No</t>
        </is>
      </c>
      <c r="AN91" t="inlineStr">
        <is>
          <t>Observed harvest</t>
        </is>
      </c>
    </row>
    <row r="92">
      <c r="A92" t="inlineStr">
        <is>
          <t>Corn</t>
        </is>
      </c>
      <c r="B92" t="inlineStr">
        <is>
          <t>Dumayat</t>
        </is>
      </c>
      <c r="C92" t="inlineStr">
        <is>
          <t>DS 2024-2025</t>
        </is>
      </c>
      <c r="D92" t="inlineStr">
        <is>
          <t>November</t>
        </is>
      </c>
      <c r="E92" t="inlineStr">
        <is>
          <t>2024</t>
        </is>
      </c>
      <c r="F92" t="inlineStr">
        <is>
          <t>March</t>
        </is>
      </c>
      <c r="G92" t="inlineStr">
        <is>
          <t>2025</t>
        </is>
      </c>
      <c r="H92" t="n">
        <v>88</v>
      </c>
      <c r="I92" t="n">
        <v>25.8</v>
      </c>
      <c r="J92" t="n">
        <v>22.2</v>
      </c>
      <c r="K92" t="n">
        <v>30.2</v>
      </c>
      <c r="L92" t="n">
        <v>79</v>
      </c>
      <c r="O92" t="n">
        <v>45</v>
      </c>
      <c r="P92" t="n">
        <v>26.5</v>
      </c>
      <c r="Q92" t="n">
        <v>22.1</v>
      </c>
      <c r="R92" t="n">
        <v>31.6</v>
      </c>
      <c r="S92" t="n">
        <v>70</v>
      </c>
      <c r="V92" t="inlineStr">
        <is>
          <t>Type I – Tropical Monsoon (PAGASA)</t>
        </is>
      </c>
      <c r="W92" t="inlineStr">
        <is>
          <t>Dry (Cool)</t>
        </is>
      </c>
      <c r="X92" t="inlineStr">
        <is>
          <t>Dry (Hot)</t>
        </is>
      </c>
      <c r="Y92" t="inlineStr">
        <is>
          <t>Silty Clay Loam</t>
        </is>
      </c>
      <c r="Z92" t="inlineStr">
        <is>
          <t>Flat / Lowland</t>
        </is>
      </c>
      <c r="AA92" t="n">
        <v>30</v>
      </c>
      <c r="AB92" t="inlineStr">
        <is>
          <t>—</t>
        </is>
      </c>
      <c r="AC92" t="n">
        <v>266.28</v>
      </c>
      <c r="AF92" t="n">
        <v>40.64</v>
      </c>
      <c r="AG92" t="inlineStr">
        <is>
          <t>Direct Seeding (Furrow Method on Raised Beds)</t>
        </is>
      </c>
      <c r="AH92" t="inlineStr">
        <is>
          <t>Deep Tillage (25 cm): 1–2 plowings; form raised beds 20–25 cm high to prevent waterlogging</t>
        </is>
      </c>
      <c r="AI92" t="inlineStr">
        <is>
          <t>Furrow irrigation only (not flood); ensure bed drainage; drain excess after rain</t>
        </is>
      </c>
      <c r="AJ92" t="n">
        <v>40.64</v>
      </c>
      <c r="AK92" t="n">
        <v>317.03</v>
      </c>
      <c r="AL92" t="n">
        <v>7.8</v>
      </c>
      <c r="AM92" t="inlineStr">
        <is>
          <t>No</t>
        </is>
      </c>
      <c r="AN92" t="inlineStr">
        <is>
          <t>Observed harvest</t>
        </is>
      </c>
    </row>
    <row r="93">
      <c r="A93" t="inlineStr">
        <is>
          <t>Corn</t>
        </is>
      </c>
      <c r="B93" t="inlineStr">
        <is>
          <t>Linmansangan</t>
        </is>
      </c>
      <c r="C93" t="inlineStr">
        <is>
          <t>DS 2024-2025</t>
        </is>
      </c>
      <c r="D93" t="inlineStr">
        <is>
          <t>November</t>
        </is>
      </c>
      <c r="E93" t="inlineStr">
        <is>
          <t>2024</t>
        </is>
      </c>
      <c r="F93" t="inlineStr">
        <is>
          <t>March</t>
        </is>
      </c>
      <c r="G93" t="inlineStr">
        <is>
          <t>2025</t>
        </is>
      </c>
      <c r="H93" t="n">
        <v>88</v>
      </c>
      <c r="I93" t="n">
        <v>25.8</v>
      </c>
      <c r="J93" t="n">
        <v>22.2</v>
      </c>
      <c r="K93" t="n">
        <v>30.2</v>
      </c>
      <c r="L93" t="n">
        <v>79</v>
      </c>
      <c r="O93" t="n">
        <v>45</v>
      </c>
      <c r="P93" t="n">
        <v>26.5</v>
      </c>
      <c r="Q93" t="n">
        <v>22.1</v>
      </c>
      <c r="R93" t="n">
        <v>31.6</v>
      </c>
      <c r="S93" t="n">
        <v>70</v>
      </c>
      <c r="V93" t="inlineStr">
        <is>
          <t>Type I – Tropical Monsoon (PAGASA)</t>
        </is>
      </c>
      <c r="W93" t="inlineStr">
        <is>
          <t>Dry (Cool)</t>
        </is>
      </c>
      <c r="X93" t="inlineStr">
        <is>
          <t>Dry (Hot)</t>
        </is>
      </c>
      <c r="Y93" t="inlineStr">
        <is>
          <t>Silty Clay Loam</t>
        </is>
      </c>
      <c r="Z93" t="inlineStr">
        <is>
          <t>Flat / Lowland</t>
        </is>
      </c>
      <c r="AA93" t="n">
        <v>30</v>
      </c>
      <c r="AB93" t="inlineStr">
        <is>
          <t>—</t>
        </is>
      </c>
      <c r="AC93" t="n">
        <v>492.24</v>
      </c>
      <c r="AF93" t="n">
        <v>99.20999999999999</v>
      </c>
      <c r="AG93" t="inlineStr">
        <is>
          <t>Direct Seeding (Furrow Method on Raised Beds)</t>
        </is>
      </c>
      <c r="AH93" t="inlineStr">
        <is>
          <t>Deep Tillage (25 cm): 1–2 plowings; form raised beds 20–25 cm high to prevent waterlogging</t>
        </is>
      </c>
      <c r="AI93" t="inlineStr">
        <is>
          <t>Furrow irrigation only (not flood); ensure bed drainage; drain excess after rain</t>
        </is>
      </c>
      <c r="AJ93" t="n">
        <v>99.20999999999999</v>
      </c>
      <c r="AK93" t="n">
        <v>773.83</v>
      </c>
      <c r="AL93" t="n">
        <v>7.8</v>
      </c>
      <c r="AM93" t="inlineStr">
        <is>
          <t>No</t>
        </is>
      </c>
      <c r="AN93" t="inlineStr">
        <is>
          <t>Observed harvest</t>
        </is>
      </c>
    </row>
    <row r="94">
      <c r="A94" t="inlineStr">
        <is>
          <t>Corn</t>
        </is>
      </c>
      <c r="B94" t="inlineStr">
        <is>
          <t>Mangkasuy</t>
        </is>
      </c>
      <c r="C94" t="inlineStr">
        <is>
          <t>DS 2024-2025</t>
        </is>
      </c>
      <c r="D94" t="inlineStr">
        <is>
          <t>November</t>
        </is>
      </c>
      <c r="E94" t="inlineStr">
        <is>
          <t>2024</t>
        </is>
      </c>
      <c r="F94" t="inlineStr">
        <is>
          <t>March</t>
        </is>
      </c>
      <c r="G94" t="inlineStr">
        <is>
          <t>2025</t>
        </is>
      </c>
      <c r="H94" t="n">
        <v>88</v>
      </c>
      <c r="I94" t="n">
        <v>25.8</v>
      </c>
      <c r="J94" t="n">
        <v>22.2</v>
      </c>
      <c r="K94" t="n">
        <v>30.2</v>
      </c>
      <c r="L94" t="n">
        <v>79</v>
      </c>
      <c r="O94" t="n">
        <v>45</v>
      </c>
      <c r="P94" t="n">
        <v>26.5</v>
      </c>
      <c r="Q94" t="n">
        <v>22.1</v>
      </c>
      <c r="R94" t="n">
        <v>31.6</v>
      </c>
      <c r="S94" t="n">
        <v>70</v>
      </c>
      <c r="V94" t="inlineStr">
        <is>
          <t>Type I – Tropical Monsoon (PAGASA)</t>
        </is>
      </c>
      <c r="W94" t="inlineStr">
        <is>
          <t>Dry (Cool)</t>
        </is>
      </c>
      <c r="X94" t="inlineStr">
        <is>
          <t>Dry (Hot)</t>
        </is>
      </c>
      <c r="Y94" t="inlineStr">
        <is>
          <t>Sandy Loam</t>
        </is>
      </c>
      <c r="Z94" t="inlineStr">
        <is>
          <t>Flat / Lowland</t>
        </is>
      </c>
      <c r="AA94" t="n">
        <v>30</v>
      </c>
      <c r="AB94" t="inlineStr">
        <is>
          <t>Tagamusing River</t>
        </is>
      </c>
      <c r="AC94" t="n">
        <v>802.2</v>
      </c>
      <c r="AF94" t="n">
        <v>112.96</v>
      </c>
      <c r="AG94" t="inlineStr">
        <is>
          <t>Direct Seeding (Hill Planting / Furrow Method)</t>
        </is>
      </c>
      <c r="AH94" t="inlineStr">
        <is>
          <t>Conventional Tillage: 1 deep plow (20–25 cm) + 1 harrowing; good tilth easily achieved</t>
        </is>
      </c>
      <c r="AI94" t="inlineStr">
        <is>
          <t>Furrow or sprinkler irrigation; AWD or weekly irrigation; good drainage natural</t>
        </is>
      </c>
      <c r="AJ94" t="n">
        <v>112.96</v>
      </c>
      <c r="AK94" t="n">
        <v>881.1</v>
      </c>
      <c r="AL94" t="n">
        <v>7.8</v>
      </c>
      <c r="AM94" t="inlineStr">
        <is>
          <t>No</t>
        </is>
      </c>
      <c r="AN94" t="inlineStr">
        <is>
          <t>Observed harvest</t>
        </is>
      </c>
    </row>
    <row r="95">
      <c r="A95" t="inlineStr">
        <is>
          <t>Corn</t>
        </is>
      </c>
      <c r="B95" t="inlineStr">
        <is>
          <t>Moreno</t>
        </is>
      </c>
      <c r="C95" t="inlineStr">
        <is>
          <t>DS 2024-2025</t>
        </is>
      </c>
      <c r="D95" t="inlineStr">
        <is>
          <t>November</t>
        </is>
      </c>
      <c r="E95" t="inlineStr">
        <is>
          <t>2024</t>
        </is>
      </c>
      <c r="F95" t="inlineStr">
        <is>
          <t>March</t>
        </is>
      </c>
      <c r="G95" t="inlineStr">
        <is>
          <t>2025</t>
        </is>
      </c>
      <c r="H95" t="n">
        <v>88</v>
      </c>
      <c r="I95" t="n">
        <v>25.8</v>
      </c>
      <c r="J95" t="n">
        <v>22.2</v>
      </c>
      <c r="K95" t="n">
        <v>30.2</v>
      </c>
      <c r="L95" t="n">
        <v>79</v>
      </c>
      <c r="O95" t="n">
        <v>45</v>
      </c>
      <c r="P95" t="n">
        <v>26.5</v>
      </c>
      <c r="Q95" t="n">
        <v>22.1</v>
      </c>
      <c r="R95" t="n">
        <v>31.6</v>
      </c>
      <c r="S95" t="n">
        <v>70</v>
      </c>
      <c r="V95" t="inlineStr">
        <is>
          <t>Type I – Tropical Monsoon (PAGASA)</t>
        </is>
      </c>
      <c r="W95" t="inlineStr">
        <is>
          <t>Dry (Cool)</t>
        </is>
      </c>
      <c r="X95" t="inlineStr">
        <is>
          <t>Dry (Hot)</t>
        </is>
      </c>
      <c r="Y95" t="inlineStr">
        <is>
          <t>Sandy Loam</t>
        </is>
      </c>
      <c r="Z95" t="inlineStr">
        <is>
          <t>Moderately Sloping / Highland</t>
        </is>
      </c>
      <c r="AA95" t="n">
        <v>90</v>
      </c>
      <c r="AB95" t="inlineStr">
        <is>
          <t>Alibeng River</t>
        </is>
      </c>
      <c r="AC95" t="n">
        <v>641.76</v>
      </c>
      <c r="AF95" t="n">
        <v>70.75</v>
      </c>
      <c r="AG95" t="inlineStr">
        <is>
          <t>Direct Seeding (Hill Planting / Furrow Method)</t>
        </is>
      </c>
      <c r="AH95" t="inlineStr">
        <is>
          <t>Conventional Tillage: 1 deep plow (20–25 cm) + 1 harrowing; good tilth easily achieved</t>
        </is>
      </c>
      <c r="AI95" t="inlineStr">
        <is>
          <t>Furrow or sprinkler irrigation; AWD or weekly irrigation; good drainage natural</t>
        </is>
      </c>
      <c r="AJ95" t="n">
        <v>70.75</v>
      </c>
      <c r="AK95" t="n">
        <v>551.84</v>
      </c>
      <c r="AL95" t="n">
        <v>7.8</v>
      </c>
      <c r="AM95" t="inlineStr">
        <is>
          <t>No</t>
        </is>
      </c>
      <c r="AN95" t="inlineStr">
        <is>
          <t>Observed harvest</t>
        </is>
      </c>
    </row>
    <row r="96">
      <c r="A96" t="inlineStr">
        <is>
          <t>Corn</t>
        </is>
      </c>
      <c r="B96" t="inlineStr">
        <is>
          <t>Pasileng Norte</t>
        </is>
      </c>
      <c r="C96" t="inlineStr">
        <is>
          <t>DS 2024-2025</t>
        </is>
      </c>
      <c r="D96" t="inlineStr">
        <is>
          <t>November</t>
        </is>
      </c>
      <c r="E96" t="inlineStr">
        <is>
          <t>2024</t>
        </is>
      </c>
      <c r="F96" t="inlineStr">
        <is>
          <t>March</t>
        </is>
      </c>
      <c r="G96" t="inlineStr">
        <is>
          <t>2025</t>
        </is>
      </c>
      <c r="H96" t="n">
        <v>88</v>
      </c>
      <c r="I96" t="n">
        <v>25.8</v>
      </c>
      <c r="J96" t="n">
        <v>22.2</v>
      </c>
      <c r="K96" t="n">
        <v>30.2</v>
      </c>
      <c r="L96" t="n">
        <v>79</v>
      </c>
      <c r="O96" t="n">
        <v>45</v>
      </c>
      <c r="P96" t="n">
        <v>26.5</v>
      </c>
      <c r="Q96" t="n">
        <v>22.1</v>
      </c>
      <c r="R96" t="n">
        <v>31.6</v>
      </c>
      <c r="S96" t="n">
        <v>70</v>
      </c>
      <c r="V96" t="inlineStr">
        <is>
          <t>Type I – Tropical Monsoon (PAGASA)</t>
        </is>
      </c>
      <c r="W96" t="inlineStr">
        <is>
          <t>Dry (Cool)</t>
        </is>
      </c>
      <c r="X96" t="inlineStr">
        <is>
          <t>Dry (Hot)</t>
        </is>
      </c>
      <c r="Y96" t="inlineStr">
        <is>
          <t>Sandy Loam</t>
        </is>
      </c>
      <c r="Z96" t="inlineStr">
        <is>
          <t>Flat / Lowland</t>
        </is>
      </c>
      <c r="AA96" t="n">
        <v>30</v>
      </c>
      <c r="AB96" t="inlineStr">
        <is>
          <t>Tagamusing River</t>
        </is>
      </c>
      <c r="AC96" t="n">
        <v>140.28</v>
      </c>
      <c r="AF96" t="n">
        <v>44.51</v>
      </c>
      <c r="AG96" t="inlineStr">
        <is>
          <t>Direct Seeding (Hill Planting / Furrow Method)</t>
        </is>
      </c>
      <c r="AH96" t="inlineStr">
        <is>
          <t>Conventional Tillage: 1 deep plow (20–25 cm) + 1 harrowing; good tilth easily achieved</t>
        </is>
      </c>
      <c r="AI96" t="inlineStr">
        <is>
          <t>Furrow or sprinkler irrigation; AWD or weekly irrigation; good drainage natural</t>
        </is>
      </c>
      <c r="AJ96" t="n">
        <v>44.51</v>
      </c>
      <c r="AK96" t="n">
        <v>347.2</v>
      </c>
      <c r="AL96" t="n">
        <v>7.8</v>
      </c>
      <c r="AM96" t="inlineStr">
        <is>
          <t>No</t>
        </is>
      </c>
      <c r="AN96" t="inlineStr">
        <is>
          <t>Observed harvest</t>
        </is>
      </c>
    </row>
    <row r="97">
      <c r="A97" t="inlineStr">
        <is>
          <t>Corn</t>
        </is>
      </c>
      <c r="B97" t="inlineStr">
        <is>
          <t>Pasileng Sur</t>
        </is>
      </c>
      <c r="C97" t="inlineStr">
        <is>
          <t>DS 2024-2025</t>
        </is>
      </c>
      <c r="D97" t="inlineStr">
        <is>
          <t>November</t>
        </is>
      </c>
      <c r="E97" t="inlineStr">
        <is>
          <t>2024</t>
        </is>
      </c>
      <c r="F97" t="inlineStr">
        <is>
          <t>March</t>
        </is>
      </c>
      <c r="G97" t="inlineStr">
        <is>
          <t>2025</t>
        </is>
      </c>
      <c r="H97" t="n">
        <v>88</v>
      </c>
      <c r="I97" t="n">
        <v>25.8</v>
      </c>
      <c r="J97" t="n">
        <v>22.2</v>
      </c>
      <c r="K97" t="n">
        <v>30.2</v>
      </c>
      <c r="L97" t="n">
        <v>79</v>
      </c>
      <c r="O97" t="n">
        <v>45</v>
      </c>
      <c r="P97" t="n">
        <v>26.5</v>
      </c>
      <c r="Q97" t="n">
        <v>22.1</v>
      </c>
      <c r="R97" t="n">
        <v>31.6</v>
      </c>
      <c r="S97" t="n">
        <v>70</v>
      </c>
      <c r="V97" t="inlineStr">
        <is>
          <t>Type I – Tropical Monsoon (PAGASA)</t>
        </is>
      </c>
      <c r="W97" t="inlineStr">
        <is>
          <t>Dry (Cool)</t>
        </is>
      </c>
      <c r="X97" t="inlineStr">
        <is>
          <t>Dry (Hot)</t>
        </is>
      </c>
      <c r="Y97" t="inlineStr">
        <is>
          <t>Sandy Loam</t>
        </is>
      </c>
      <c r="Z97" t="inlineStr">
        <is>
          <t>Flat / Lowland</t>
        </is>
      </c>
      <c r="AA97" t="n">
        <v>30</v>
      </c>
      <c r="AB97" t="inlineStr">
        <is>
          <t>Tagamusing River</t>
        </is>
      </c>
      <c r="AC97" t="n">
        <v>414.96</v>
      </c>
      <c r="AF97" t="n">
        <v>85.38</v>
      </c>
      <c r="AG97" t="inlineStr">
        <is>
          <t>Direct Seeding (Hill Planting / Furrow Method)</t>
        </is>
      </c>
      <c r="AH97" t="inlineStr">
        <is>
          <t>Conventional Tillage: 1 deep plow (20–25 cm) + 1 harrowing; good tilth easily achieved</t>
        </is>
      </c>
      <c r="AI97" t="inlineStr">
        <is>
          <t>Furrow or sprinkler irrigation; AWD or weekly irrigation; good drainage natural</t>
        </is>
      </c>
      <c r="AJ97" t="n">
        <v>85.38</v>
      </c>
      <c r="AK97" t="n">
        <v>665.96</v>
      </c>
      <c r="AL97" t="n">
        <v>7.8</v>
      </c>
      <c r="AM97" t="inlineStr">
        <is>
          <t>No</t>
        </is>
      </c>
      <c r="AN97" t="inlineStr">
        <is>
          <t>Observed harvest</t>
        </is>
      </c>
    </row>
    <row r="98">
      <c r="A98" t="inlineStr">
        <is>
          <t>Corn</t>
        </is>
      </c>
      <c r="B98" t="inlineStr">
        <is>
          <t>San Felipe Central</t>
        </is>
      </c>
      <c r="C98" t="inlineStr">
        <is>
          <t>DS 2024-2025</t>
        </is>
      </c>
      <c r="D98" t="inlineStr">
        <is>
          <t>November</t>
        </is>
      </c>
      <c r="E98" t="inlineStr">
        <is>
          <t>2024</t>
        </is>
      </c>
      <c r="F98" t="inlineStr">
        <is>
          <t>March</t>
        </is>
      </c>
      <c r="G98" t="inlineStr">
        <is>
          <t>2025</t>
        </is>
      </c>
      <c r="H98" t="n">
        <v>88</v>
      </c>
      <c r="I98" t="n">
        <v>25.8</v>
      </c>
      <c r="J98" t="n">
        <v>22.2</v>
      </c>
      <c r="K98" t="n">
        <v>30.2</v>
      </c>
      <c r="L98" t="n">
        <v>79</v>
      </c>
      <c r="O98" t="n">
        <v>45</v>
      </c>
      <c r="P98" t="n">
        <v>26.5</v>
      </c>
      <c r="Q98" t="n">
        <v>22.1</v>
      </c>
      <c r="R98" t="n">
        <v>31.6</v>
      </c>
      <c r="S98" t="n">
        <v>70</v>
      </c>
      <c r="V98" t="inlineStr">
        <is>
          <t>Type I – Tropical Monsoon (PAGASA)</t>
        </is>
      </c>
      <c r="W98" t="inlineStr">
        <is>
          <t>Dry (Cool)</t>
        </is>
      </c>
      <c r="X98" t="inlineStr">
        <is>
          <t>Dry (Hot)</t>
        </is>
      </c>
      <c r="Y98" t="inlineStr">
        <is>
          <t>Sandy Loam</t>
        </is>
      </c>
      <c r="Z98" t="inlineStr">
        <is>
          <t>Flat / Lowland</t>
        </is>
      </c>
      <c r="AA98" t="n">
        <v>30</v>
      </c>
      <c r="AB98" t="inlineStr">
        <is>
          <t>—</t>
        </is>
      </c>
      <c r="AC98" t="n">
        <v>452.76</v>
      </c>
      <c r="AF98" t="n">
        <v>81.19</v>
      </c>
      <c r="AG98" t="inlineStr">
        <is>
          <t>Direct Seeding (Hill Planting / Furrow Method)</t>
        </is>
      </c>
      <c r="AH98" t="inlineStr">
        <is>
          <t>Conventional Tillage: 1 deep plow (20–25 cm) + 1 harrowing; good tilth easily achieved</t>
        </is>
      </c>
      <c r="AI98" t="inlineStr">
        <is>
          <t>Furrow or sprinkler irrigation; AWD or weekly irrigation; good drainage natural</t>
        </is>
      </c>
      <c r="AJ98" t="n">
        <v>81.19</v>
      </c>
      <c r="AK98" t="n">
        <v>633.25</v>
      </c>
      <c r="AL98" t="n">
        <v>7.8</v>
      </c>
      <c r="AM98" t="inlineStr">
        <is>
          <t>No</t>
        </is>
      </c>
      <c r="AN98" t="inlineStr">
        <is>
          <t>Observed harvest</t>
        </is>
      </c>
    </row>
    <row r="99">
      <c r="A99" t="inlineStr">
        <is>
          <t>Corn</t>
        </is>
      </c>
      <c r="B99" t="inlineStr">
        <is>
          <t>San Felipe Sur</t>
        </is>
      </c>
      <c r="C99" t="inlineStr">
        <is>
          <t>DS 2024-2025</t>
        </is>
      </c>
      <c r="D99" t="inlineStr">
        <is>
          <t>November</t>
        </is>
      </c>
      <c r="E99" t="inlineStr">
        <is>
          <t>2024</t>
        </is>
      </c>
      <c r="F99" t="inlineStr">
        <is>
          <t>March</t>
        </is>
      </c>
      <c r="G99" t="inlineStr">
        <is>
          <t>2025</t>
        </is>
      </c>
      <c r="H99" t="n">
        <v>88</v>
      </c>
      <c r="I99" t="n">
        <v>25.8</v>
      </c>
      <c r="J99" t="n">
        <v>22.2</v>
      </c>
      <c r="K99" t="n">
        <v>30.2</v>
      </c>
      <c r="L99" t="n">
        <v>79</v>
      </c>
      <c r="O99" t="n">
        <v>45</v>
      </c>
      <c r="P99" t="n">
        <v>26.5</v>
      </c>
      <c r="Q99" t="n">
        <v>22.1</v>
      </c>
      <c r="R99" t="n">
        <v>31.6</v>
      </c>
      <c r="S99" t="n">
        <v>70</v>
      </c>
      <c r="V99" t="inlineStr">
        <is>
          <t>Type I – Tropical Monsoon (PAGASA)</t>
        </is>
      </c>
      <c r="W99" t="inlineStr">
        <is>
          <t>Dry (Cool)</t>
        </is>
      </c>
      <c r="X99" t="inlineStr">
        <is>
          <t>Dry (Hot)</t>
        </is>
      </c>
      <c r="Y99" t="inlineStr">
        <is>
          <t>Sandy Loam</t>
        </is>
      </c>
      <c r="Z99" t="inlineStr">
        <is>
          <t>Flat / Lowland</t>
        </is>
      </c>
      <c r="AA99" t="n">
        <v>30</v>
      </c>
      <c r="AB99" t="inlineStr">
        <is>
          <t>Tagamusing River</t>
        </is>
      </c>
      <c r="AC99" t="n">
        <v>504</v>
      </c>
      <c r="AF99" t="n">
        <v>84.17</v>
      </c>
      <c r="AG99" t="inlineStr">
        <is>
          <t>Direct Seeding (Hill Planting / Furrow Method)</t>
        </is>
      </c>
      <c r="AH99" t="inlineStr">
        <is>
          <t>Conventional Tillage: 1 deep plow (20–25 cm) + 1 harrowing; good tilth easily achieved</t>
        </is>
      </c>
      <c r="AI99" t="inlineStr">
        <is>
          <t>Furrow or sprinkler irrigation; AWD or weekly irrigation; good drainage natural</t>
        </is>
      </c>
      <c r="AJ99" t="n">
        <v>84.17</v>
      </c>
      <c r="AK99" t="n">
        <v>656.52</v>
      </c>
      <c r="AL99" t="n">
        <v>7.8</v>
      </c>
      <c r="AM99" t="inlineStr">
        <is>
          <t>No</t>
        </is>
      </c>
      <c r="AN99" t="inlineStr">
        <is>
          <t>Observed harvest</t>
        </is>
      </c>
    </row>
    <row r="100">
      <c r="A100" t="inlineStr">
        <is>
          <t>Corn</t>
        </is>
      </c>
      <c r="B100" t="inlineStr">
        <is>
          <t>San Pablo</t>
        </is>
      </c>
      <c r="C100" t="inlineStr">
        <is>
          <t>DS 2024-2025</t>
        </is>
      </c>
      <c r="D100" t="inlineStr">
        <is>
          <t>November</t>
        </is>
      </c>
      <c r="E100" t="inlineStr">
        <is>
          <t>2024</t>
        </is>
      </c>
      <c r="F100" t="inlineStr">
        <is>
          <t>March</t>
        </is>
      </c>
      <c r="G100" t="inlineStr">
        <is>
          <t>2025</t>
        </is>
      </c>
      <c r="H100" t="n">
        <v>88</v>
      </c>
      <c r="I100" t="n">
        <v>25.8</v>
      </c>
      <c r="J100" t="n">
        <v>22.2</v>
      </c>
      <c r="K100" t="n">
        <v>30.2</v>
      </c>
      <c r="L100" t="n">
        <v>79</v>
      </c>
      <c r="O100" t="n">
        <v>45</v>
      </c>
      <c r="P100" t="n">
        <v>26.5</v>
      </c>
      <c r="Q100" t="n">
        <v>22.1</v>
      </c>
      <c r="R100" t="n">
        <v>31.6</v>
      </c>
      <c r="S100" t="n">
        <v>70</v>
      </c>
      <c r="V100" t="inlineStr">
        <is>
          <t>Type I – Tropical Monsoon (PAGASA)</t>
        </is>
      </c>
      <c r="W100" t="inlineStr">
        <is>
          <t>Dry (Cool)</t>
        </is>
      </c>
      <c r="X100" t="inlineStr">
        <is>
          <t>Dry (Hot)</t>
        </is>
      </c>
      <c r="Y100" t="inlineStr">
        <is>
          <t>Sandy Loam</t>
        </is>
      </c>
      <c r="Z100" t="inlineStr">
        <is>
          <t>Flat / Lowland</t>
        </is>
      </c>
      <c r="AA100" t="n">
        <v>30</v>
      </c>
      <c r="AB100" t="inlineStr">
        <is>
          <t>San Pablo Creek</t>
        </is>
      </c>
      <c r="AC100" t="n">
        <v>215.04</v>
      </c>
      <c r="AF100" t="n">
        <v>65.08</v>
      </c>
      <c r="AG100" t="inlineStr">
        <is>
          <t>Direct Seeding (Hill Planting / Furrow Method)</t>
        </is>
      </c>
      <c r="AH100" t="inlineStr">
        <is>
          <t>Conventional Tillage: 1 deep plow (20–25 cm) + 1 harrowing; good tilth easily achieved</t>
        </is>
      </c>
      <c r="AI100" t="inlineStr">
        <is>
          <t>Furrow or sprinkler irrigation; AWD or weekly irrigation; good drainage natural</t>
        </is>
      </c>
      <c r="AJ100" t="n">
        <v>65.08</v>
      </c>
      <c r="AK100" t="n">
        <v>507.66</v>
      </c>
      <c r="AL100" t="n">
        <v>7.8</v>
      </c>
      <c r="AM100" t="inlineStr">
        <is>
          <t>No</t>
        </is>
      </c>
      <c r="AN100" t="inlineStr">
        <is>
          <t>Observed harvest</t>
        </is>
      </c>
    </row>
    <row r="101">
      <c r="A101" t="inlineStr">
        <is>
          <t>Corn</t>
        </is>
      </c>
      <c r="B101" t="inlineStr">
        <is>
          <t>Santiago</t>
        </is>
      </c>
      <c r="C101" t="inlineStr">
        <is>
          <t>DS 2024-2025</t>
        </is>
      </c>
      <c r="D101" t="inlineStr">
        <is>
          <t>November</t>
        </is>
      </c>
      <c r="E101" t="inlineStr">
        <is>
          <t>2024</t>
        </is>
      </c>
      <c r="F101" t="inlineStr">
        <is>
          <t>March</t>
        </is>
      </c>
      <c r="G101" t="inlineStr">
        <is>
          <t>2025</t>
        </is>
      </c>
      <c r="H101" t="n">
        <v>88</v>
      </c>
      <c r="I101" t="n">
        <v>25.8</v>
      </c>
      <c r="J101" t="n">
        <v>22.2</v>
      </c>
      <c r="K101" t="n">
        <v>30.2</v>
      </c>
      <c r="L101" t="n">
        <v>79</v>
      </c>
      <c r="O101" t="n">
        <v>45</v>
      </c>
      <c r="P101" t="n">
        <v>26.5</v>
      </c>
      <c r="Q101" t="n">
        <v>22.1</v>
      </c>
      <c r="R101" t="n">
        <v>31.6</v>
      </c>
      <c r="S101" t="n">
        <v>70</v>
      </c>
      <c r="V101" t="inlineStr">
        <is>
          <t>Type I – Tropical Monsoon (PAGASA)</t>
        </is>
      </c>
      <c r="W101" t="inlineStr">
        <is>
          <t>Dry (Cool)</t>
        </is>
      </c>
      <c r="X101" t="inlineStr">
        <is>
          <t>Dry (Hot)</t>
        </is>
      </c>
      <c r="Y101" t="inlineStr">
        <is>
          <t>Silty Clay Loam</t>
        </is>
      </c>
      <c r="Z101" t="inlineStr">
        <is>
          <t>Flat / Lowland</t>
        </is>
      </c>
      <c r="AA101" t="n">
        <v>30</v>
      </c>
      <c r="AB101" t="inlineStr">
        <is>
          <t>—</t>
        </is>
      </c>
      <c r="AC101" t="n">
        <v>283.08</v>
      </c>
      <c r="AF101" t="n">
        <v>86.38</v>
      </c>
      <c r="AG101" t="inlineStr">
        <is>
          <t>Direct Seeding (Furrow Method on Raised Beds)</t>
        </is>
      </c>
      <c r="AH101" t="inlineStr">
        <is>
          <t>Deep Tillage (25 cm): 1–2 plowings; form raised beds 20–25 cm high to prevent waterlogging</t>
        </is>
      </c>
      <c r="AI101" t="inlineStr">
        <is>
          <t>Furrow irrigation only (not flood); ensure bed drainage; drain excess after rain</t>
        </is>
      </c>
      <c r="AJ101" t="n">
        <v>86.38</v>
      </c>
      <c r="AK101" t="n">
        <v>673.66</v>
      </c>
      <c r="AL101" t="n">
        <v>7.8</v>
      </c>
      <c r="AM101" t="inlineStr">
        <is>
          <t>No</t>
        </is>
      </c>
      <c r="AN101" t="inlineStr">
        <is>
          <t>Observed harvest</t>
        </is>
      </c>
    </row>
    <row r="102">
      <c r="A102" t="inlineStr">
        <is>
          <t>Corn</t>
        </is>
      </c>
      <c r="B102" t="inlineStr">
        <is>
          <t>Sta. Catalina</t>
        </is>
      </c>
      <c r="C102" t="inlineStr">
        <is>
          <t>DS 2024-2025</t>
        </is>
      </c>
      <c r="D102" t="inlineStr">
        <is>
          <t>November</t>
        </is>
      </c>
      <c r="E102" t="inlineStr">
        <is>
          <t>2024</t>
        </is>
      </c>
      <c r="F102" t="inlineStr">
        <is>
          <t>March</t>
        </is>
      </c>
      <c r="G102" t="inlineStr">
        <is>
          <t>2025</t>
        </is>
      </c>
      <c r="H102" t="n">
        <v>88</v>
      </c>
      <c r="I102" t="n">
        <v>25.8</v>
      </c>
      <c r="J102" t="n">
        <v>22.2</v>
      </c>
      <c r="K102" t="n">
        <v>30.2</v>
      </c>
      <c r="L102" t="n">
        <v>79</v>
      </c>
      <c r="O102" t="n">
        <v>45</v>
      </c>
      <c r="P102" t="n">
        <v>26.5</v>
      </c>
      <c r="Q102" t="n">
        <v>22.1</v>
      </c>
      <c r="R102" t="n">
        <v>31.6</v>
      </c>
      <c r="S102" t="n">
        <v>70</v>
      </c>
      <c r="V102" t="inlineStr">
        <is>
          <t>Type I – Tropical Monsoon (PAGASA)</t>
        </is>
      </c>
      <c r="W102" t="inlineStr">
        <is>
          <t>Dry (Cool)</t>
        </is>
      </c>
      <c r="X102" t="inlineStr">
        <is>
          <t>Dry (Hot)</t>
        </is>
      </c>
      <c r="Y102" t="inlineStr">
        <is>
          <t>Fine Sand / Sandy Loam</t>
        </is>
      </c>
      <c r="Z102" t="inlineStr">
        <is>
          <t>Moderately Sloping / Highland</t>
        </is>
      </c>
      <c r="AA102" t="n">
        <v>90</v>
      </c>
      <c r="AB102" t="inlineStr">
        <is>
          <t>—</t>
        </is>
      </c>
      <c r="AC102" t="n">
        <v>709.8</v>
      </c>
      <c r="AF102" t="n">
        <v>98.76000000000001</v>
      </c>
      <c r="AG102" t="inlineStr">
        <is>
          <t>Direct Seeding (Hills or Furrow Method)</t>
        </is>
      </c>
      <c r="AH102" t="inlineStr">
        <is>
          <t>Minimum Tillage; deep ripping to break hardpan; avoid over-disturbance</t>
        </is>
      </c>
      <c r="AI102" t="inlineStr">
        <is>
          <t>Furrow irrigation; frequent light watering; mulch to retain soil moisture</t>
        </is>
      </c>
      <c r="AJ102" t="n">
        <v>98.76000000000001</v>
      </c>
      <c r="AK102" t="n">
        <v>770.3099999999999</v>
      </c>
      <c r="AL102" t="n">
        <v>7.8</v>
      </c>
      <c r="AM102" t="inlineStr">
        <is>
          <t>No</t>
        </is>
      </c>
      <c r="AN102" t="inlineStr">
        <is>
          <t>Observed harvest</t>
        </is>
      </c>
    </row>
    <row r="103">
      <c r="A103" t="inlineStr">
        <is>
          <t>Corn</t>
        </is>
      </c>
      <c r="B103" t="inlineStr">
        <is>
          <t>Sta. Maria Norte</t>
        </is>
      </c>
      <c r="C103" t="inlineStr">
        <is>
          <t>DS 2024-2025</t>
        </is>
      </c>
      <c r="D103" t="inlineStr">
        <is>
          <t>November</t>
        </is>
      </c>
      <c r="E103" t="inlineStr">
        <is>
          <t>2024</t>
        </is>
      </c>
      <c r="F103" t="inlineStr">
        <is>
          <t>March</t>
        </is>
      </c>
      <c r="G103" t="inlineStr">
        <is>
          <t>2025</t>
        </is>
      </c>
      <c r="H103" t="n">
        <v>88</v>
      </c>
      <c r="I103" t="n">
        <v>25.8</v>
      </c>
      <c r="J103" t="n">
        <v>22.2</v>
      </c>
      <c r="K103" t="n">
        <v>30.2</v>
      </c>
      <c r="L103" t="n">
        <v>79</v>
      </c>
      <c r="O103" t="n">
        <v>45</v>
      </c>
      <c r="P103" t="n">
        <v>26.5</v>
      </c>
      <c r="Q103" t="n">
        <v>22.1</v>
      </c>
      <c r="R103" t="n">
        <v>31.6</v>
      </c>
      <c r="S103" t="n">
        <v>70</v>
      </c>
      <c r="V103" t="inlineStr">
        <is>
          <t>Type I – Tropical Monsoon (PAGASA)</t>
        </is>
      </c>
      <c r="W103" t="inlineStr">
        <is>
          <t>Dry (Cool)</t>
        </is>
      </c>
      <c r="X103" t="inlineStr">
        <is>
          <t>Dry (Hot)</t>
        </is>
      </c>
      <c r="Y103" t="inlineStr">
        <is>
          <t>Sandy Loam</t>
        </is>
      </c>
      <c r="Z103" t="inlineStr">
        <is>
          <t>Flat / Lowland</t>
        </is>
      </c>
      <c r="AA103" t="n">
        <v>30</v>
      </c>
      <c r="AB103" t="inlineStr">
        <is>
          <t>Tagamusing River</t>
        </is>
      </c>
      <c r="AC103" t="n">
        <v>157.08</v>
      </c>
      <c r="AF103" t="n">
        <v>28.97</v>
      </c>
      <c r="AG103" t="inlineStr">
        <is>
          <t>Direct Seeding (Hill Planting / Furrow Method)</t>
        </is>
      </c>
      <c r="AH103" t="inlineStr">
        <is>
          <t>Conventional Tillage: 1 deep plow (20–25 cm) + 1 harrowing; good tilth easily achieved</t>
        </is>
      </c>
      <c r="AI103" t="inlineStr">
        <is>
          <t>Furrow or sprinkler irrigation; AWD or weekly irrigation; good drainage natural</t>
        </is>
      </c>
      <c r="AJ103" t="n">
        <v>28.97</v>
      </c>
      <c r="AK103" t="n">
        <v>225.94</v>
      </c>
      <c r="AL103" t="n">
        <v>7.8</v>
      </c>
      <c r="AM103" t="inlineStr">
        <is>
          <t>No</t>
        </is>
      </c>
      <c r="AN103" t="inlineStr">
        <is>
          <t>Observed harvest</t>
        </is>
      </c>
    </row>
    <row r="104">
      <c r="A104" t="inlineStr">
        <is>
          <t>Corn</t>
        </is>
      </c>
      <c r="B104" t="inlineStr">
        <is>
          <t>Sumabnit</t>
        </is>
      </c>
      <c r="C104" t="inlineStr">
        <is>
          <t>DS 2024-2025</t>
        </is>
      </c>
      <c r="D104" t="inlineStr">
        <is>
          <t>November</t>
        </is>
      </c>
      <c r="E104" t="inlineStr">
        <is>
          <t>2024</t>
        </is>
      </c>
      <c r="F104" t="inlineStr">
        <is>
          <t>March</t>
        </is>
      </c>
      <c r="G104" t="inlineStr">
        <is>
          <t>2025</t>
        </is>
      </c>
      <c r="H104" t="n">
        <v>88</v>
      </c>
      <c r="I104" t="n">
        <v>25.8</v>
      </c>
      <c r="J104" t="n">
        <v>22.2</v>
      </c>
      <c r="K104" t="n">
        <v>30.2</v>
      </c>
      <c r="L104" t="n">
        <v>79</v>
      </c>
      <c r="O104" t="n">
        <v>45</v>
      </c>
      <c r="P104" t="n">
        <v>26.5</v>
      </c>
      <c r="Q104" t="n">
        <v>22.1</v>
      </c>
      <c r="R104" t="n">
        <v>31.6</v>
      </c>
      <c r="S104" t="n">
        <v>70</v>
      </c>
      <c r="V104" t="inlineStr">
        <is>
          <t>Type I – Tropical Monsoon (PAGASA)</t>
        </is>
      </c>
      <c r="W104" t="inlineStr">
        <is>
          <t>Dry (Cool)</t>
        </is>
      </c>
      <c r="X104" t="inlineStr">
        <is>
          <t>Dry (Hot)</t>
        </is>
      </c>
      <c r="Y104" t="inlineStr">
        <is>
          <t>Silty Clay Loam / Fine Sandy Loam</t>
        </is>
      </c>
      <c r="Z104" t="inlineStr">
        <is>
          <t>Flat / Lowland</t>
        </is>
      </c>
      <c r="AA104" t="n">
        <v>30</v>
      </c>
      <c r="AB104" t="inlineStr">
        <is>
          <t>Tagamusing River</t>
        </is>
      </c>
      <c r="AC104" t="n">
        <v>406.56</v>
      </c>
      <c r="AF104" t="n">
        <v>89.33</v>
      </c>
      <c r="AG104" t="inlineStr">
        <is>
          <t>Direct Seeding (Hills or Furrow Method)</t>
        </is>
      </c>
      <c r="AH104" t="inlineStr">
        <is>
          <t>Minimum Tillage; deep ripping to break hardpan; avoid over-disturbance</t>
        </is>
      </c>
      <c r="AI104" t="inlineStr">
        <is>
          <t>Furrow irrigation; frequent light watering; mulch to retain soil moisture</t>
        </is>
      </c>
      <c r="AJ104" t="n">
        <v>89.33</v>
      </c>
      <c r="AK104" t="n">
        <v>696.78</v>
      </c>
      <c r="AL104" t="n">
        <v>7.8</v>
      </c>
      <c r="AM104" t="inlineStr">
        <is>
          <t>No</t>
        </is>
      </c>
      <c r="AN104" t="inlineStr">
        <is>
          <t>Observed harvest</t>
        </is>
      </c>
    </row>
    <row r="105">
      <c r="A105" t="inlineStr">
        <is>
          <t>Corn</t>
        </is>
      </c>
      <c r="B105" t="inlineStr">
        <is>
          <t>Tabuyoc</t>
        </is>
      </c>
      <c r="C105" t="inlineStr">
        <is>
          <t>DS 2024-2025</t>
        </is>
      </c>
      <c r="D105" t="inlineStr">
        <is>
          <t>November</t>
        </is>
      </c>
      <c r="E105" t="inlineStr">
        <is>
          <t>2024</t>
        </is>
      </c>
      <c r="F105" t="inlineStr">
        <is>
          <t>March</t>
        </is>
      </c>
      <c r="G105" t="inlineStr">
        <is>
          <t>2025</t>
        </is>
      </c>
      <c r="H105" t="n">
        <v>88</v>
      </c>
      <c r="I105" t="n">
        <v>25.8</v>
      </c>
      <c r="J105" t="n">
        <v>22.2</v>
      </c>
      <c r="K105" t="n">
        <v>30.2</v>
      </c>
      <c r="L105" t="n">
        <v>79</v>
      </c>
      <c r="O105" t="n">
        <v>45</v>
      </c>
      <c r="P105" t="n">
        <v>26.5</v>
      </c>
      <c r="Q105" t="n">
        <v>22.1</v>
      </c>
      <c r="R105" t="n">
        <v>31.6</v>
      </c>
      <c r="S105" t="n">
        <v>70</v>
      </c>
      <c r="V105" t="inlineStr">
        <is>
          <t>Type I – Tropical Monsoon (PAGASA)</t>
        </is>
      </c>
      <c r="W105" t="inlineStr">
        <is>
          <t>Dry (Cool)</t>
        </is>
      </c>
      <c r="X105" t="inlineStr">
        <is>
          <t>Dry (Hot)</t>
        </is>
      </c>
      <c r="Y105" t="inlineStr">
        <is>
          <t>Silty Clay Loam</t>
        </is>
      </c>
      <c r="Z105" t="inlineStr">
        <is>
          <t>Flat / Lowland</t>
        </is>
      </c>
      <c r="AA105" t="n">
        <v>30</v>
      </c>
      <c r="AB105" t="inlineStr">
        <is>
          <t>—</t>
        </is>
      </c>
      <c r="AC105" t="n">
        <v>277.2</v>
      </c>
      <c r="AF105" t="n">
        <v>68.93000000000001</v>
      </c>
      <c r="AG105" t="inlineStr">
        <is>
          <t>Direct Seeding (Furrow Method on Raised Beds)</t>
        </is>
      </c>
      <c r="AH105" t="inlineStr">
        <is>
          <t>Deep Tillage (25 cm): 1–2 plowings; form raised beds 20–25 cm high to prevent waterlogging</t>
        </is>
      </c>
      <c r="AI105" t="inlineStr">
        <is>
          <t>Furrow irrigation only (not flood); ensure bed drainage; drain excess after rain</t>
        </is>
      </c>
      <c r="AJ105" t="n">
        <v>68.93000000000001</v>
      </c>
      <c r="AK105" t="n">
        <v>537.67</v>
      </c>
      <c r="AL105" t="n">
        <v>7.8</v>
      </c>
      <c r="AM105" t="inlineStr">
        <is>
          <t>No</t>
        </is>
      </c>
      <c r="AN105" t="inlineStr">
        <is>
          <t>Observed harvest</t>
        </is>
      </c>
    </row>
    <row r="106">
      <c r="A106" t="inlineStr">
        <is>
          <t>Corn</t>
        </is>
      </c>
      <c r="B106" t="inlineStr">
        <is>
          <t>Vacante</t>
        </is>
      </c>
      <c r="C106" t="inlineStr">
        <is>
          <t>DS 2024-2025</t>
        </is>
      </c>
      <c r="D106" t="inlineStr">
        <is>
          <t>November</t>
        </is>
      </c>
      <c r="E106" t="inlineStr">
        <is>
          <t>2024</t>
        </is>
      </c>
      <c r="F106" t="inlineStr">
        <is>
          <t>March</t>
        </is>
      </c>
      <c r="G106" t="inlineStr">
        <is>
          <t>2025</t>
        </is>
      </c>
      <c r="H106" t="n">
        <v>88</v>
      </c>
      <c r="I106" t="n">
        <v>25.8</v>
      </c>
      <c r="J106" t="n">
        <v>22.2</v>
      </c>
      <c r="K106" t="n">
        <v>30.2</v>
      </c>
      <c r="L106" t="n">
        <v>79</v>
      </c>
      <c r="O106" t="n">
        <v>45</v>
      </c>
      <c r="P106" t="n">
        <v>26.5</v>
      </c>
      <c r="Q106" t="n">
        <v>22.1</v>
      </c>
      <c r="R106" t="n">
        <v>31.6</v>
      </c>
      <c r="S106" t="n">
        <v>70</v>
      </c>
      <c r="V106" t="inlineStr">
        <is>
          <t>Type I – Tropical Monsoon (PAGASA)</t>
        </is>
      </c>
      <c r="W106" t="inlineStr">
        <is>
          <t>Dry (Cool)</t>
        </is>
      </c>
      <c r="X106" t="inlineStr">
        <is>
          <t>Dry (Hot)</t>
        </is>
      </c>
      <c r="Y106" t="inlineStr">
        <is>
          <t>Silty Clay Loam</t>
        </is>
      </c>
      <c r="Z106" t="inlineStr">
        <is>
          <t>Flat / Lowland</t>
        </is>
      </c>
      <c r="AA106" t="n">
        <v>30</v>
      </c>
      <c r="AB106" t="inlineStr">
        <is>
          <t>Aloragat River</t>
        </is>
      </c>
      <c r="AC106" t="n">
        <v>484.68</v>
      </c>
      <c r="AF106" t="n">
        <v>58.04</v>
      </c>
      <c r="AG106" t="inlineStr">
        <is>
          <t>Direct Seeding (Furrow Method on Raised Beds)</t>
        </is>
      </c>
      <c r="AH106" t="inlineStr">
        <is>
          <t>Deep Tillage (25 cm): 1–2 plowings; form raised beds 20–25 cm high to prevent waterlogging</t>
        </is>
      </c>
      <c r="AI106" t="inlineStr">
        <is>
          <t>Furrow irrigation only (not flood); ensure bed drainage; drain excess after rain</t>
        </is>
      </c>
      <c r="AJ106" t="n">
        <v>58.04</v>
      </c>
      <c r="AK106" t="n">
        <v>452.73</v>
      </c>
      <c r="AL106" t="n">
        <v>7.8</v>
      </c>
      <c r="AM106" t="inlineStr">
        <is>
          <t>No</t>
        </is>
      </c>
      <c r="AN106" t="inlineStr">
        <is>
          <t>Observed harvest</t>
        </is>
      </c>
    </row>
    <row r="107">
      <c r="A107" t="inlineStr">
        <is>
          <t>Palay</t>
        </is>
      </c>
      <c r="B107" t="inlineStr">
        <is>
          <t>Balangobong</t>
        </is>
      </c>
      <c r="C107" t="inlineStr">
        <is>
          <t>DS 2007</t>
        </is>
      </c>
      <c r="D107" t="inlineStr">
        <is>
          <t>January</t>
        </is>
      </c>
      <c r="E107" t="inlineStr">
        <is>
          <t>2007</t>
        </is>
      </c>
      <c r="F107" t="inlineStr">
        <is>
          <t>May</t>
        </is>
      </c>
      <c r="G107" t="inlineStr">
        <is>
          <t>2007</t>
        </is>
      </c>
      <c r="H107" t="n">
        <v>0.4</v>
      </c>
      <c r="I107" t="n">
        <v>24.24</v>
      </c>
      <c r="J107" t="n">
        <v>16.82</v>
      </c>
      <c r="K107" t="n">
        <v>31.18</v>
      </c>
      <c r="L107" t="n">
        <v>79.65000000000001</v>
      </c>
      <c r="M107" t="n">
        <v>98.68000000000001</v>
      </c>
      <c r="N107" t="n">
        <v>16.49</v>
      </c>
      <c r="O107" t="n">
        <v>14.07</v>
      </c>
      <c r="P107" t="n">
        <v>26.24</v>
      </c>
      <c r="Q107" t="n">
        <v>22.11</v>
      </c>
      <c r="R107" t="n">
        <v>33.01</v>
      </c>
      <c r="S107" t="n">
        <v>84.31</v>
      </c>
      <c r="T107" t="n">
        <v>98.03</v>
      </c>
      <c r="U107" t="n">
        <v>19.34</v>
      </c>
      <c r="V107" t="inlineStr">
        <is>
          <t>Type I – Tropical Monsoon (PAGASA)</t>
        </is>
      </c>
      <c r="W107" t="inlineStr">
        <is>
          <t>Dry (Cool)</t>
        </is>
      </c>
      <c r="X107" t="inlineStr">
        <is>
          <t>Wet</t>
        </is>
      </c>
      <c r="Y107" t="inlineStr">
        <is>
          <t>Silty Clay Loam</t>
        </is>
      </c>
      <c r="Z107" t="inlineStr">
        <is>
          <t>Flat / Lowland</t>
        </is>
      </c>
      <c r="AA107" t="n">
        <v>30</v>
      </c>
      <c r="AB107" t="inlineStr">
        <is>
          <t>—</t>
        </is>
      </c>
      <c r="AC107" t="n">
        <v>281.4</v>
      </c>
      <c r="AD107" t="n">
        <v>4</v>
      </c>
      <c r="AE107" t="n">
        <v>35.32</v>
      </c>
      <c r="AF107" t="n">
        <v>24</v>
      </c>
      <c r="AG107" t="inlineStr">
        <is>
          <t>Transplanting (Pindot) — optimal for clay-loam paddy fields</t>
        </is>
      </c>
      <c r="AH107" t="inlineStr">
        <is>
          <t>Wet Tillage (Puddling): 2 plowings + thorough harrowing under flooded condition</t>
        </is>
      </c>
      <c r="AI107" t="inlineStr">
        <is>
          <t>Continuous flooding 2–5 cm depth during vegetative stage; drain 2 weeks before harvest</t>
        </is>
      </c>
      <c r="AJ107" t="n">
        <v>2</v>
      </c>
      <c r="AK107" t="n">
        <v>13</v>
      </c>
      <c r="AL107" t="n">
        <v>6.5</v>
      </c>
      <c r="AM107" t="inlineStr">
        <is>
          <t>No</t>
        </is>
      </c>
      <c r="AN107" t="inlineStr">
        <is>
          <t>Observed harvest</t>
        </is>
      </c>
    </row>
    <row r="108">
      <c r="A108" t="inlineStr">
        <is>
          <t>Palay</t>
        </is>
      </c>
      <c r="B108" t="inlineStr">
        <is>
          <t>Bued</t>
        </is>
      </c>
      <c r="C108" t="inlineStr">
        <is>
          <t>DS 2007</t>
        </is>
      </c>
      <c r="D108" t="inlineStr">
        <is>
          <t>January</t>
        </is>
      </c>
      <c r="E108" t="inlineStr">
        <is>
          <t>2007</t>
        </is>
      </c>
      <c r="F108" t="inlineStr">
        <is>
          <t>May</t>
        </is>
      </c>
      <c r="G108" t="inlineStr">
        <is>
          <t>2007</t>
        </is>
      </c>
      <c r="H108" t="n">
        <v>0.4</v>
      </c>
      <c r="I108" t="n">
        <v>24.24</v>
      </c>
      <c r="J108" t="n">
        <v>16.82</v>
      </c>
      <c r="K108" t="n">
        <v>31.18</v>
      </c>
      <c r="L108" t="n">
        <v>79.65000000000001</v>
      </c>
      <c r="M108" t="n">
        <v>98.68000000000001</v>
      </c>
      <c r="N108" t="n">
        <v>16.49</v>
      </c>
      <c r="O108" t="n">
        <v>14.07</v>
      </c>
      <c r="P108" t="n">
        <v>26.24</v>
      </c>
      <c r="Q108" t="n">
        <v>22.11</v>
      </c>
      <c r="R108" t="n">
        <v>33.01</v>
      </c>
      <c r="S108" t="n">
        <v>84.31</v>
      </c>
      <c r="T108" t="n">
        <v>98.03</v>
      </c>
      <c r="U108" t="n">
        <v>19.34</v>
      </c>
      <c r="V108" t="inlineStr">
        <is>
          <t>Type I – Tropical Monsoon (PAGASA)</t>
        </is>
      </c>
      <c r="W108" t="inlineStr">
        <is>
          <t>Dry (Cool)</t>
        </is>
      </c>
      <c r="X108" t="inlineStr">
        <is>
          <t>Wet</t>
        </is>
      </c>
      <c r="Y108" t="inlineStr">
        <is>
          <t>Silty Clay Loam</t>
        </is>
      </c>
      <c r="Z108" t="inlineStr">
        <is>
          <t>Flat / Lowland</t>
        </is>
      </c>
      <c r="AA108" t="n">
        <v>30</v>
      </c>
      <c r="AB108" t="inlineStr">
        <is>
          <t>Tagamusing River</t>
        </is>
      </c>
      <c r="AC108" t="n">
        <v>210.84</v>
      </c>
      <c r="AD108" t="n">
        <v>2</v>
      </c>
      <c r="AE108" t="n">
        <v>35.32</v>
      </c>
      <c r="AF108" t="n">
        <v>34.1</v>
      </c>
      <c r="AG108" t="inlineStr">
        <is>
          <t>Transplanting (Pindot) — optimal for clay-loam paddy fields</t>
        </is>
      </c>
      <c r="AH108" t="inlineStr">
        <is>
          <t>Wet Tillage (Puddling): 2 plowings + thorough harrowing under flooded condition</t>
        </is>
      </c>
      <c r="AI108" t="inlineStr">
        <is>
          <t>Continuous flooding 2–5 cm depth during vegetative stage; drain 2 weeks before harvest</t>
        </is>
      </c>
      <c r="AJ108" t="n">
        <v>1.05</v>
      </c>
      <c r="AK108" t="n">
        <v>8.4</v>
      </c>
      <c r="AL108" t="n">
        <v>8</v>
      </c>
      <c r="AM108" t="inlineStr">
        <is>
          <t>No</t>
        </is>
      </c>
      <c r="AN108" t="inlineStr">
        <is>
          <t>Observed harvest</t>
        </is>
      </c>
    </row>
    <row r="109">
      <c r="A109" t="inlineStr">
        <is>
          <t>Palay</t>
        </is>
      </c>
      <c r="B109" t="inlineStr">
        <is>
          <t>Bugayong</t>
        </is>
      </c>
      <c r="C109" t="inlineStr">
        <is>
          <t>DS 2007</t>
        </is>
      </c>
      <c r="D109" t="inlineStr">
        <is>
          <t>January</t>
        </is>
      </c>
      <c r="E109" t="inlineStr">
        <is>
          <t>2007</t>
        </is>
      </c>
      <c r="F109" t="inlineStr">
        <is>
          <t>May</t>
        </is>
      </c>
      <c r="G109" t="inlineStr">
        <is>
          <t>2007</t>
        </is>
      </c>
      <c r="H109" t="n">
        <v>0.4</v>
      </c>
      <c r="I109" t="n">
        <v>24.24</v>
      </c>
      <c r="J109" t="n">
        <v>16.82</v>
      </c>
      <c r="K109" t="n">
        <v>31.18</v>
      </c>
      <c r="L109" t="n">
        <v>79.65000000000001</v>
      </c>
      <c r="M109" t="n">
        <v>98.68000000000001</v>
      </c>
      <c r="N109" t="n">
        <v>16.49</v>
      </c>
      <c r="O109" t="n">
        <v>14.07</v>
      </c>
      <c r="P109" t="n">
        <v>26.24</v>
      </c>
      <c r="Q109" t="n">
        <v>22.11</v>
      </c>
      <c r="R109" t="n">
        <v>33.01</v>
      </c>
      <c r="S109" t="n">
        <v>84.31</v>
      </c>
      <c r="T109" t="n">
        <v>98.03</v>
      </c>
      <c r="U109" t="n">
        <v>19.34</v>
      </c>
      <c r="V109" t="inlineStr">
        <is>
          <t>Type I – Tropical Monsoon (PAGASA)</t>
        </is>
      </c>
      <c r="W109" t="inlineStr">
        <is>
          <t>Dry (Cool)</t>
        </is>
      </c>
      <c r="X109" t="inlineStr">
        <is>
          <t>Wet</t>
        </is>
      </c>
      <c r="Y109" t="inlineStr">
        <is>
          <t>Sandy Loam / Silty Clay Loam</t>
        </is>
      </c>
      <c r="Z109" t="inlineStr">
        <is>
          <t>Flat / Lowland</t>
        </is>
      </c>
      <c r="AA109" t="n">
        <v>30</v>
      </c>
      <c r="AB109" t="inlineStr">
        <is>
          <t>Aloragat River</t>
        </is>
      </c>
      <c r="AC109" t="n">
        <v>346.08</v>
      </c>
      <c r="AD109" t="n">
        <v>2</v>
      </c>
      <c r="AE109" t="n">
        <v>41.02</v>
      </c>
      <c r="AF109" t="n">
        <v>20</v>
      </c>
      <c r="AG109" t="inlineStr">
        <is>
          <t>Transplanting (Pindot) — recommended; Direct Seeding possible in dry season</t>
        </is>
      </c>
      <c r="AH109" t="inlineStr">
        <is>
          <t>Conventional Tillage: 2 plowings + harrowing; puddle thoroughly for transplanting</t>
        </is>
      </c>
      <c r="AI109" t="inlineStr">
        <is>
          <t>Intermittent to continuous flooding; manage according to drainage section present</t>
        </is>
      </c>
      <c r="AJ109" t="n">
        <v>2</v>
      </c>
      <c r="AK109" t="n">
        <v>11.5</v>
      </c>
      <c r="AL109" t="n">
        <v>5.75</v>
      </c>
      <c r="AM109" t="inlineStr">
        <is>
          <t>No</t>
        </is>
      </c>
      <c r="AN109" t="inlineStr">
        <is>
          <t>Observed harvest</t>
        </is>
      </c>
    </row>
    <row r="110">
      <c r="A110" t="inlineStr">
        <is>
          <t>Palay</t>
        </is>
      </c>
      <c r="B110" t="inlineStr">
        <is>
          <t>Camanggaan</t>
        </is>
      </c>
      <c r="C110" t="inlineStr">
        <is>
          <t>DS 2007</t>
        </is>
      </c>
      <c r="D110" t="inlineStr">
        <is>
          <t>January</t>
        </is>
      </c>
      <c r="E110" t="inlineStr">
        <is>
          <t>2007</t>
        </is>
      </c>
      <c r="F110" t="inlineStr">
        <is>
          <t>May</t>
        </is>
      </c>
      <c r="G110" t="inlineStr">
        <is>
          <t>2007</t>
        </is>
      </c>
      <c r="H110" t="n">
        <v>0.4</v>
      </c>
      <c r="I110" t="n">
        <v>24.24</v>
      </c>
      <c r="J110" t="n">
        <v>16.82</v>
      </c>
      <c r="K110" t="n">
        <v>31.18</v>
      </c>
      <c r="L110" t="n">
        <v>79.65000000000001</v>
      </c>
      <c r="M110" t="n">
        <v>98.68000000000001</v>
      </c>
      <c r="N110" t="n">
        <v>16.49</v>
      </c>
      <c r="O110" t="n">
        <v>14.07</v>
      </c>
      <c r="P110" t="n">
        <v>26.24</v>
      </c>
      <c r="Q110" t="n">
        <v>22.11</v>
      </c>
      <c r="R110" t="n">
        <v>33.01</v>
      </c>
      <c r="S110" t="n">
        <v>84.31</v>
      </c>
      <c r="T110" t="n">
        <v>98.03</v>
      </c>
      <c r="U110" t="n">
        <v>19.34</v>
      </c>
      <c r="V110" t="inlineStr">
        <is>
          <t>Type I – Tropical Monsoon (PAGASA)</t>
        </is>
      </c>
      <c r="W110" t="inlineStr">
        <is>
          <t>Dry (Cool)</t>
        </is>
      </c>
      <c r="X110" t="inlineStr">
        <is>
          <t>Wet</t>
        </is>
      </c>
      <c r="Y110" t="inlineStr">
        <is>
          <t>Sandy Loam</t>
        </is>
      </c>
      <c r="Z110" t="inlineStr">
        <is>
          <t>Flat / Lowland</t>
        </is>
      </c>
      <c r="AA110" t="n">
        <v>30</v>
      </c>
      <c r="AB110" t="inlineStr">
        <is>
          <t>—</t>
        </is>
      </c>
      <c r="AC110" t="n">
        <v>244.44</v>
      </c>
      <c r="AD110" t="n">
        <v>5.43</v>
      </c>
      <c r="AE110" t="n">
        <v>52.42</v>
      </c>
      <c r="AF110" t="n">
        <v>38.83</v>
      </c>
      <c r="AG110" t="inlineStr">
        <is>
          <t>Transplanting (Pindot) or Direct Seeding (Pinaghandaan)</t>
        </is>
      </c>
      <c r="AH110" t="inlineStr">
        <is>
          <t>Conventional Tillage: 2 plowings + 2 harrowings; soil workable when moist</t>
        </is>
      </c>
      <c r="AI110" t="inlineStr">
        <is>
          <t>Intermittent irrigation (Alternate Wetting and Drying — AWD); moderate retention</t>
        </is>
      </c>
      <c r="AJ110" t="n">
        <v>1.05</v>
      </c>
      <c r="AK110" t="n">
        <v>8.4</v>
      </c>
      <c r="AL110" t="n">
        <v>8</v>
      </c>
      <c r="AM110" t="inlineStr">
        <is>
          <t>No</t>
        </is>
      </c>
      <c r="AN110" t="inlineStr">
        <is>
          <t>Observed harvest</t>
        </is>
      </c>
    </row>
    <row r="111">
      <c r="A111" t="inlineStr">
        <is>
          <t>Palay</t>
        </is>
      </c>
      <c r="B111" t="inlineStr">
        <is>
          <t>Capas</t>
        </is>
      </c>
      <c r="C111" t="inlineStr">
        <is>
          <t>DS 2007</t>
        </is>
      </c>
      <c r="D111" t="inlineStr">
        <is>
          <t>January</t>
        </is>
      </c>
      <c r="E111" t="inlineStr">
        <is>
          <t>2007</t>
        </is>
      </c>
      <c r="F111" t="inlineStr">
        <is>
          <t>May</t>
        </is>
      </c>
      <c r="G111" t="inlineStr">
        <is>
          <t>2007</t>
        </is>
      </c>
      <c r="H111" t="n">
        <v>0.4</v>
      </c>
      <c r="I111" t="n">
        <v>24.24</v>
      </c>
      <c r="J111" t="n">
        <v>16.82</v>
      </c>
      <c r="K111" t="n">
        <v>31.18</v>
      </c>
      <c r="L111" t="n">
        <v>79.65000000000001</v>
      </c>
      <c r="M111" t="n">
        <v>98.68000000000001</v>
      </c>
      <c r="N111" t="n">
        <v>16.49</v>
      </c>
      <c r="O111" t="n">
        <v>14.07</v>
      </c>
      <c r="P111" t="n">
        <v>26.24</v>
      </c>
      <c r="Q111" t="n">
        <v>22.11</v>
      </c>
      <c r="R111" t="n">
        <v>33.01</v>
      </c>
      <c r="S111" t="n">
        <v>84.31</v>
      </c>
      <c r="T111" t="n">
        <v>98.03</v>
      </c>
      <c r="U111" t="n">
        <v>19.34</v>
      </c>
      <c r="V111" t="inlineStr">
        <is>
          <t>Type I – Tropical Monsoon (PAGASA)</t>
        </is>
      </c>
      <c r="W111" t="inlineStr">
        <is>
          <t>Dry (Cool)</t>
        </is>
      </c>
      <c r="X111" t="inlineStr">
        <is>
          <t>Wet</t>
        </is>
      </c>
      <c r="Y111" t="inlineStr">
        <is>
          <t>Sandy Loam</t>
        </is>
      </c>
      <c r="Z111" t="inlineStr">
        <is>
          <t>Flat / Lowland</t>
        </is>
      </c>
      <c r="AA111" t="n">
        <v>30</v>
      </c>
      <c r="AB111" t="inlineStr">
        <is>
          <t>—</t>
        </is>
      </c>
      <c r="AC111" t="n">
        <v>377.16</v>
      </c>
      <c r="AD111" t="n">
        <v>4</v>
      </c>
      <c r="AE111" t="n">
        <v>52.42</v>
      </c>
      <c r="AF111" t="n">
        <v>58</v>
      </c>
      <c r="AG111" t="inlineStr">
        <is>
          <t>Transplanting (Pindot) or Direct Seeding (Pinaghandaan)</t>
        </is>
      </c>
      <c r="AH111" t="inlineStr">
        <is>
          <t>Conventional Tillage: 2 plowings + 2 harrowings; soil workable when moist</t>
        </is>
      </c>
      <c r="AI111" t="inlineStr">
        <is>
          <t>Intermittent irrigation (Alternate Wetting and Drying — AWD); moderate retention</t>
        </is>
      </c>
      <c r="AJ111" t="n">
        <v>1</v>
      </c>
      <c r="AK111" t="n">
        <v>5.5</v>
      </c>
      <c r="AL111" t="n">
        <v>5.5</v>
      </c>
      <c r="AM111" t="inlineStr">
        <is>
          <t>No</t>
        </is>
      </c>
      <c r="AN111" t="inlineStr">
        <is>
          <t>Observed harvest</t>
        </is>
      </c>
    </row>
    <row r="112">
      <c r="A112" t="inlineStr">
        <is>
          <t>Palay</t>
        </is>
      </c>
      <c r="B112" t="inlineStr">
        <is>
          <t>Cili</t>
        </is>
      </c>
      <c r="C112" t="inlineStr">
        <is>
          <t>DS 2007</t>
        </is>
      </c>
      <c r="D112" t="inlineStr">
        <is>
          <t>January</t>
        </is>
      </c>
      <c r="E112" t="inlineStr">
        <is>
          <t>2007</t>
        </is>
      </c>
      <c r="F112" t="inlineStr">
        <is>
          <t>May</t>
        </is>
      </c>
      <c r="G112" t="inlineStr">
        <is>
          <t>2007</t>
        </is>
      </c>
      <c r="H112" t="n">
        <v>0.4</v>
      </c>
      <c r="I112" t="n">
        <v>24.24</v>
      </c>
      <c r="J112" t="n">
        <v>16.82</v>
      </c>
      <c r="K112" t="n">
        <v>31.18</v>
      </c>
      <c r="L112" t="n">
        <v>79.65000000000001</v>
      </c>
      <c r="M112" t="n">
        <v>98.68000000000001</v>
      </c>
      <c r="N112" t="n">
        <v>16.49</v>
      </c>
      <c r="O112" t="n">
        <v>14.07</v>
      </c>
      <c r="P112" t="n">
        <v>26.24</v>
      </c>
      <c r="Q112" t="n">
        <v>22.11</v>
      </c>
      <c r="R112" t="n">
        <v>33.01</v>
      </c>
      <c r="S112" t="n">
        <v>84.31</v>
      </c>
      <c r="T112" t="n">
        <v>98.03</v>
      </c>
      <c r="U112" t="n">
        <v>19.34</v>
      </c>
      <c r="V112" t="inlineStr">
        <is>
          <t>Type I – Tropical Monsoon (PAGASA)</t>
        </is>
      </c>
      <c r="W112" t="inlineStr">
        <is>
          <t>Dry (Cool)</t>
        </is>
      </c>
      <c r="X112" t="inlineStr">
        <is>
          <t>Wet</t>
        </is>
      </c>
      <c r="Y112" t="inlineStr">
        <is>
          <t>Silty Clay Loam</t>
        </is>
      </c>
      <c r="Z112" t="inlineStr">
        <is>
          <t>Flat / Lowland</t>
        </is>
      </c>
      <c r="AA112" t="n">
        <v>30</v>
      </c>
      <c r="AB112" t="inlineStr">
        <is>
          <t>Alibeng River</t>
        </is>
      </c>
      <c r="AC112" t="n">
        <v>264.6</v>
      </c>
      <c r="AD112" t="n">
        <v>2</v>
      </c>
      <c r="AE112" t="n">
        <v>35.32</v>
      </c>
      <c r="AF112" t="n">
        <v>14</v>
      </c>
      <c r="AG112" t="inlineStr">
        <is>
          <t>Transplanting (Pindot) — optimal for clay-loam paddy fields</t>
        </is>
      </c>
      <c r="AH112" t="inlineStr">
        <is>
          <t>Wet Tillage (Puddling): 2 plowings + thorough harrowing under flooded condition</t>
        </is>
      </c>
      <c r="AI112" t="inlineStr">
        <is>
          <t>Continuous flooding 2–5 cm depth during vegetative stage; drain 2 weeks before harvest</t>
        </is>
      </c>
      <c r="AJ112" t="n">
        <v>1.05</v>
      </c>
      <c r="AK112" t="n">
        <v>8.4</v>
      </c>
      <c r="AL112" t="n">
        <v>8</v>
      </c>
      <c r="AM112" t="inlineStr">
        <is>
          <t>No</t>
        </is>
      </c>
      <c r="AN112" t="inlineStr">
        <is>
          <t>Observed harvest</t>
        </is>
      </c>
    </row>
    <row r="113">
      <c r="A113" t="inlineStr">
        <is>
          <t>Palay</t>
        </is>
      </c>
      <c r="B113" t="inlineStr">
        <is>
          <t>Dumayat</t>
        </is>
      </c>
      <c r="C113" t="inlineStr">
        <is>
          <t>DS 2007</t>
        </is>
      </c>
      <c r="D113" t="inlineStr">
        <is>
          <t>January</t>
        </is>
      </c>
      <c r="E113" t="inlineStr">
        <is>
          <t>2007</t>
        </is>
      </c>
      <c r="F113" t="inlineStr">
        <is>
          <t>May</t>
        </is>
      </c>
      <c r="G113" t="inlineStr">
        <is>
          <t>2007</t>
        </is>
      </c>
      <c r="H113" t="n">
        <v>0.4</v>
      </c>
      <c r="I113" t="n">
        <v>24.24</v>
      </c>
      <c r="J113" t="n">
        <v>16.82</v>
      </c>
      <c r="K113" t="n">
        <v>31.18</v>
      </c>
      <c r="L113" t="n">
        <v>79.65000000000001</v>
      </c>
      <c r="M113" t="n">
        <v>98.68000000000001</v>
      </c>
      <c r="N113" t="n">
        <v>16.49</v>
      </c>
      <c r="O113" t="n">
        <v>14.07</v>
      </c>
      <c r="P113" t="n">
        <v>26.24</v>
      </c>
      <c r="Q113" t="n">
        <v>22.11</v>
      </c>
      <c r="R113" t="n">
        <v>33.01</v>
      </c>
      <c r="S113" t="n">
        <v>84.31</v>
      </c>
      <c r="T113" t="n">
        <v>98.03</v>
      </c>
      <c r="U113" t="n">
        <v>19.34</v>
      </c>
      <c r="V113" t="inlineStr">
        <is>
          <t>Type I – Tropical Monsoon (PAGASA)</t>
        </is>
      </c>
      <c r="W113" t="inlineStr">
        <is>
          <t>Dry (Cool)</t>
        </is>
      </c>
      <c r="X113" t="inlineStr">
        <is>
          <t>Wet</t>
        </is>
      </c>
      <c r="Y113" t="inlineStr">
        <is>
          <t>Silty Clay Loam</t>
        </is>
      </c>
      <c r="Z113" t="inlineStr">
        <is>
          <t>Flat / Lowland</t>
        </is>
      </c>
      <c r="AA113" t="n">
        <v>30</v>
      </c>
      <c r="AB113" t="inlineStr">
        <is>
          <t>—</t>
        </is>
      </c>
      <c r="AC113" t="n">
        <v>266.28</v>
      </c>
      <c r="AD113" t="n">
        <v>2</v>
      </c>
      <c r="AE113" t="n">
        <v>35.32</v>
      </c>
      <c r="AF113" t="n">
        <v>12.25</v>
      </c>
      <c r="AG113" t="inlineStr">
        <is>
          <t>Transplanting (Pindot) — optimal for clay-loam paddy fields</t>
        </is>
      </c>
      <c r="AH113" t="inlineStr">
        <is>
          <t>Wet Tillage (Puddling): 2 plowings + thorough harrowing under flooded condition</t>
        </is>
      </c>
      <c r="AI113" t="inlineStr">
        <is>
          <t>Continuous flooding 2–5 cm depth during vegetative stage; drain 2 weeks before harvest</t>
        </is>
      </c>
      <c r="AJ113" t="n">
        <v>1.05</v>
      </c>
      <c r="AK113" t="n">
        <v>8.4</v>
      </c>
      <c r="AL113" t="n">
        <v>8</v>
      </c>
      <c r="AM113" t="inlineStr">
        <is>
          <t>No</t>
        </is>
      </c>
      <c r="AN113" t="inlineStr">
        <is>
          <t>Observed harvest</t>
        </is>
      </c>
    </row>
    <row r="114">
      <c r="A114" t="inlineStr">
        <is>
          <t>Palay</t>
        </is>
      </c>
      <c r="B114" t="inlineStr">
        <is>
          <t>Linmansangan</t>
        </is>
      </c>
      <c r="C114" t="inlineStr">
        <is>
          <t>DS 2007</t>
        </is>
      </c>
      <c r="D114" t="inlineStr">
        <is>
          <t>January</t>
        </is>
      </c>
      <c r="E114" t="inlineStr">
        <is>
          <t>2007</t>
        </is>
      </c>
      <c r="F114" t="inlineStr">
        <is>
          <t>May</t>
        </is>
      </c>
      <c r="G114" t="inlineStr">
        <is>
          <t>2007</t>
        </is>
      </c>
      <c r="H114" t="n">
        <v>0.4</v>
      </c>
      <c r="I114" t="n">
        <v>24.24</v>
      </c>
      <c r="J114" t="n">
        <v>16.82</v>
      </c>
      <c r="K114" t="n">
        <v>31.18</v>
      </c>
      <c r="L114" t="n">
        <v>79.65000000000001</v>
      </c>
      <c r="M114" t="n">
        <v>98.68000000000001</v>
      </c>
      <c r="N114" t="n">
        <v>16.49</v>
      </c>
      <c r="O114" t="n">
        <v>14.07</v>
      </c>
      <c r="P114" t="n">
        <v>26.24</v>
      </c>
      <c r="Q114" t="n">
        <v>22.11</v>
      </c>
      <c r="R114" t="n">
        <v>33.01</v>
      </c>
      <c r="S114" t="n">
        <v>84.31</v>
      </c>
      <c r="T114" t="n">
        <v>98.03</v>
      </c>
      <c r="U114" t="n">
        <v>19.34</v>
      </c>
      <c r="V114" t="inlineStr">
        <is>
          <t>Type I – Tropical Monsoon (PAGASA)</t>
        </is>
      </c>
      <c r="W114" t="inlineStr">
        <is>
          <t>Dry (Cool)</t>
        </is>
      </c>
      <c r="X114" t="inlineStr">
        <is>
          <t>Wet</t>
        </is>
      </c>
      <c r="Y114" t="inlineStr">
        <is>
          <t>Silty Clay Loam</t>
        </is>
      </c>
      <c r="Z114" t="inlineStr">
        <is>
          <t>Flat / Lowland</t>
        </is>
      </c>
      <c r="AA114" t="n">
        <v>30</v>
      </c>
      <c r="AB114" t="inlineStr">
        <is>
          <t>—</t>
        </is>
      </c>
      <c r="AC114" t="n">
        <v>492.24</v>
      </c>
      <c r="AD114" t="n">
        <v>2</v>
      </c>
      <c r="AE114" t="n">
        <v>81.66</v>
      </c>
      <c r="AF114" t="n">
        <v>12.25</v>
      </c>
      <c r="AG114" t="inlineStr">
        <is>
          <t>Transplanting (Pindot) — optimal for clay-loam paddy fields</t>
        </is>
      </c>
      <c r="AH114" t="inlineStr">
        <is>
          <t>Wet Tillage (Puddling): 2 plowings + thorough harrowing under flooded condition</t>
        </is>
      </c>
      <c r="AI114" t="inlineStr">
        <is>
          <t>Continuous flooding 2–5 cm depth during vegetative stage; drain 2 weeks before harvest</t>
        </is>
      </c>
      <c r="AJ114" t="n">
        <v>6</v>
      </c>
      <c r="AK114" t="n">
        <v>33</v>
      </c>
      <c r="AL114" t="n">
        <v>5.5</v>
      </c>
      <c r="AM114" t="inlineStr">
        <is>
          <t>No</t>
        </is>
      </c>
      <c r="AN114" t="inlineStr">
        <is>
          <t>Observed harvest</t>
        </is>
      </c>
    </row>
    <row r="115">
      <c r="A115" t="inlineStr">
        <is>
          <t>Palay</t>
        </is>
      </c>
      <c r="B115" t="inlineStr">
        <is>
          <t>Mangkasuy</t>
        </is>
      </c>
      <c r="C115" t="inlineStr">
        <is>
          <t>DS 2007</t>
        </is>
      </c>
      <c r="D115" t="inlineStr">
        <is>
          <t>January</t>
        </is>
      </c>
      <c r="E115" t="inlineStr">
        <is>
          <t>2007</t>
        </is>
      </c>
      <c r="F115" t="inlineStr">
        <is>
          <t>May</t>
        </is>
      </c>
      <c r="G115" t="inlineStr">
        <is>
          <t>2007</t>
        </is>
      </c>
      <c r="H115" t="n">
        <v>0.4</v>
      </c>
      <c r="I115" t="n">
        <v>24.24</v>
      </c>
      <c r="J115" t="n">
        <v>16.82</v>
      </c>
      <c r="K115" t="n">
        <v>31.18</v>
      </c>
      <c r="L115" t="n">
        <v>79.65000000000001</v>
      </c>
      <c r="M115" t="n">
        <v>98.68000000000001</v>
      </c>
      <c r="N115" t="n">
        <v>16.49</v>
      </c>
      <c r="O115" t="n">
        <v>14.07</v>
      </c>
      <c r="P115" t="n">
        <v>26.24</v>
      </c>
      <c r="Q115" t="n">
        <v>22.11</v>
      </c>
      <c r="R115" t="n">
        <v>33.01</v>
      </c>
      <c r="S115" t="n">
        <v>84.31</v>
      </c>
      <c r="T115" t="n">
        <v>98.03</v>
      </c>
      <c r="U115" t="n">
        <v>19.34</v>
      </c>
      <c r="V115" t="inlineStr">
        <is>
          <t>Type I – Tropical Monsoon (PAGASA)</t>
        </is>
      </c>
      <c r="W115" t="inlineStr">
        <is>
          <t>Dry (Cool)</t>
        </is>
      </c>
      <c r="X115" t="inlineStr">
        <is>
          <t>Wet</t>
        </is>
      </c>
      <c r="Y115" t="inlineStr">
        <is>
          <t>Sandy Loam</t>
        </is>
      </c>
      <c r="Z115" t="inlineStr">
        <is>
          <t>Flat / Lowland</t>
        </is>
      </c>
      <c r="AA115" t="n">
        <v>30</v>
      </c>
      <c r="AB115" t="inlineStr">
        <is>
          <t>Tagamusing River</t>
        </is>
      </c>
      <c r="AC115" t="n">
        <v>802.2</v>
      </c>
      <c r="AD115" t="n">
        <v>2</v>
      </c>
      <c r="AE115" t="n">
        <v>70.81999999999999</v>
      </c>
      <c r="AF115" t="n">
        <v>12.25</v>
      </c>
      <c r="AG115" t="inlineStr">
        <is>
          <t>Transplanting (Pindot) or Direct Seeding (Pinaghandaan)</t>
        </is>
      </c>
      <c r="AH115" t="inlineStr">
        <is>
          <t>Conventional Tillage: 2 plowings + 2 harrowings; soil workable when moist</t>
        </is>
      </c>
      <c r="AI115" t="inlineStr">
        <is>
          <t>Intermittent irrigation (Alternate Wetting and Drying — AWD); moderate retention</t>
        </is>
      </c>
      <c r="AJ115" t="n">
        <v>5.11</v>
      </c>
      <c r="AK115" t="n">
        <v>29.92</v>
      </c>
      <c r="AL115" t="n">
        <v>5.86</v>
      </c>
      <c r="AM115" t="inlineStr">
        <is>
          <t>No</t>
        </is>
      </c>
      <c r="AN115" t="inlineStr">
        <is>
          <t>Observed harvest</t>
        </is>
      </c>
    </row>
    <row r="116">
      <c r="A116" t="inlineStr">
        <is>
          <t>Palay</t>
        </is>
      </c>
      <c r="B116" t="inlineStr">
        <is>
          <t>Moreno</t>
        </is>
      </c>
      <c r="C116" t="inlineStr">
        <is>
          <t>DS 2007</t>
        </is>
      </c>
      <c r="D116" t="inlineStr">
        <is>
          <t>January</t>
        </is>
      </c>
      <c r="E116" t="inlineStr">
        <is>
          <t>2007</t>
        </is>
      </c>
      <c r="F116" t="inlineStr">
        <is>
          <t>May</t>
        </is>
      </c>
      <c r="G116" t="inlineStr">
        <is>
          <t>2007</t>
        </is>
      </c>
      <c r="H116" t="n">
        <v>0.4</v>
      </c>
      <c r="I116" t="n">
        <v>24.24</v>
      </c>
      <c r="J116" t="n">
        <v>16.82</v>
      </c>
      <c r="K116" t="n">
        <v>31.18</v>
      </c>
      <c r="L116" t="n">
        <v>79.65000000000001</v>
      </c>
      <c r="M116" t="n">
        <v>98.68000000000001</v>
      </c>
      <c r="N116" t="n">
        <v>16.49</v>
      </c>
      <c r="O116" t="n">
        <v>14.07</v>
      </c>
      <c r="P116" t="n">
        <v>26.24</v>
      </c>
      <c r="Q116" t="n">
        <v>22.11</v>
      </c>
      <c r="R116" t="n">
        <v>33.01</v>
      </c>
      <c r="S116" t="n">
        <v>84.31</v>
      </c>
      <c r="T116" t="n">
        <v>98.03</v>
      </c>
      <c r="U116" t="n">
        <v>19.34</v>
      </c>
      <c r="V116" t="inlineStr">
        <is>
          <t>Type I – Tropical Monsoon (PAGASA)</t>
        </is>
      </c>
      <c r="W116" t="inlineStr">
        <is>
          <t>Dry (Cool)</t>
        </is>
      </c>
      <c r="X116" t="inlineStr">
        <is>
          <t>Wet</t>
        </is>
      </c>
      <c r="Y116" t="inlineStr">
        <is>
          <t>Sandy Loam</t>
        </is>
      </c>
      <c r="Z116" t="inlineStr">
        <is>
          <t>Moderately Sloping / Highland</t>
        </is>
      </c>
      <c r="AA116" t="n">
        <v>90</v>
      </c>
      <c r="AB116" t="inlineStr">
        <is>
          <t>Alibeng River</t>
        </is>
      </c>
      <c r="AC116" t="n">
        <v>641.76</v>
      </c>
      <c r="AD116" t="n">
        <v>2</v>
      </c>
      <c r="AE116" t="n">
        <v>135.56</v>
      </c>
      <c r="AF116" t="n">
        <v>28.92</v>
      </c>
      <c r="AG116" t="inlineStr">
        <is>
          <t>Transplanting (Pindot) or Direct Seeding (Pinaghandaan)</t>
        </is>
      </c>
      <c r="AH116" t="inlineStr">
        <is>
          <t>Conventional Tillage: 2 plowings + 2 harrowings; soil workable when moist</t>
        </is>
      </c>
      <c r="AI116" t="inlineStr">
        <is>
          <t>Intermittent irrigation (Alternate Wetting and Drying — AWD); moderate retention; terrace or bund-assisted water retention essential on slopes</t>
        </is>
      </c>
      <c r="AJ116" t="n">
        <v>3.37</v>
      </c>
      <c r="AK116" t="n">
        <v>26.96</v>
      </c>
      <c r="AL116" t="n">
        <v>8</v>
      </c>
      <c r="AM116" t="inlineStr">
        <is>
          <t>No</t>
        </is>
      </c>
      <c r="AN116" t="inlineStr">
        <is>
          <t>Observed harvest</t>
        </is>
      </c>
    </row>
    <row r="117">
      <c r="A117" t="inlineStr">
        <is>
          <t>Palay</t>
        </is>
      </c>
      <c r="B117" t="inlineStr">
        <is>
          <t>Pasileng Norte</t>
        </is>
      </c>
      <c r="C117" t="inlineStr">
        <is>
          <t>DS 2007</t>
        </is>
      </c>
      <c r="D117" t="inlineStr">
        <is>
          <t>January</t>
        </is>
      </c>
      <c r="E117" t="inlineStr">
        <is>
          <t>2007</t>
        </is>
      </c>
      <c r="F117" t="inlineStr">
        <is>
          <t>May</t>
        </is>
      </c>
      <c r="G117" t="inlineStr">
        <is>
          <t>2007</t>
        </is>
      </c>
      <c r="H117" t="n">
        <v>0.4</v>
      </c>
      <c r="I117" t="n">
        <v>24.24</v>
      </c>
      <c r="J117" t="n">
        <v>16.82</v>
      </c>
      <c r="K117" t="n">
        <v>31.18</v>
      </c>
      <c r="L117" t="n">
        <v>79.65000000000001</v>
      </c>
      <c r="M117" t="n">
        <v>98.68000000000001</v>
      </c>
      <c r="N117" t="n">
        <v>16.49</v>
      </c>
      <c r="O117" t="n">
        <v>14.07</v>
      </c>
      <c r="P117" t="n">
        <v>26.24</v>
      </c>
      <c r="Q117" t="n">
        <v>22.11</v>
      </c>
      <c r="R117" t="n">
        <v>33.01</v>
      </c>
      <c r="S117" t="n">
        <v>84.31</v>
      </c>
      <c r="T117" t="n">
        <v>98.03</v>
      </c>
      <c r="U117" t="n">
        <v>19.34</v>
      </c>
      <c r="V117" t="inlineStr">
        <is>
          <t>Type I – Tropical Monsoon (PAGASA)</t>
        </is>
      </c>
      <c r="W117" t="inlineStr">
        <is>
          <t>Dry (Cool)</t>
        </is>
      </c>
      <c r="X117" t="inlineStr">
        <is>
          <t>Wet</t>
        </is>
      </c>
      <c r="Y117" t="inlineStr">
        <is>
          <t>Sandy Loam</t>
        </is>
      </c>
      <c r="Z117" t="inlineStr">
        <is>
          <t>Flat / Lowland</t>
        </is>
      </c>
      <c r="AA117" t="n">
        <v>30</v>
      </c>
      <c r="AB117" t="inlineStr">
        <is>
          <t>Tagamusing River</t>
        </is>
      </c>
      <c r="AC117" t="n">
        <v>140.28</v>
      </c>
      <c r="AD117" t="n">
        <v>6</v>
      </c>
      <c r="AE117" t="n">
        <v>26.4</v>
      </c>
      <c r="AF117" t="n">
        <v>69</v>
      </c>
      <c r="AG117" t="inlineStr">
        <is>
          <t>Transplanting (Pindot) or Direct Seeding (Pinaghandaan)</t>
        </is>
      </c>
      <c r="AH117" t="inlineStr">
        <is>
          <t>Conventional Tillage: 2 plowings + 2 harrowings; soil workable when moist</t>
        </is>
      </c>
      <c r="AI117" t="inlineStr">
        <is>
          <t>Intermittent irrigation (Alternate Wetting and Drying — AWD); moderate retention</t>
        </is>
      </c>
      <c r="AJ117" t="n">
        <v>1</v>
      </c>
      <c r="AK117" t="n">
        <v>6</v>
      </c>
      <c r="AL117" t="n">
        <v>6</v>
      </c>
      <c r="AM117" t="inlineStr">
        <is>
          <t>No</t>
        </is>
      </c>
      <c r="AN117" t="inlineStr">
        <is>
          <t>Observed harvest</t>
        </is>
      </c>
    </row>
    <row r="118">
      <c r="A118" t="inlineStr">
        <is>
          <t>Palay</t>
        </is>
      </c>
      <c r="B118" t="inlineStr">
        <is>
          <t>Pasileng Sur</t>
        </is>
      </c>
      <c r="C118" t="inlineStr">
        <is>
          <t>DS 2007</t>
        </is>
      </c>
      <c r="D118" t="inlineStr">
        <is>
          <t>January</t>
        </is>
      </c>
      <c r="E118" t="inlineStr">
        <is>
          <t>2007</t>
        </is>
      </c>
      <c r="F118" t="inlineStr">
        <is>
          <t>May</t>
        </is>
      </c>
      <c r="G118" t="inlineStr">
        <is>
          <t>2007</t>
        </is>
      </c>
      <c r="H118" t="n">
        <v>0.4</v>
      </c>
      <c r="I118" t="n">
        <v>24.24</v>
      </c>
      <c r="J118" t="n">
        <v>16.82</v>
      </c>
      <c r="K118" t="n">
        <v>31.18</v>
      </c>
      <c r="L118" t="n">
        <v>79.65000000000001</v>
      </c>
      <c r="M118" t="n">
        <v>98.68000000000001</v>
      </c>
      <c r="N118" t="n">
        <v>16.49</v>
      </c>
      <c r="O118" t="n">
        <v>14.07</v>
      </c>
      <c r="P118" t="n">
        <v>26.24</v>
      </c>
      <c r="Q118" t="n">
        <v>22.11</v>
      </c>
      <c r="R118" t="n">
        <v>33.01</v>
      </c>
      <c r="S118" t="n">
        <v>84.31</v>
      </c>
      <c r="T118" t="n">
        <v>98.03</v>
      </c>
      <c r="U118" t="n">
        <v>19.34</v>
      </c>
      <c r="V118" t="inlineStr">
        <is>
          <t>Type I – Tropical Monsoon (PAGASA)</t>
        </is>
      </c>
      <c r="W118" t="inlineStr">
        <is>
          <t>Dry (Cool)</t>
        </is>
      </c>
      <c r="X118" t="inlineStr">
        <is>
          <t>Wet</t>
        </is>
      </c>
      <c r="Y118" t="inlineStr">
        <is>
          <t>Sandy Loam</t>
        </is>
      </c>
      <c r="Z118" t="inlineStr">
        <is>
          <t>Flat / Lowland</t>
        </is>
      </c>
      <c r="AA118" t="n">
        <v>30</v>
      </c>
      <c r="AB118" t="inlineStr">
        <is>
          <t>Tagamusing River</t>
        </is>
      </c>
      <c r="AC118" t="n">
        <v>414.96</v>
      </c>
      <c r="AD118" t="n">
        <v>41</v>
      </c>
      <c r="AE118" t="n">
        <v>41.02</v>
      </c>
      <c r="AF118" t="n">
        <v>95</v>
      </c>
      <c r="AG118" t="inlineStr">
        <is>
          <t>Transplanting (Pindot) or Direct Seeding (Pinaghandaan)</t>
        </is>
      </c>
      <c r="AH118" t="inlineStr">
        <is>
          <t>Conventional Tillage: 2 plowings + 2 harrowings; soil workable when moist</t>
        </is>
      </c>
      <c r="AI118" t="inlineStr">
        <is>
          <t>Intermittent irrigation (Alternate Wetting and Drying — AWD); moderate retention</t>
        </is>
      </c>
      <c r="AJ118" t="n">
        <v>16</v>
      </c>
      <c r="AK118" t="n">
        <v>120</v>
      </c>
      <c r="AL118" t="n">
        <v>7.5</v>
      </c>
      <c r="AM118" t="inlineStr">
        <is>
          <t>No</t>
        </is>
      </c>
      <c r="AN118" t="inlineStr">
        <is>
          <t>Observed harvest</t>
        </is>
      </c>
    </row>
    <row r="119">
      <c r="A119" t="inlineStr">
        <is>
          <t>Palay</t>
        </is>
      </c>
      <c r="B119" t="inlineStr">
        <is>
          <t>San Felipe Central</t>
        </is>
      </c>
      <c r="C119" t="inlineStr">
        <is>
          <t>DS 2007</t>
        </is>
      </c>
      <c r="D119" t="inlineStr">
        <is>
          <t>January</t>
        </is>
      </c>
      <c r="E119" t="inlineStr">
        <is>
          <t>2007</t>
        </is>
      </c>
      <c r="F119" t="inlineStr">
        <is>
          <t>May</t>
        </is>
      </c>
      <c r="G119" t="inlineStr">
        <is>
          <t>2007</t>
        </is>
      </c>
      <c r="H119" t="n">
        <v>0.4</v>
      </c>
      <c r="I119" t="n">
        <v>24.24</v>
      </c>
      <c r="J119" t="n">
        <v>16.82</v>
      </c>
      <c r="K119" t="n">
        <v>31.18</v>
      </c>
      <c r="L119" t="n">
        <v>79.65000000000001</v>
      </c>
      <c r="M119" t="n">
        <v>98.68000000000001</v>
      </c>
      <c r="N119" t="n">
        <v>16.49</v>
      </c>
      <c r="O119" t="n">
        <v>14.07</v>
      </c>
      <c r="P119" t="n">
        <v>26.24</v>
      </c>
      <c r="Q119" t="n">
        <v>22.11</v>
      </c>
      <c r="R119" t="n">
        <v>33.01</v>
      </c>
      <c r="S119" t="n">
        <v>84.31</v>
      </c>
      <c r="T119" t="n">
        <v>98.03</v>
      </c>
      <c r="U119" t="n">
        <v>19.34</v>
      </c>
      <c r="V119" t="inlineStr">
        <is>
          <t>Type I – Tropical Monsoon (PAGASA)</t>
        </is>
      </c>
      <c r="W119" t="inlineStr">
        <is>
          <t>Dry (Cool)</t>
        </is>
      </c>
      <c r="X119" t="inlineStr">
        <is>
          <t>Wet</t>
        </is>
      </c>
      <c r="Y119" t="inlineStr">
        <is>
          <t>Sandy Loam</t>
        </is>
      </c>
      <c r="Z119" t="inlineStr">
        <is>
          <t>Flat / Lowland</t>
        </is>
      </c>
      <c r="AA119" t="n">
        <v>30</v>
      </c>
      <c r="AB119" t="inlineStr">
        <is>
          <t>—</t>
        </is>
      </c>
      <c r="AC119" t="n">
        <v>452.76</v>
      </c>
      <c r="AD119" t="n">
        <v>12</v>
      </c>
      <c r="AE119" t="n">
        <v>41.02</v>
      </c>
      <c r="AF119" t="n">
        <v>36</v>
      </c>
      <c r="AG119" t="inlineStr">
        <is>
          <t>Transplanting (Pindot) or Direct Seeding (Pinaghandaan)</t>
        </is>
      </c>
      <c r="AH119" t="inlineStr">
        <is>
          <t>Conventional Tillage: 2 plowings + 2 harrowings; soil workable when moist</t>
        </is>
      </c>
      <c r="AI119" t="inlineStr">
        <is>
          <t>Intermittent irrigation (Alternate Wetting and Drying — AWD); moderate retention</t>
        </is>
      </c>
      <c r="AJ119" t="n">
        <v>5</v>
      </c>
      <c r="AK119" t="n">
        <v>30</v>
      </c>
      <c r="AL119" t="n">
        <v>6</v>
      </c>
      <c r="AM119" t="inlineStr">
        <is>
          <t>No</t>
        </is>
      </c>
      <c r="AN119" t="inlineStr">
        <is>
          <t>Observed harvest</t>
        </is>
      </c>
    </row>
    <row r="120">
      <c r="A120" t="inlineStr">
        <is>
          <t>Palay</t>
        </is>
      </c>
      <c r="B120" t="inlineStr">
        <is>
          <t>San Felipe Sur</t>
        </is>
      </c>
      <c r="C120" t="inlineStr">
        <is>
          <t>DS 2007</t>
        </is>
      </c>
      <c r="D120" t="inlineStr">
        <is>
          <t>January</t>
        </is>
      </c>
      <c r="E120" t="inlineStr">
        <is>
          <t>2007</t>
        </is>
      </c>
      <c r="F120" t="inlineStr">
        <is>
          <t>May</t>
        </is>
      </c>
      <c r="G120" t="inlineStr">
        <is>
          <t>2007</t>
        </is>
      </c>
      <c r="H120" t="n">
        <v>0.4</v>
      </c>
      <c r="I120" t="n">
        <v>24.24</v>
      </c>
      <c r="J120" t="n">
        <v>16.82</v>
      </c>
      <c r="K120" t="n">
        <v>31.18</v>
      </c>
      <c r="L120" t="n">
        <v>79.65000000000001</v>
      </c>
      <c r="M120" t="n">
        <v>98.68000000000001</v>
      </c>
      <c r="N120" t="n">
        <v>16.49</v>
      </c>
      <c r="O120" t="n">
        <v>14.07</v>
      </c>
      <c r="P120" t="n">
        <v>26.24</v>
      </c>
      <c r="Q120" t="n">
        <v>22.11</v>
      </c>
      <c r="R120" t="n">
        <v>33.01</v>
      </c>
      <c r="S120" t="n">
        <v>84.31</v>
      </c>
      <c r="T120" t="n">
        <v>98.03</v>
      </c>
      <c r="U120" t="n">
        <v>19.34</v>
      </c>
      <c r="V120" t="inlineStr">
        <is>
          <t>Type I – Tropical Monsoon (PAGASA)</t>
        </is>
      </c>
      <c r="W120" t="inlineStr">
        <is>
          <t>Dry (Cool)</t>
        </is>
      </c>
      <c r="X120" t="inlineStr">
        <is>
          <t>Wet</t>
        </is>
      </c>
      <c r="Y120" t="inlineStr">
        <is>
          <t>Sandy Loam</t>
        </is>
      </c>
      <c r="Z120" t="inlineStr">
        <is>
          <t>Flat / Lowland</t>
        </is>
      </c>
      <c r="AA120" t="n">
        <v>30</v>
      </c>
      <c r="AB120" t="inlineStr">
        <is>
          <t>Tagamusing River</t>
        </is>
      </c>
      <c r="AC120" t="n">
        <v>504</v>
      </c>
      <c r="AD120" t="n">
        <v>2</v>
      </c>
      <c r="AE120" t="n">
        <v>26.4</v>
      </c>
      <c r="AF120" t="n">
        <v>56</v>
      </c>
      <c r="AG120" t="inlineStr">
        <is>
          <t>Transplanting (Pindot) or Direct Seeding (Pinaghandaan)</t>
        </is>
      </c>
      <c r="AH120" t="inlineStr">
        <is>
          <t>Conventional Tillage: 2 plowings + 2 harrowings; soil workable when moist</t>
        </is>
      </c>
      <c r="AI120" t="inlineStr">
        <is>
          <t>Intermittent irrigation (Alternate Wetting and Drying — AWD); moderate retention</t>
        </is>
      </c>
      <c r="AJ120" t="n">
        <v>3</v>
      </c>
      <c r="AK120" t="n">
        <v>18</v>
      </c>
      <c r="AL120" t="n">
        <v>6</v>
      </c>
      <c r="AM120" t="inlineStr">
        <is>
          <t>No</t>
        </is>
      </c>
      <c r="AN120" t="inlineStr">
        <is>
          <t>Observed harvest</t>
        </is>
      </c>
    </row>
    <row r="121">
      <c r="A121" t="inlineStr">
        <is>
          <t>Palay</t>
        </is>
      </c>
      <c r="B121" t="inlineStr">
        <is>
          <t>San Pablo</t>
        </is>
      </c>
      <c r="C121" t="inlineStr">
        <is>
          <t>DS 2007</t>
        </is>
      </c>
      <c r="D121" t="inlineStr">
        <is>
          <t>January</t>
        </is>
      </c>
      <c r="E121" t="inlineStr">
        <is>
          <t>2007</t>
        </is>
      </c>
      <c r="F121" t="inlineStr">
        <is>
          <t>May</t>
        </is>
      </c>
      <c r="G121" t="inlineStr">
        <is>
          <t>2007</t>
        </is>
      </c>
      <c r="H121" t="n">
        <v>0.4</v>
      </c>
      <c r="I121" t="n">
        <v>24.24</v>
      </c>
      <c r="J121" t="n">
        <v>16.82</v>
      </c>
      <c r="K121" t="n">
        <v>31.18</v>
      </c>
      <c r="L121" t="n">
        <v>79.65000000000001</v>
      </c>
      <c r="M121" t="n">
        <v>98.68000000000001</v>
      </c>
      <c r="N121" t="n">
        <v>16.49</v>
      </c>
      <c r="O121" t="n">
        <v>14.07</v>
      </c>
      <c r="P121" t="n">
        <v>26.24</v>
      </c>
      <c r="Q121" t="n">
        <v>22.11</v>
      </c>
      <c r="R121" t="n">
        <v>33.01</v>
      </c>
      <c r="S121" t="n">
        <v>84.31</v>
      </c>
      <c r="T121" t="n">
        <v>98.03</v>
      </c>
      <c r="U121" t="n">
        <v>19.34</v>
      </c>
      <c r="V121" t="inlineStr">
        <is>
          <t>Type I – Tropical Monsoon (PAGASA)</t>
        </is>
      </c>
      <c r="W121" t="inlineStr">
        <is>
          <t>Dry (Cool)</t>
        </is>
      </c>
      <c r="X121" t="inlineStr">
        <is>
          <t>Wet</t>
        </is>
      </c>
      <c r="Y121" t="inlineStr">
        <is>
          <t>Sandy Loam</t>
        </is>
      </c>
      <c r="Z121" t="inlineStr">
        <is>
          <t>Flat / Lowland</t>
        </is>
      </c>
      <c r="AA121" t="n">
        <v>30</v>
      </c>
      <c r="AB121" t="inlineStr">
        <is>
          <t>San Pablo Creek</t>
        </is>
      </c>
      <c r="AC121" t="n">
        <v>215.04</v>
      </c>
      <c r="AD121" t="n">
        <v>5</v>
      </c>
      <c r="AE121" t="n">
        <v>20.7</v>
      </c>
      <c r="AF121" t="n">
        <v>39</v>
      </c>
      <c r="AG121" t="inlineStr">
        <is>
          <t>Transplanting (Pindot) or Direct Seeding (Pinaghandaan)</t>
        </is>
      </c>
      <c r="AH121" t="inlineStr">
        <is>
          <t>Conventional Tillage: 2 plowings + 2 harrowings; soil workable when moist</t>
        </is>
      </c>
      <c r="AI121" t="inlineStr">
        <is>
          <t>Intermittent irrigation (Alternate Wetting and Drying — AWD); moderate retention</t>
        </is>
      </c>
      <c r="AJ121" t="n">
        <v>3</v>
      </c>
      <c r="AK121" t="n">
        <v>19.5</v>
      </c>
      <c r="AL121" t="n">
        <v>6.5</v>
      </c>
      <c r="AM121" t="inlineStr">
        <is>
          <t>No</t>
        </is>
      </c>
      <c r="AN121" t="inlineStr">
        <is>
          <t>Observed harvest</t>
        </is>
      </c>
    </row>
    <row r="122">
      <c r="A122" t="inlineStr">
        <is>
          <t>Palay</t>
        </is>
      </c>
      <c r="B122" t="inlineStr">
        <is>
          <t>Santiago</t>
        </is>
      </c>
      <c r="C122" t="inlineStr">
        <is>
          <t>DS 2007</t>
        </is>
      </c>
      <c r="D122" t="inlineStr">
        <is>
          <t>January</t>
        </is>
      </c>
      <c r="E122" t="inlineStr">
        <is>
          <t>2007</t>
        </is>
      </c>
      <c r="F122" t="inlineStr">
        <is>
          <t>May</t>
        </is>
      </c>
      <c r="G122" t="inlineStr">
        <is>
          <t>2007</t>
        </is>
      </c>
      <c r="H122" t="n">
        <v>0.4</v>
      </c>
      <c r="I122" t="n">
        <v>24.24</v>
      </c>
      <c r="J122" t="n">
        <v>16.82</v>
      </c>
      <c r="K122" t="n">
        <v>31.18</v>
      </c>
      <c r="L122" t="n">
        <v>79.65000000000001</v>
      </c>
      <c r="M122" t="n">
        <v>98.68000000000001</v>
      </c>
      <c r="N122" t="n">
        <v>16.49</v>
      </c>
      <c r="O122" t="n">
        <v>14.07</v>
      </c>
      <c r="P122" t="n">
        <v>26.24</v>
      </c>
      <c r="Q122" t="n">
        <v>22.11</v>
      </c>
      <c r="R122" t="n">
        <v>33.01</v>
      </c>
      <c r="S122" t="n">
        <v>84.31</v>
      </c>
      <c r="T122" t="n">
        <v>98.03</v>
      </c>
      <c r="U122" t="n">
        <v>19.34</v>
      </c>
      <c r="V122" t="inlineStr">
        <is>
          <t>Type I – Tropical Monsoon (PAGASA)</t>
        </is>
      </c>
      <c r="W122" t="inlineStr">
        <is>
          <t>Dry (Cool)</t>
        </is>
      </c>
      <c r="X122" t="inlineStr">
        <is>
          <t>Wet</t>
        </is>
      </c>
      <c r="Y122" t="inlineStr">
        <is>
          <t>Silty Clay Loam</t>
        </is>
      </c>
      <c r="Z122" t="inlineStr">
        <is>
          <t>Flat / Lowland</t>
        </is>
      </c>
      <c r="AA122" t="n">
        <v>30</v>
      </c>
      <c r="AB122" t="inlineStr">
        <is>
          <t>—</t>
        </is>
      </c>
      <c r="AC122" t="n">
        <v>283.08</v>
      </c>
      <c r="AD122" t="n">
        <v>20.16</v>
      </c>
      <c r="AE122" t="n">
        <v>81.66</v>
      </c>
      <c r="AF122" t="n">
        <v>81.13</v>
      </c>
      <c r="AG122" t="inlineStr">
        <is>
          <t>Transplanting (Pindot) — optimal for clay-loam paddy fields</t>
        </is>
      </c>
      <c r="AH122" t="inlineStr">
        <is>
          <t>Wet Tillage (Puddling): 2 plowings + thorough harrowing under flooded condition</t>
        </is>
      </c>
      <c r="AI122" t="inlineStr">
        <is>
          <t>Continuous flooding 2–5 cm depth during vegetative stage; drain 2 weeks before harvest</t>
        </is>
      </c>
      <c r="AJ122" t="n">
        <v>1.71</v>
      </c>
      <c r="AK122" t="n">
        <v>13.68</v>
      </c>
      <c r="AL122" t="n">
        <v>8</v>
      </c>
      <c r="AM122" t="inlineStr">
        <is>
          <t>No</t>
        </is>
      </c>
      <c r="AN122" t="inlineStr">
        <is>
          <t>Observed harvest</t>
        </is>
      </c>
    </row>
    <row r="123">
      <c r="A123" t="inlineStr">
        <is>
          <t>Palay</t>
        </is>
      </c>
      <c r="B123" t="inlineStr">
        <is>
          <t>Sta. Catalina</t>
        </is>
      </c>
      <c r="C123" t="inlineStr">
        <is>
          <t>DS 2007</t>
        </is>
      </c>
      <c r="D123" t="inlineStr">
        <is>
          <t>January</t>
        </is>
      </c>
      <c r="E123" t="inlineStr">
        <is>
          <t>2007</t>
        </is>
      </c>
      <c r="F123" t="inlineStr">
        <is>
          <t>May</t>
        </is>
      </c>
      <c r="G123" t="inlineStr">
        <is>
          <t>2007</t>
        </is>
      </c>
      <c r="H123" t="n">
        <v>0.4</v>
      </c>
      <c r="I123" t="n">
        <v>24.24</v>
      </c>
      <c r="J123" t="n">
        <v>16.82</v>
      </c>
      <c r="K123" t="n">
        <v>31.18</v>
      </c>
      <c r="L123" t="n">
        <v>79.65000000000001</v>
      </c>
      <c r="M123" t="n">
        <v>98.68000000000001</v>
      </c>
      <c r="N123" t="n">
        <v>16.49</v>
      </c>
      <c r="O123" t="n">
        <v>14.07</v>
      </c>
      <c r="P123" t="n">
        <v>26.24</v>
      </c>
      <c r="Q123" t="n">
        <v>22.11</v>
      </c>
      <c r="R123" t="n">
        <v>33.01</v>
      </c>
      <c r="S123" t="n">
        <v>84.31</v>
      </c>
      <c r="T123" t="n">
        <v>98.03</v>
      </c>
      <c r="U123" t="n">
        <v>19.34</v>
      </c>
      <c r="V123" t="inlineStr">
        <is>
          <t>Type I – Tropical Monsoon (PAGASA)</t>
        </is>
      </c>
      <c r="W123" t="inlineStr">
        <is>
          <t>Dry (Cool)</t>
        </is>
      </c>
      <c r="X123" t="inlineStr">
        <is>
          <t>Wet</t>
        </is>
      </c>
      <c r="Y123" t="inlineStr">
        <is>
          <t>Fine Sand / Sandy Loam</t>
        </is>
      </c>
      <c r="Z123" t="inlineStr">
        <is>
          <t>Moderately Sloping / Highland</t>
        </is>
      </c>
      <c r="AA123" t="n">
        <v>90</v>
      </c>
      <c r="AB123" t="inlineStr">
        <is>
          <t>—</t>
        </is>
      </c>
      <c r="AC123" t="n">
        <v>709.8</v>
      </c>
      <c r="AD123" t="n">
        <v>2</v>
      </c>
      <c r="AE123" t="n">
        <v>145.04</v>
      </c>
      <c r="AF123" t="n">
        <v>41.37</v>
      </c>
      <c r="AG123" t="inlineStr">
        <is>
          <t>Transplanting (Pindot)</t>
        </is>
      </c>
      <c r="AH123" t="inlineStr">
        <is>
          <t>Minimum Tillage (avoid compaction; sandy structure fragile)</t>
        </is>
      </c>
      <c r="AI123" t="inlineStr">
        <is>
          <t>Continuous flooding or frequent irrigation; high percolation risk; terrace or bund-assisted water retention essential on slopes</t>
        </is>
      </c>
      <c r="AJ123" t="n">
        <v>3.39</v>
      </c>
      <c r="AK123" t="n">
        <v>27.12</v>
      </c>
      <c r="AL123" t="n">
        <v>8</v>
      </c>
      <c r="AM123" t="inlineStr">
        <is>
          <t>No</t>
        </is>
      </c>
      <c r="AN123" t="inlineStr">
        <is>
          <t>Observed harvest</t>
        </is>
      </c>
    </row>
    <row r="124">
      <c r="A124" t="inlineStr">
        <is>
          <t>Palay</t>
        </is>
      </c>
      <c r="B124" t="inlineStr">
        <is>
          <t>Sta. Maria Norte</t>
        </is>
      </c>
      <c r="C124" t="inlineStr">
        <is>
          <t>DS 2007</t>
        </is>
      </c>
      <c r="D124" t="inlineStr">
        <is>
          <t>January</t>
        </is>
      </c>
      <c r="E124" t="inlineStr">
        <is>
          <t>2007</t>
        </is>
      </c>
      <c r="F124" t="inlineStr">
        <is>
          <t>May</t>
        </is>
      </c>
      <c r="G124" t="inlineStr">
        <is>
          <t>2007</t>
        </is>
      </c>
      <c r="H124" t="n">
        <v>0.4</v>
      </c>
      <c r="I124" t="n">
        <v>24.24</v>
      </c>
      <c r="J124" t="n">
        <v>16.82</v>
      </c>
      <c r="K124" t="n">
        <v>31.18</v>
      </c>
      <c r="L124" t="n">
        <v>79.65000000000001</v>
      </c>
      <c r="M124" t="n">
        <v>98.68000000000001</v>
      </c>
      <c r="N124" t="n">
        <v>16.49</v>
      </c>
      <c r="O124" t="n">
        <v>14.07</v>
      </c>
      <c r="P124" t="n">
        <v>26.24</v>
      </c>
      <c r="Q124" t="n">
        <v>22.11</v>
      </c>
      <c r="R124" t="n">
        <v>33.01</v>
      </c>
      <c r="S124" t="n">
        <v>84.31</v>
      </c>
      <c r="T124" t="n">
        <v>98.03</v>
      </c>
      <c r="U124" t="n">
        <v>19.34</v>
      </c>
      <c r="V124" t="inlineStr">
        <is>
          <t>Type I – Tropical Monsoon (PAGASA)</t>
        </is>
      </c>
      <c r="W124" t="inlineStr">
        <is>
          <t>Dry (Cool)</t>
        </is>
      </c>
      <c r="X124" t="inlineStr">
        <is>
          <t>Wet</t>
        </is>
      </c>
      <c r="Y124" t="inlineStr">
        <is>
          <t>Sandy Loam</t>
        </is>
      </c>
      <c r="Z124" t="inlineStr">
        <is>
          <t>Flat / Lowland</t>
        </is>
      </c>
      <c r="AA124" t="n">
        <v>30</v>
      </c>
      <c r="AB124" t="inlineStr">
        <is>
          <t>Tagamusing River</t>
        </is>
      </c>
      <c r="AC124" t="n">
        <v>157.08</v>
      </c>
      <c r="AD124" t="n">
        <v>5.61</v>
      </c>
      <c r="AE124" t="n">
        <v>20.7</v>
      </c>
      <c r="AF124" t="n">
        <v>30.73</v>
      </c>
      <c r="AG124" t="inlineStr">
        <is>
          <t>Transplanting (Pindot) or Direct Seeding (Pinaghandaan)</t>
        </is>
      </c>
      <c r="AH124" t="inlineStr">
        <is>
          <t>Conventional Tillage: 2 plowings + 2 harrowings; soil workable when moist</t>
        </is>
      </c>
      <c r="AI124" t="inlineStr">
        <is>
          <t>Intermittent irrigation (Alternate Wetting and Drying — AWD); moderate retention</t>
        </is>
      </c>
      <c r="AJ124" t="n">
        <v>5.34</v>
      </c>
      <c r="AK124" t="n">
        <v>19.64</v>
      </c>
      <c r="AL124" t="n">
        <v>3.68</v>
      </c>
      <c r="AM124" t="inlineStr">
        <is>
          <t>No</t>
        </is>
      </c>
      <c r="AN124" t="inlineStr">
        <is>
          <t>Observed harvest</t>
        </is>
      </c>
    </row>
    <row r="125">
      <c r="A125" t="inlineStr">
        <is>
          <t>Palay</t>
        </is>
      </c>
      <c r="B125" t="inlineStr">
        <is>
          <t>Sumabnit</t>
        </is>
      </c>
      <c r="C125" t="inlineStr">
        <is>
          <t>DS 2007</t>
        </is>
      </c>
      <c r="D125" t="inlineStr">
        <is>
          <t>January</t>
        </is>
      </c>
      <c r="E125" t="inlineStr">
        <is>
          <t>2007</t>
        </is>
      </c>
      <c r="F125" t="inlineStr">
        <is>
          <t>May</t>
        </is>
      </c>
      <c r="G125" t="inlineStr">
        <is>
          <t>2007</t>
        </is>
      </c>
      <c r="H125" t="n">
        <v>0.4</v>
      </c>
      <c r="I125" t="n">
        <v>24.24</v>
      </c>
      <c r="J125" t="n">
        <v>16.82</v>
      </c>
      <c r="K125" t="n">
        <v>31.18</v>
      </c>
      <c r="L125" t="n">
        <v>79.65000000000001</v>
      </c>
      <c r="M125" t="n">
        <v>98.68000000000001</v>
      </c>
      <c r="N125" t="n">
        <v>16.49</v>
      </c>
      <c r="O125" t="n">
        <v>14.07</v>
      </c>
      <c r="P125" t="n">
        <v>26.24</v>
      </c>
      <c r="Q125" t="n">
        <v>22.11</v>
      </c>
      <c r="R125" t="n">
        <v>33.01</v>
      </c>
      <c r="S125" t="n">
        <v>84.31</v>
      </c>
      <c r="T125" t="n">
        <v>98.03</v>
      </c>
      <c r="U125" t="n">
        <v>19.34</v>
      </c>
      <c r="V125" t="inlineStr">
        <is>
          <t>Type I – Tropical Monsoon (PAGASA)</t>
        </is>
      </c>
      <c r="W125" t="inlineStr">
        <is>
          <t>Dry (Cool)</t>
        </is>
      </c>
      <c r="X125" t="inlineStr">
        <is>
          <t>Wet</t>
        </is>
      </c>
      <c r="Y125" t="inlineStr">
        <is>
          <t>Silty Clay Loam / Fine Sandy Loam</t>
        </is>
      </c>
      <c r="Z125" t="inlineStr">
        <is>
          <t>Flat / Lowland</t>
        </is>
      </c>
      <c r="AA125" t="n">
        <v>30</v>
      </c>
      <c r="AB125" t="inlineStr">
        <is>
          <t>Tagamusing River</t>
        </is>
      </c>
      <c r="AC125" t="n">
        <v>406.56</v>
      </c>
      <c r="AD125" t="n">
        <v>15.72</v>
      </c>
      <c r="AE125" t="n">
        <v>81.66</v>
      </c>
      <c r="AF125" t="n">
        <v>21.13</v>
      </c>
      <c r="AG125" t="inlineStr">
        <is>
          <t>Transplanting (Pindot)</t>
        </is>
      </c>
      <c r="AH125" t="inlineStr">
        <is>
          <t>Minimum Tillage (avoid compaction; sandy structure fragile)</t>
        </is>
      </c>
      <c r="AI125" t="inlineStr">
        <is>
          <t>Continuous flooding or frequent irrigation; high percolation risk</t>
        </is>
      </c>
      <c r="AJ125" t="n">
        <v>1.89</v>
      </c>
      <c r="AK125" t="n">
        <v>15.12</v>
      </c>
      <c r="AL125" t="n">
        <v>8</v>
      </c>
      <c r="AM125" t="inlineStr">
        <is>
          <t>No</t>
        </is>
      </c>
      <c r="AN125" t="inlineStr">
        <is>
          <t>Observed harvest</t>
        </is>
      </c>
    </row>
    <row r="126">
      <c r="A126" t="inlineStr">
        <is>
          <t>Palay</t>
        </is>
      </c>
      <c r="B126" t="inlineStr">
        <is>
          <t>Tabuyoc</t>
        </is>
      </c>
      <c r="C126" t="inlineStr">
        <is>
          <t>DS 2007</t>
        </is>
      </c>
      <c r="D126" t="inlineStr">
        <is>
          <t>January</t>
        </is>
      </c>
      <c r="E126" t="inlineStr">
        <is>
          <t>2007</t>
        </is>
      </c>
      <c r="F126" t="inlineStr">
        <is>
          <t>May</t>
        </is>
      </c>
      <c r="G126" t="inlineStr">
        <is>
          <t>2007</t>
        </is>
      </c>
      <c r="H126" t="n">
        <v>0.4</v>
      </c>
      <c r="I126" t="n">
        <v>24.24</v>
      </c>
      <c r="J126" t="n">
        <v>16.82</v>
      </c>
      <c r="K126" t="n">
        <v>31.18</v>
      </c>
      <c r="L126" t="n">
        <v>79.65000000000001</v>
      </c>
      <c r="M126" t="n">
        <v>98.68000000000001</v>
      </c>
      <c r="N126" t="n">
        <v>16.49</v>
      </c>
      <c r="O126" t="n">
        <v>14.07</v>
      </c>
      <c r="P126" t="n">
        <v>26.24</v>
      </c>
      <c r="Q126" t="n">
        <v>22.11</v>
      </c>
      <c r="R126" t="n">
        <v>33.01</v>
      </c>
      <c r="S126" t="n">
        <v>84.31</v>
      </c>
      <c r="T126" t="n">
        <v>98.03</v>
      </c>
      <c r="U126" t="n">
        <v>19.34</v>
      </c>
      <c r="V126" t="inlineStr">
        <is>
          <t>Type I – Tropical Monsoon (PAGASA)</t>
        </is>
      </c>
      <c r="W126" t="inlineStr">
        <is>
          <t>Dry (Cool)</t>
        </is>
      </c>
      <c r="X126" t="inlineStr">
        <is>
          <t>Wet</t>
        </is>
      </c>
      <c r="Y126" t="inlineStr">
        <is>
          <t>Silty Clay Loam</t>
        </is>
      </c>
      <c r="Z126" t="inlineStr">
        <is>
          <t>Flat / Lowland</t>
        </is>
      </c>
      <c r="AA126" t="n">
        <v>30</v>
      </c>
      <c r="AB126" t="inlineStr">
        <is>
          <t>—</t>
        </is>
      </c>
      <c r="AC126" t="n">
        <v>277.2</v>
      </c>
      <c r="AD126" t="n">
        <v>10</v>
      </c>
      <c r="AE126" t="n">
        <v>81.66</v>
      </c>
      <c r="AF126" t="n">
        <v>59</v>
      </c>
      <c r="AG126" t="inlineStr">
        <is>
          <t>Transplanting (Pindot) — optimal for clay-loam paddy fields</t>
        </is>
      </c>
      <c r="AH126" t="inlineStr">
        <is>
          <t>Wet Tillage (Puddling): 2 plowings + thorough harrowing under flooded condition</t>
        </is>
      </c>
      <c r="AI126" t="inlineStr">
        <is>
          <t>Continuous flooding 2–5 cm depth during vegetative stage; drain 2 weeks before harvest</t>
        </is>
      </c>
      <c r="AJ126" t="n">
        <v>1</v>
      </c>
      <c r="AK126" t="n">
        <v>6.1</v>
      </c>
      <c r="AL126" t="n">
        <v>6.1</v>
      </c>
      <c r="AM126" t="inlineStr">
        <is>
          <t>No</t>
        </is>
      </c>
      <c r="AN126" t="inlineStr">
        <is>
          <t>Observed harvest</t>
        </is>
      </c>
    </row>
    <row r="127">
      <c r="A127" t="inlineStr">
        <is>
          <t>Palay</t>
        </is>
      </c>
      <c r="B127" t="inlineStr">
        <is>
          <t>Vacante</t>
        </is>
      </c>
      <c r="C127" t="inlineStr">
        <is>
          <t>DS 2007</t>
        </is>
      </c>
      <c r="D127" t="inlineStr">
        <is>
          <t>January</t>
        </is>
      </c>
      <c r="E127" t="inlineStr">
        <is>
          <t>2007</t>
        </is>
      </c>
      <c r="F127" t="inlineStr">
        <is>
          <t>May</t>
        </is>
      </c>
      <c r="G127" t="inlineStr">
        <is>
          <t>2007</t>
        </is>
      </c>
      <c r="H127" t="n">
        <v>0.4</v>
      </c>
      <c r="I127" t="n">
        <v>24.24</v>
      </c>
      <c r="J127" t="n">
        <v>16.82</v>
      </c>
      <c r="K127" t="n">
        <v>31.18</v>
      </c>
      <c r="L127" t="n">
        <v>79.65000000000001</v>
      </c>
      <c r="M127" t="n">
        <v>98.68000000000001</v>
      </c>
      <c r="N127" t="n">
        <v>16.49</v>
      </c>
      <c r="O127" t="n">
        <v>14.07</v>
      </c>
      <c r="P127" t="n">
        <v>26.24</v>
      </c>
      <c r="Q127" t="n">
        <v>22.11</v>
      </c>
      <c r="R127" t="n">
        <v>33.01</v>
      </c>
      <c r="S127" t="n">
        <v>84.31</v>
      </c>
      <c r="T127" t="n">
        <v>98.03</v>
      </c>
      <c r="U127" t="n">
        <v>19.34</v>
      </c>
      <c r="V127" t="inlineStr">
        <is>
          <t>Type I – Tropical Monsoon (PAGASA)</t>
        </is>
      </c>
      <c r="W127" t="inlineStr">
        <is>
          <t>Dry (Cool)</t>
        </is>
      </c>
      <c r="X127" t="inlineStr">
        <is>
          <t>Wet</t>
        </is>
      </c>
      <c r="Y127" t="inlineStr">
        <is>
          <t>Silty Clay Loam</t>
        </is>
      </c>
      <c r="Z127" t="inlineStr">
        <is>
          <t>Flat / Lowland</t>
        </is>
      </c>
      <c r="AA127" t="n">
        <v>30</v>
      </c>
      <c r="AB127" t="inlineStr">
        <is>
          <t>Aloragat River</t>
        </is>
      </c>
      <c r="AC127" t="n">
        <v>484.68</v>
      </c>
      <c r="AD127" t="n">
        <v>20.06</v>
      </c>
      <c r="AE127" t="n">
        <v>81.66</v>
      </c>
      <c r="AF127" t="n">
        <v>33.83</v>
      </c>
      <c r="AG127" t="inlineStr">
        <is>
          <t>Transplanting (Pindot) — optimal for clay-loam paddy fields</t>
        </is>
      </c>
      <c r="AH127" t="inlineStr">
        <is>
          <t>Wet Tillage (Puddling): 2 plowings + thorough harrowing under flooded condition</t>
        </is>
      </c>
      <c r="AI127" t="inlineStr">
        <is>
          <t>Continuous flooding 2–5 cm depth during vegetative stage; drain 2 weeks before harvest</t>
        </is>
      </c>
      <c r="AJ127" t="n">
        <v>2.01</v>
      </c>
      <c r="AK127" t="n">
        <v>16.08</v>
      </c>
      <c r="AL127" t="n">
        <v>8</v>
      </c>
      <c r="AM127" t="inlineStr">
        <is>
          <t>No</t>
        </is>
      </c>
      <c r="AN127" t="inlineStr">
        <is>
          <t>Observed harvest</t>
        </is>
      </c>
    </row>
    <row r="128">
      <c r="A128" t="inlineStr">
        <is>
          <t>Palay</t>
        </is>
      </c>
      <c r="B128" t="inlineStr">
        <is>
          <t>Balangobong</t>
        </is>
      </c>
      <c r="C128" t="inlineStr">
        <is>
          <t>DS 2008</t>
        </is>
      </c>
      <c r="D128" t="inlineStr">
        <is>
          <t>January</t>
        </is>
      </c>
      <c r="E128" t="inlineStr">
        <is>
          <t>2008</t>
        </is>
      </c>
      <c r="F128" t="inlineStr">
        <is>
          <t>May</t>
        </is>
      </c>
      <c r="G128" t="inlineStr">
        <is>
          <t>2008</t>
        </is>
      </c>
      <c r="H128" t="n">
        <v>1.45</v>
      </c>
      <c r="I128" t="n">
        <v>23.94</v>
      </c>
      <c r="J128" t="n">
        <v>17.59</v>
      </c>
      <c r="K128" t="n">
        <v>30.5</v>
      </c>
      <c r="L128" t="n">
        <v>81.62</v>
      </c>
      <c r="M128" t="n">
        <v>98.54000000000001</v>
      </c>
      <c r="N128" t="n">
        <v>16.06</v>
      </c>
      <c r="O128" t="n">
        <v>9.42</v>
      </c>
      <c r="P128" t="n">
        <v>26.41</v>
      </c>
      <c r="Q128" t="n">
        <v>21.86</v>
      </c>
      <c r="R128" t="n">
        <v>32.12</v>
      </c>
      <c r="S128" t="n">
        <v>82.65000000000001</v>
      </c>
      <c r="T128" t="n">
        <v>98.18000000000001</v>
      </c>
      <c r="U128" t="n">
        <v>19.49</v>
      </c>
      <c r="V128" t="inlineStr">
        <is>
          <t>Type I – Tropical Monsoon (PAGASA)</t>
        </is>
      </c>
      <c r="W128" t="inlineStr">
        <is>
          <t>Dry (Cool)</t>
        </is>
      </c>
      <c r="X128" t="inlineStr">
        <is>
          <t>Wet</t>
        </is>
      </c>
      <c r="Y128" t="inlineStr">
        <is>
          <t>Silty Clay Loam</t>
        </is>
      </c>
      <c r="Z128" t="inlineStr">
        <is>
          <t>Flat / Lowland</t>
        </is>
      </c>
      <c r="AA128" t="n">
        <v>30</v>
      </c>
      <c r="AB128" t="inlineStr">
        <is>
          <t>—</t>
        </is>
      </c>
      <c r="AC128" t="n">
        <v>281.4</v>
      </c>
      <c r="AD128" t="n">
        <v>1</v>
      </c>
      <c r="AE128" t="n">
        <v>35.32</v>
      </c>
      <c r="AF128" t="n">
        <v>122</v>
      </c>
      <c r="AG128" t="inlineStr">
        <is>
          <t>Transplanting (Pindot) — optimal for clay-loam paddy fields</t>
        </is>
      </c>
      <c r="AH128" t="inlineStr">
        <is>
          <t>Wet Tillage (Puddling): 2 plowings + thorough harrowing under flooded condition</t>
        </is>
      </c>
      <c r="AI128" t="inlineStr">
        <is>
          <t>Continuous flooding 2–5 cm depth during vegetative stage; drain 2 weeks before harvest</t>
        </is>
      </c>
      <c r="AJ128" t="n">
        <v>1.31</v>
      </c>
      <c r="AK128" t="n">
        <v>10.48</v>
      </c>
      <c r="AL128" t="n">
        <v>8</v>
      </c>
      <c r="AM128" t="inlineStr">
        <is>
          <t>No</t>
        </is>
      </c>
      <c r="AN128" t="inlineStr">
        <is>
          <t>Observed harvest</t>
        </is>
      </c>
    </row>
    <row r="129">
      <c r="A129" t="inlineStr">
        <is>
          <t>Palay</t>
        </is>
      </c>
      <c r="B129" t="inlineStr">
        <is>
          <t>Bued</t>
        </is>
      </c>
      <c r="C129" t="inlineStr">
        <is>
          <t>DS 2008</t>
        </is>
      </c>
      <c r="D129" t="inlineStr">
        <is>
          <t>January</t>
        </is>
      </c>
      <c r="E129" t="inlineStr">
        <is>
          <t>2008</t>
        </is>
      </c>
      <c r="F129" t="inlineStr">
        <is>
          <t>May</t>
        </is>
      </c>
      <c r="G129" t="inlineStr">
        <is>
          <t>2008</t>
        </is>
      </c>
      <c r="H129" t="n">
        <v>1.45</v>
      </c>
      <c r="I129" t="n">
        <v>23.94</v>
      </c>
      <c r="J129" t="n">
        <v>17.59</v>
      </c>
      <c r="K129" t="n">
        <v>30.5</v>
      </c>
      <c r="L129" t="n">
        <v>81.62</v>
      </c>
      <c r="M129" t="n">
        <v>98.54000000000001</v>
      </c>
      <c r="N129" t="n">
        <v>16.06</v>
      </c>
      <c r="O129" t="n">
        <v>9.42</v>
      </c>
      <c r="P129" t="n">
        <v>26.41</v>
      </c>
      <c r="Q129" t="n">
        <v>21.86</v>
      </c>
      <c r="R129" t="n">
        <v>32.12</v>
      </c>
      <c r="S129" t="n">
        <v>82.65000000000001</v>
      </c>
      <c r="T129" t="n">
        <v>98.18000000000001</v>
      </c>
      <c r="U129" t="n">
        <v>19.49</v>
      </c>
      <c r="V129" t="inlineStr">
        <is>
          <t>Type I – Tropical Monsoon (PAGASA)</t>
        </is>
      </c>
      <c r="W129" t="inlineStr">
        <is>
          <t>Dry (Cool)</t>
        </is>
      </c>
      <c r="X129" t="inlineStr">
        <is>
          <t>Wet</t>
        </is>
      </c>
      <c r="Y129" t="inlineStr">
        <is>
          <t>Silty Clay Loam</t>
        </is>
      </c>
      <c r="Z129" t="inlineStr">
        <is>
          <t>Flat / Lowland</t>
        </is>
      </c>
      <c r="AA129" t="n">
        <v>30</v>
      </c>
      <c r="AB129" t="inlineStr">
        <is>
          <t>Tagamusing River</t>
        </is>
      </c>
      <c r="AC129" t="n">
        <v>210.84</v>
      </c>
      <c r="AD129" t="n">
        <v>2</v>
      </c>
      <c r="AE129" t="n">
        <v>35.32</v>
      </c>
      <c r="AF129" t="n">
        <v>37.89</v>
      </c>
      <c r="AG129" t="inlineStr">
        <is>
          <t>Transplanting (Pindot) — optimal for clay-loam paddy fields</t>
        </is>
      </c>
      <c r="AH129" t="inlineStr">
        <is>
          <t>Wet Tillage (Puddling): 2 plowings + thorough harrowing under flooded condition</t>
        </is>
      </c>
      <c r="AI129" t="inlineStr">
        <is>
          <t>Continuous flooding 2–5 cm depth during vegetative stage; drain 2 weeks before harvest</t>
        </is>
      </c>
      <c r="AJ129" t="n">
        <v>1.05</v>
      </c>
      <c r="AK129" t="n">
        <v>8.4</v>
      </c>
      <c r="AL129" t="n">
        <v>8</v>
      </c>
      <c r="AM129" t="inlineStr">
        <is>
          <t>No</t>
        </is>
      </c>
      <c r="AN129" t="inlineStr">
        <is>
          <t>Observed harvest</t>
        </is>
      </c>
    </row>
    <row r="130">
      <c r="A130" t="inlineStr">
        <is>
          <t>Palay</t>
        </is>
      </c>
      <c r="B130" t="inlineStr">
        <is>
          <t>Bugayong</t>
        </is>
      </c>
      <c r="C130" t="inlineStr">
        <is>
          <t>DS 2008</t>
        </is>
      </c>
      <c r="D130" t="inlineStr">
        <is>
          <t>January</t>
        </is>
      </c>
      <c r="E130" t="inlineStr">
        <is>
          <t>2008</t>
        </is>
      </c>
      <c r="F130" t="inlineStr">
        <is>
          <t>May</t>
        </is>
      </c>
      <c r="G130" t="inlineStr">
        <is>
          <t>2008</t>
        </is>
      </c>
      <c r="H130" t="n">
        <v>1.45</v>
      </c>
      <c r="I130" t="n">
        <v>23.94</v>
      </c>
      <c r="J130" t="n">
        <v>17.59</v>
      </c>
      <c r="K130" t="n">
        <v>30.5</v>
      </c>
      <c r="L130" t="n">
        <v>81.62</v>
      </c>
      <c r="M130" t="n">
        <v>98.54000000000001</v>
      </c>
      <c r="N130" t="n">
        <v>16.06</v>
      </c>
      <c r="O130" t="n">
        <v>9.42</v>
      </c>
      <c r="P130" t="n">
        <v>26.41</v>
      </c>
      <c r="Q130" t="n">
        <v>21.86</v>
      </c>
      <c r="R130" t="n">
        <v>32.12</v>
      </c>
      <c r="S130" t="n">
        <v>82.65000000000001</v>
      </c>
      <c r="T130" t="n">
        <v>98.18000000000001</v>
      </c>
      <c r="U130" t="n">
        <v>19.49</v>
      </c>
      <c r="V130" t="inlineStr">
        <is>
          <t>Type I – Tropical Monsoon (PAGASA)</t>
        </is>
      </c>
      <c r="W130" t="inlineStr">
        <is>
          <t>Dry (Cool)</t>
        </is>
      </c>
      <c r="X130" t="inlineStr">
        <is>
          <t>Wet</t>
        </is>
      </c>
      <c r="Y130" t="inlineStr">
        <is>
          <t>Sandy Loam / Silty Clay Loam</t>
        </is>
      </c>
      <c r="Z130" t="inlineStr">
        <is>
          <t>Flat / Lowland</t>
        </is>
      </c>
      <c r="AA130" t="n">
        <v>30</v>
      </c>
      <c r="AB130" t="inlineStr">
        <is>
          <t>Aloragat River</t>
        </is>
      </c>
      <c r="AC130" t="n">
        <v>346.08</v>
      </c>
      <c r="AD130" t="n">
        <v>2</v>
      </c>
      <c r="AE130" t="n">
        <v>41.02</v>
      </c>
      <c r="AF130" t="n">
        <v>10.5</v>
      </c>
      <c r="AG130" t="inlineStr">
        <is>
          <t>Transplanting (Pindot) — recommended; Direct Seeding possible in dry season</t>
        </is>
      </c>
      <c r="AH130" t="inlineStr">
        <is>
          <t>Conventional Tillage: 2 plowings + harrowing; puddle thoroughly for transplanting</t>
        </is>
      </c>
      <c r="AI130" t="inlineStr">
        <is>
          <t>Intermittent to continuous flooding; manage according to drainage section present</t>
        </is>
      </c>
      <c r="AJ130" t="n">
        <v>1.29</v>
      </c>
      <c r="AK130" t="n">
        <v>10.32</v>
      </c>
      <c r="AL130" t="n">
        <v>8</v>
      </c>
      <c r="AM130" t="inlineStr">
        <is>
          <t>No</t>
        </is>
      </c>
      <c r="AN130" t="inlineStr">
        <is>
          <t>Observed harvest</t>
        </is>
      </c>
    </row>
    <row r="131">
      <c r="A131" t="inlineStr">
        <is>
          <t>Palay</t>
        </is>
      </c>
      <c r="B131" t="inlineStr">
        <is>
          <t>Camanggaan</t>
        </is>
      </c>
      <c r="C131" t="inlineStr">
        <is>
          <t>DS 2008</t>
        </is>
      </c>
      <c r="D131" t="inlineStr">
        <is>
          <t>January</t>
        </is>
      </c>
      <c r="E131" t="inlineStr">
        <is>
          <t>2008</t>
        </is>
      </c>
      <c r="F131" t="inlineStr">
        <is>
          <t>May</t>
        </is>
      </c>
      <c r="G131" t="inlineStr">
        <is>
          <t>2008</t>
        </is>
      </c>
      <c r="H131" t="n">
        <v>1.45</v>
      </c>
      <c r="I131" t="n">
        <v>23.94</v>
      </c>
      <c r="J131" t="n">
        <v>17.59</v>
      </c>
      <c r="K131" t="n">
        <v>30.5</v>
      </c>
      <c r="L131" t="n">
        <v>81.62</v>
      </c>
      <c r="M131" t="n">
        <v>98.54000000000001</v>
      </c>
      <c r="N131" t="n">
        <v>16.06</v>
      </c>
      <c r="O131" t="n">
        <v>9.42</v>
      </c>
      <c r="P131" t="n">
        <v>26.41</v>
      </c>
      <c r="Q131" t="n">
        <v>21.86</v>
      </c>
      <c r="R131" t="n">
        <v>32.12</v>
      </c>
      <c r="S131" t="n">
        <v>82.65000000000001</v>
      </c>
      <c r="T131" t="n">
        <v>98.18000000000001</v>
      </c>
      <c r="U131" t="n">
        <v>19.49</v>
      </c>
      <c r="V131" t="inlineStr">
        <is>
          <t>Type I – Tropical Monsoon (PAGASA)</t>
        </is>
      </c>
      <c r="W131" t="inlineStr">
        <is>
          <t>Dry (Cool)</t>
        </is>
      </c>
      <c r="X131" t="inlineStr">
        <is>
          <t>Wet</t>
        </is>
      </c>
      <c r="Y131" t="inlineStr">
        <is>
          <t>Sandy Loam</t>
        </is>
      </c>
      <c r="Z131" t="inlineStr">
        <is>
          <t>Flat / Lowland</t>
        </is>
      </c>
      <c r="AA131" t="n">
        <v>30</v>
      </c>
      <c r="AB131" t="inlineStr">
        <is>
          <t>—</t>
        </is>
      </c>
      <c r="AC131" t="n">
        <v>244.44</v>
      </c>
      <c r="AD131" t="n">
        <v>2</v>
      </c>
      <c r="AE131" t="n">
        <v>52.42</v>
      </c>
      <c r="AF131" t="n">
        <v>13</v>
      </c>
      <c r="AG131" t="inlineStr">
        <is>
          <t>Transplanting (Pindot) or Direct Seeding (Pinaghandaan)</t>
        </is>
      </c>
      <c r="AH131" t="inlineStr">
        <is>
          <t>Conventional Tillage: 2 plowings + 2 harrowings; soil workable when moist</t>
        </is>
      </c>
      <c r="AI131" t="inlineStr">
        <is>
          <t>Intermittent irrigation (Alternate Wetting and Drying — AWD); moderate retention</t>
        </is>
      </c>
      <c r="AJ131" t="n">
        <v>1.05</v>
      </c>
      <c r="AK131" t="n">
        <v>8.4</v>
      </c>
      <c r="AL131" t="n">
        <v>8</v>
      </c>
      <c r="AM131" t="inlineStr">
        <is>
          <t>No</t>
        </is>
      </c>
      <c r="AN131" t="inlineStr">
        <is>
          <t>Observed harvest</t>
        </is>
      </c>
    </row>
    <row r="132">
      <c r="A132" t="inlineStr">
        <is>
          <t>Palay</t>
        </is>
      </c>
      <c r="B132" t="inlineStr">
        <is>
          <t>Capas</t>
        </is>
      </c>
      <c r="C132" t="inlineStr">
        <is>
          <t>DS 2008</t>
        </is>
      </c>
      <c r="D132" t="inlineStr">
        <is>
          <t>January</t>
        </is>
      </c>
      <c r="E132" t="inlineStr">
        <is>
          <t>2008</t>
        </is>
      </c>
      <c r="F132" t="inlineStr">
        <is>
          <t>May</t>
        </is>
      </c>
      <c r="G132" t="inlineStr">
        <is>
          <t>2008</t>
        </is>
      </c>
      <c r="H132" t="n">
        <v>1.45</v>
      </c>
      <c r="I132" t="n">
        <v>23.94</v>
      </c>
      <c r="J132" t="n">
        <v>17.59</v>
      </c>
      <c r="K132" t="n">
        <v>30.5</v>
      </c>
      <c r="L132" t="n">
        <v>81.62</v>
      </c>
      <c r="M132" t="n">
        <v>98.54000000000001</v>
      </c>
      <c r="N132" t="n">
        <v>16.06</v>
      </c>
      <c r="O132" t="n">
        <v>9.42</v>
      </c>
      <c r="P132" t="n">
        <v>26.41</v>
      </c>
      <c r="Q132" t="n">
        <v>21.86</v>
      </c>
      <c r="R132" t="n">
        <v>32.12</v>
      </c>
      <c r="S132" t="n">
        <v>82.65000000000001</v>
      </c>
      <c r="T132" t="n">
        <v>98.18000000000001</v>
      </c>
      <c r="U132" t="n">
        <v>19.49</v>
      </c>
      <c r="V132" t="inlineStr">
        <is>
          <t>Type I – Tropical Monsoon (PAGASA)</t>
        </is>
      </c>
      <c r="W132" t="inlineStr">
        <is>
          <t>Dry (Cool)</t>
        </is>
      </c>
      <c r="X132" t="inlineStr">
        <is>
          <t>Wet</t>
        </is>
      </c>
      <c r="Y132" t="inlineStr">
        <is>
          <t>Sandy Loam</t>
        </is>
      </c>
      <c r="Z132" t="inlineStr">
        <is>
          <t>Flat / Lowland</t>
        </is>
      </c>
      <c r="AA132" t="n">
        <v>30</v>
      </c>
      <c r="AB132" t="inlineStr">
        <is>
          <t>—</t>
        </is>
      </c>
      <c r="AC132" t="n">
        <v>377.16</v>
      </c>
      <c r="AD132" t="n">
        <v>3.47</v>
      </c>
      <c r="AE132" t="n">
        <v>52.42</v>
      </c>
      <c r="AF132" t="n">
        <v>179</v>
      </c>
      <c r="AG132" t="inlineStr">
        <is>
          <t>Transplanting (Pindot) or Direct Seeding (Pinaghandaan)</t>
        </is>
      </c>
      <c r="AH132" t="inlineStr">
        <is>
          <t>Conventional Tillage: 2 plowings + 2 harrowings; soil workable when moist</t>
        </is>
      </c>
      <c r="AI132" t="inlineStr">
        <is>
          <t>Intermittent irrigation (Alternate Wetting and Drying — AWD); moderate retention</t>
        </is>
      </c>
      <c r="AJ132" t="n">
        <v>2.01</v>
      </c>
      <c r="AK132" t="n">
        <v>15.84</v>
      </c>
      <c r="AL132" t="n">
        <v>7.88</v>
      </c>
      <c r="AM132" t="inlineStr">
        <is>
          <t>No</t>
        </is>
      </c>
      <c r="AN132" t="inlineStr">
        <is>
          <t>Observed harvest</t>
        </is>
      </c>
    </row>
    <row r="133">
      <c r="A133" t="inlineStr">
        <is>
          <t>Palay</t>
        </is>
      </c>
      <c r="B133" t="inlineStr">
        <is>
          <t>Cili</t>
        </is>
      </c>
      <c r="C133" t="inlineStr">
        <is>
          <t>DS 2008</t>
        </is>
      </c>
      <c r="D133" t="inlineStr">
        <is>
          <t>January</t>
        </is>
      </c>
      <c r="E133" t="inlineStr">
        <is>
          <t>2008</t>
        </is>
      </c>
      <c r="F133" t="inlineStr">
        <is>
          <t>May</t>
        </is>
      </c>
      <c r="G133" t="inlineStr">
        <is>
          <t>2008</t>
        </is>
      </c>
      <c r="H133" t="n">
        <v>1.45</v>
      </c>
      <c r="I133" t="n">
        <v>23.94</v>
      </c>
      <c r="J133" t="n">
        <v>17.59</v>
      </c>
      <c r="K133" t="n">
        <v>30.5</v>
      </c>
      <c r="L133" t="n">
        <v>81.62</v>
      </c>
      <c r="M133" t="n">
        <v>98.54000000000001</v>
      </c>
      <c r="N133" t="n">
        <v>16.06</v>
      </c>
      <c r="O133" t="n">
        <v>9.42</v>
      </c>
      <c r="P133" t="n">
        <v>26.41</v>
      </c>
      <c r="Q133" t="n">
        <v>21.86</v>
      </c>
      <c r="R133" t="n">
        <v>32.12</v>
      </c>
      <c r="S133" t="n">
        <v>82.65000000000001</v>
      </c>
      <c r="T133" t="n">
        <v>98.18000000000001</v>
      </c>
      <c r="U133" t="n">
        <v>19.49</v>
      </c>
      <c r="V133" t="inlineStr">
        <is>
          <t>Type I – Tropical Monsoon (PAGASA)</t>
        </is>
      </c>
      <c r="W133" t="inlineStr">
        <is>
          <t>Dry (Cool)</t>
        </is>
      </c>
      <c r="X133" t="inlineStr">
        <is>
          <t>Wet</t>
        </is>
      </c>
      <c r="Y133" t="inlineStr">
        <is>
          <t>Silty Clay Loam</t>
        </is>
      </c>
      <c r="Z133" t="inlineStr">
        <is>
          <t>Flat / Lowland</t>
        </is>
      </c>
      <c r="AA133" t="n">
        <v>30</v>
      </c>
      <c r="AB133" t="inlineStr">
        <is>
          <t>Alibeng River</t>
        </is>
      </c>
      <c r="AC133" t="n">
        <v>264.6</v>
      </c>
      <c r="AD133" t="n">
        <v>2</v>
      </c>
      <c r="AE133" t="n">
        <v>35.32</v>
      </c>
      <c r="AF133" t="n">
        <v>12.5</v>
      </c>
      <c r="AG133" t="inlineStr">
        <is>
          <t>Transplanting (Pindot) — optimal for clay-loam paddy fields</t>
        </is>
      </c>
      <c r="AH133" t="inlineStr">
        <is>
          <t>Wet Tillage (Puddling): 2 plowings + thorough harrowing under flooded condition</t>
        </is>
      </c>
      <c r="AI133" t="inlineStr">
        <is>
          <t>Continuous flooding 2–5 cm depth during vegetative stage; drain 2 weeks before harvest</t>
        </is>
      </c>
      <c r="AJ133" t="n">
        <v>1.05</v>
      </c>
      <c r="AK133" t="n">
        <v>8.4</v>
      </c>
      <c r="AL133" t="n">
        <v>8</v>
      </c>
      <c r="AM133" t="inlineStr">
        <is>
          <t>No</t>
        </is>
      </c>
      <c r="AN133" t="inlineStr">
        <is>
          <t>Observed harvest</t>
        </is>
      </c>
    </row>
    <row r="134">
      <c r="A134" t="inlineStr">
        <is>
          <t>Palay</t>
        </is>
      </c>
      <c r="B134" t="inlineStr">
        <is>
          <t>Dumayat</t>
        </is>
      </c>
      <c r="C134" t="inlineStr">
        <is>
          <t>DS 2008</t>
        </is>
      </c>
      <c r="D134" t="inlineStr">
        <is>
          <t>January</t>
        </is>
      </c>
      <c r="E134" t="inlineStr">
        <is>
          <t>2008</t>
        </is>
      </c>
      <c r="F134" t="inlineStr">
        <is>
          <t>May</t>
        </is>
      </c>
      <c r="G134" t="inlineStr">
        <is>
          <t>2008</t>
        </is>
      </c>
      <c r="H134" t="n">
        <v>1.45</v>
      </c>
      <c r="I134" t="n">
        <v>23.94</v>
      </c>
      <c r="J134" t="n">
        <v>17.59</v>
      </c>
      <c r="K134" t="n">
        <v>30.5</v>
      </c>
      <c r="L134" t="n">
        <v>81.62</v>
      </c>
      <c r="M134" t="n">
        <v>98.54000000000001</v>
      </c>
      <c r="N134" t="n">
        <v>16.06</v>
      </c>
      <c r="O134" t="n">
        <v>9.42</v>
      </c>
      <c r="P134" t="n">
        <v>26.41</v>
      </c>
      <c r="Q134" t="n">
        <v>21.86</v>
      </c>
      <c r="R134" t="n">
        <v>32.12</v>
      </c>
      <c r="S134" t="n">
        <v>82.65000000000001</v>
      </c>
      <c r="T134" t="n">
        <v>98.18000000000001</v>
      </c>
      <c r="U134" t="n">
        <v>19.49</v>
      </c>
      <c r="V134" t="inlineStr">
        <is>
          <t>Type I – Tropical Monsoon (PAGASA)</t>
        </is>
      </c>
      <c r="W134" t="inlineStr">
        <is>
          <t>Dry (Cool)</t>
        </is>
      </c>
      <c r="X134" t="inlineStr">
        <is>
          <t>Wet</t>
        </is>
      </c>
      <c r="Y134" t="inlineStr">
        <is>
          <t>Silty Clay Loam</t>
        </is>
      </c>
      <c r="Z134" t="inlineStr">
        <is>
          <t>Flat / Lowland</t>
        </is>
      </c>
      <c r="AA134" t="n">
        <v>30</v>
      </c>
      <c r="AB134" t="inlineStr">
        <is>
          <t>—</t>
        </is>
      </c>
      <c r="AC134" t="n">
        <v>266.28</v>
      </c>
      <c r="AD134" t="n">
        <v>2</v>
      </c>
      <c r="AE134" t="n">
        <v>35.32</v>
      </c>
      <c r="AF134" t="n">
        <v>12.25</v>
      </c>
      <c r="AG134" t="inlineStr">
        <is>
          <t>Transplanting (Pindot) — optimal for clay-loam paddy fields</t>
        </is>
      </c>
      <c r="AH134" t="inlineStr">
        <is>
          <t>Wet Tillage (Puddling): 2 plowings + thorough harrowing under flooded condition</t>
        </is>
      </c>
      <c r="AI134" t="inlineStr">
        <is>
          <t>Continuous flooding 2–5 cm depth during vegetative stage; drain 2 weeks before harvest</t>
        </is>
      </c>
      <c r="AJ134" t="n">
        <v>1.05</v>
      </c>
      <c r="AK134" t="n">
        <v>8.4</v>
      </c>
      <c r="AL134" t="n">
        <v>8</v>
      </c>
      <c r="AM134" t="inlineStr">
        <is>
          <t>No</t>
        </is>
      </c>
      <c r="AN134" t="inlineStr">
        <is>
          <t>Observed harvest</t>
        </is>
      </c>
    </row>
    <row r="135">
      <c r="A135" t="inlineStr">
        <is>
          <t>Palay</t>
        </is>
      </c>
      <c r="B135" t="inlineStr">
        <is>
          <t>Linmansangan</t>
        </is>
      </c>
      <c r="C135" t="inlineStr">
        <is>
          <t>DS 2008</t>
        </is>
      </c>
      <c r="D135" t="inlineStr">
        <is>
          <t>January</t>
        </is>
      </c>
      <c r="E135" t="inlineStr">
        <is>
          <t>2008</t>
        </is>
      </c>
      <c r="F135" t="inlineStr">
        <is>
          <t>May</t>
        </is>
      </c>
      <c r="G135" t="inlineStr">
        <is>
          <t>2008</t>
        </is>
      </c>
      <c r="H135" t="n">
        <v>1.45</v>
      </c>
      <c r="I135" t="n">
        <v>23.94</v>
      </c>
      <c r="J135" t="n">
        <v>17.59</v>
      </c>
      <c r="K135" t="n">
        <v>30.5</v>
      </c>
      <c r="L135" t="n">
        <v>81.62</v>
      </c>
      <c r="M135" t="n">
        <v>98.54000000000001</v>
      </c>
      <c r="N135" t="n">
        <v>16.06</v>
      </c>
      <c r="O135" t="n">
        <v>9.42</v>
      </c>
      <c r="P135" t="n">
        <v>26.41</v>
      </c>
      <c r="Q135" t="n">
        <v>21.86</v>
      </c>
      <c r="R135" t="n">
        <v>32.12</v>
      </c>
      <c r="S135" t="n">
        <v>82.65000000000001</v>
      </c>
      <c r="T135" t="n">
        <v>98.18000000000001</v>
      </c>
      <c r="U135" t="n">
        <v>19.49</v>
      </c>
      <c r="V135" t="inlineStr">
        <is>
          <t>Type I – Tropical Monsoon (PAGASA)</t>
        </is>
      </c>
      <c r="W135" t="inlineStr">
        <is>
          <t>Dry (Cool)</t>
        </is>
      </c>
      <c r="X135" t="inlineStr">
        <is>
          <t>Wet</t>
        </is>
      </c>
      <c r="Y135" t="inlineStr">
        <is>
          <t>Silty Clay Loam</t>
        </is>
      </c>
      <c r="Z135" t="inlineStr">
        <is>
          <t>Flat / Lowland</t>
        </is>
      </c>
      <c r="AA135" t="n">
        <v>30</v>
      </c>
      <c r="AB135" t="inlineStr">
        <is>
          <t>—</t>
        </is>
      </c>
      <c r="AC135" t="n">
        <v>492.24</v>
      </c>
      <c r="AD135" t="n">
        <v>2</v>
      </c>
      <c r="AE135" t="n">
        <v>81.66</v>
      </c>
      <c r="AF135" t="n">
        <v>12.25</v>
      </c>
      <c r="AG135" t="inlineStr">
        <is>
          <t>Transplanting (Pindot) — optimal for clay-loam paddy fields</t>
        </is>
      </c>
      <c r="AH135" t="inlineStr">
        <is>
          <t>Wet Tillage (Puddling): 2 plowings + thorough harrowing under flooded condition</t>
        </is>
      </c>
      <c r="AI135" t="inlineStr">
        <is>
          <t>Continuous flooding 2–5 cm depth during vegetative stage; drain 2 weeks before harvest</t>
        </is>
      </c>
      <c r="AJ135" t="n">
        <v>2.64</v>
      </c>
      <c r="AK135" t="n">
        <v>21.12</v>
      </c>
      <c r="AL135" t="n">
        <v>8</v>
      </c>
      <c r="AM135" t="inlineStr">
        <is>
          <t>No</t>
        </is>
      </c>
      <c r="AN135" t="inlineStr">
        <is>
          <t>Observed harvest</t>
        </is>
      </c>
    </row>
    <row r="136">
      <c r="A136" t="inlineStr">
        <is>
          <t>Palay</t>
        </is>
      </c>
      <c r="B136" t="inlineStr">
        <is>
          <t>Mangkasuy</t>
        </is>
      </c>
      <c r="C136" t="inlineStr">
        <is>
          <t>DS 2008</t>
        </is>
      </c>
      <c r="D136" t="inlineStr">
        <is>
          <t>January</t>
        </is>
      </c>
      <c r="E136" t="inlineStr">
        <is>
          <t>2008</t>
        </is>
      </c>
      <c r="F136" t="inlineStr">
        <is>
          <t>May</t>
        </is>
      </c>
      <c r="G136" t="inlineStr">
        <is>
          <t>2008</t>
        </is>
      </c>
      <c r="H136" t="n">
        <v>1.45</v>
      </c>
      <c r="I136" t="n">
        <v>23.94</v>
      </c>
      <c r="J136" t="n">
        <v>17.59</v>
      </c>
      <c r="K136" t="n">
        <v>30.5</v>
      </c>
      <c r="L136" t="n">
        <v>81.62</v>
      </c>
      <c r="M136" t="n">
        <v>98.54000000000001</v>
      </c>
      <c r="N136" t="n">
        <v>16.06</v>
      </c>
      <c r="O136" t="n">
        <v>9.42</v>
      </c>
      <c r="P136" t="n">
        <v>26.41</v>
      </c>
      <c r="Q136" t="n">
        <v>21.86</v>
      </c>
      <c r="R136" t="n">
        <v>32.12</v>
      </c>
      <c r="S136" t="n">
        <v>82.65000000000001</v>
      </c>
      <c r="T136" t="n">
        <v>98.18000000000001</v>
      </c>
      <c r="U136" t="n">
        <v>19.49</v>
      </c>
      <c r="V136" t="inlineStr">
        <is>
          <t>Type I – Tropical Monsoon (PAGASA)</t>
        </is>
      </c>
      <c r="W136" t="inlineStr">
        <is>
          <t>Dry (Cool)</t>
        </is>
      </c>
      <c r="X136" t="inlineStr">
        <is>
          <t>Wet</t>
        </is>
      </c>
      <c r="Y136" t="inlineStr">
        <is>
          <t>Sandy Loam</t>
        </is>
      </c>
      <c r="Z136" t="inlineStr">
        <is>
          <t>Flat / Lowland</t>
        </is>
      </c>
      <c r="AA136" t="n">
        <v>30</v>
      </c>
      <c r="AB136" t="inlineStr">
        <is>
          <t>Tagamusing River</t>
        </is>
      </c>
      <c r="AC136" t="n">
        <v>802.2</v>
      </c>
      <c r="AD136" t="n">
        <v>2</v>
      </c>
      <c r="AE136" t="n">
        <v>70.81999999999999</v>
      </c>
      <c r="AF136" t="n">
        <v>18</v>
      </c>
      <c r="AG136" t="inlineStr">
        <is>
          <t>Transplanting (Pindot) or Direct Seeding (Pinaghandaan)</t>
        </is>
      </c>
      <c r="AH136" t="inlineStr">
        <is>
          <t>Conventional Tillage: 2 plowings + 2 harrowings; soil workable when moist</t>
        </is>
      </c>
      <c r="AI136" t="inlineStr">
        <is>
          <t>Intermittent irrigation (Alternate Wetting and Drying — AWD); moderate retention</t>
        </is>
      </c>
      <c r="AJ136" t="n">
        <v>5.1</v>
      </c>
      <c r="AK136" t="n">
        <v>29.92</v>
      </c>
      <c r="AL136" t="n">
        <v>5.87</v>
      </c>
      <c r="AM136" t="inlineStr">
        <is>
          <t>No</t>
        </is>
      </c>
      <c r="AN136" t="inlineStr">
        <is>
          <t>Observed harvest</t>
        </is>
      </c>
    </row>
    <row r="137">
      <c r="A137" t="inlineStr">
        <is>
          <t>Palay</t>
        </is>
      </c>
      <c r="B137" t="inlineStr">
        <is>
          <t>Moreno</t>
        </is>
      </c>
      <c r="C137" t="inlineStr">
        <is>
          <t>DS 2008</t>
        </is>
      </c>
      <c r="D137" t="inlineStr">
        <is>
          <t>January</t>
        </is>
      </c>
      <c r="E137" t="inlineStr">
        <is>
          <t>2008</t>
        </is>
      </c>
      <c r="F137" t="inlineStr">
        <is>
          <t>May</t>
        </is>
      </c>
      <c r="G137" t="inlineStr">
        <is>
          <t>2008</t>
        </is>
      </c>
      <c r="H137" t="n">
        <v>1.45</v>
      </c>
      <c r="I137" t="n">
        <v>23.94</v>
      </c>
      <c r="J137" t="n">
        <v>17.59</v>
      </c>
      <c r="K137" t="n">
        <v>30.5</v>
      </c>
      <c r="L137" t="n">
        <v>81.62</v>
      </c>
      <c r="M137" t="n">
        <v>98.54000000000001</v>
      </c>
      <c r="N137" t="n">
        <v>16.06</v>
      </c>
      <c r="O137" t="n">
        <v>9.42</v>
      </c>
      <c r="P137" t="n">
        <v>26.41</v>
      </c>
      <c r="Q137" t="n">
        <v>21.86</v>
      </c>
      <c r="R137" t="n">
        <v>32.12</v>
      </c>
      <c r="S137" t="n">
        <v>82.65000000000001</v>
      </c>
      <c r="T137" t="n">
        <v>98.18000000000001</v>
      </c>
      <c r="U137" t="n">
        <v>19.49</v>
      </c>
      <c r="V137" t="inlineStr">
        <is>
          <t>Type I – Tropical Monsoon (PAGASA)</t>
        </is>
      </c>
      <c r="W137" t="inlineStr">
        <is>
          <t>Dry (Cool)</t>
        </is>
      </c>
      <c r="X137" t="inlineStr">
        <is>
          <t>Wet</t>
        </is>
      </c>
      <c r="Y137" t="inlineStr">
        <is>
          <t>Sandy Loam</t>
        </is>
      </c>
      <c r="Z137" t="inlineStr">
        <is>
          <t>Moderately Sloping / Highland</t>
        </is>
      </c>
      <c r="AA137" t="n">
        <v>90</v>
      </c>
      <c r="AB137" t="inlineStr">
        <is>
          <t>Alibeng River</t>
        </is>
      </c>
      <c r="AC137" t="n">
        <v>641.76</v>
      </c>
      <c r="AD137" t="n">
        <v>2</v>
      </c>
      <c r="AE137" t="n">
        <v>135.56</v>
      </c>
      <c r="AF137" t="n">
        <v>28.18</v>
      </c>
      <c r="AG137" t="inlineStr">
        <is>
          <t>Transplanting (Pindot) or Direct Seeding (Pinaghandaan)</t>
        </is>
      </c>
      <c r="AH137" t="inlineStr">
        <is>
          <t>Conventional Tillage: 2 plowings + 2 harrowings; soil workable when moist</t>
        </is>
      </c>
      <c r="AI137" t="inlineStr">
        <is>
          <t>Intermittent irrigation (Alternate Wetting and Drying — AWD); moderate retention; terrace or bund-assisted water retention essential on slopes</t>
        </is>
      </c>
      <c r="AJ137" t="n">
        <v>3.37</v>
      </c>
      <c r="AK137" t="n">
        <v>26.96</v>
      </c>
      <c r="AL137" t="n">
        <v>8</v>
      </c>
      <c r="AM137" t="inlineStr">
        <is>
          <t>No</t>
        </is>
      </c>
      <c r="AN137" t="inlineStr">
        <is>
          <t>Observed harvest</t>
        </is>
      </c>
    </row>
    <row r="138">
      <c r="A138" t="inlineStr">
        <is>
          <t>Palay</t>
        </is>
      </c>
      <c r="B138" t="inlineStr">
        <is>
          <t>Pasileng Norte</t>
        </is>
      </c>
      <c r="C138" t="inlineStr">
        <is>
          <t>DS 2008</t>
        </is>
      </c>
      <c r="D138" t="inlineStr">
        <is>
          <t>January</t>
        </is>
      </c>
      <c r="E138" t="inlineStr">
        <is>
          <t>2008</t>
        </is>
      </c>
      <c r="F138" t="inlineStr">
        <is>
          <t>May</t>
        </is>
      </c>
      <c r="G138" t="inlineStr">
        <is>
          <t>2008</t>
        </is>
      </c>
      <c r="H138" t="n">
        <v>1.45</v>
      </c>
      <c r="I138" t="n">
        <v>23.94</v>
      </c>
      <c r="J138" t="n">
        <v>17.59</v>
      </c>
      <c r="K138" t="n">
        <v>30.5</v>
      </c>
      <c r="L138" t="n">
        <v>81.62</v>
      </c>
      <c r="M138" t="n">
        <v>98.54000000000001</v>
      </c>
      <c r="N138" t="n">
        <v>16.06</v>
      </c>
      <c r="O138" t="n">
        <v>9.42</v>
      </c>
      <c r="P138" t="n">
        <v>26.41</v>
      </c>
      <c r="Q138" t="n">
        <v>21.86</v>
      </c>
      <c r="R138" t="n">
        <v>32.12</v>
      </c>
      <c r="S138" t="n">
        <v>82.65000000000001</v>
      </c>
      <c r="T138" t="n">
        <v>98.18000000000001</v>
      </c>
      <c r="U138" t="n">
        <v>19.49</v>
      </c>
      <c r="V138" t="inlineStr">
        <is>
          <t>Type I – Tropical Monsoon (PAGASA)</t>
        </is>
      </c>
      <c r="W138" t="inlineStr">
        <is>
          <t>Dry (Cool)</t>
        </is>
      </c>
      <c r="X138" t="inlineStr">
        <is>
          <t>Wet</t>
        </is>
      </c>
      <c r="Y138" t="inlineStr">
        <is>
          <t>Sandy Loam</t>
        </is>
      </c>
      <c r="Z138" t="inlineStr">
        <is>
          <t>Flat / Lowland</t>
        </is>
      </c>
      <c r="AA138" t="n">
        <v>30</v>
      </c>
      <c r="AB138" t="inlineStr">
        <is>
          <t>Tagamusing River</t>
        </is>
      </c>
      <c r="AC138" t="n">
        <v>140.28</v>
      </c>
      <c r="AD138" t="n">
        <v>9.34</v>
      </c>
      <c r="AE138" t="n">
        <v>26.4</v>
      </c>
      <c r="AF138" t="n">
        <v>74.5</v>
      </c>
      <c r="AG138" t="inlineStr">
        <is>
          <t>Transplanting (Pindot) or Direct Seeding (Pinaghandaan)</t>
        </is>
      </c>
      <c r="AH138" t="inlineStr">
        <is>
          <t>Conventional Tillage: 2 plowings + 2 harrowings; soil workable when moist</t>
        </is>
      </c>
      <c r="AI138" t="inlineStr">
        <is>
          <t>Intermittent irrigation (Alternate Wetting and Drying — AWD); moderate retention</t>
        </is>
      </c>
      <c r="AJ138" t="n">
        <v>3.83</v>
      </c>
      <c r="AK138" t="n">
        <v>15.85</v>
      </c>
      <c r="AL138" t="n">
        <v>4.14</v>
      </c>
      <c r="AM138" t="inlineStr">
        <is>
          <t>No</t>
        </is>
      </c>
      <c r="AN138" t="inlineStr">
        <is>
          <t>Observed harvest</t>
        </is>
      </c>
    </row>
    <row r="139">
      <c r="A139" t="inlineStr">
        <is>
          <t>Palay</t>
        </is>
      </c>
      <c r="B139" t="inlineStr">
        <is>
          <t>Pasileng Sur</t>
        </is>
      </c>
      <c r="C139" t="inlineStr">
        <is>
          <t>DS 2008</t>
        </is>
      </c>
      <c r="D139" t="inlineStr">
        <is>
          <t>January</t>
        </is>
      </c>
      <c r="E139" t="inlineStr">
        <is>
          <t>2008</t>
        </is>
      </c>
      <c r="F139" t="inlineStr">
        <is>
          <t>May</t>
        </is>
      </c>
      <c r="G139" t="inlineStr">
        <is>
          <t>2008</t>
        </is>
      </c>
      <c r="H139" t="n">
        <v>1.45</v>
      </c>
      <c r="I139" t="n">
        <v>23.94</v>
      </c>
      <c r="J139" t="n">
        <v>17.59</v>
      </c>
      <c r="K139" t="n">
        <v>30.5</v>
      </c>
      <c r="L139" t="n">
        <v>81.62</v>
      </c>
      <c r="M139" t="n">
        <v>98.54000000000001</v>
      </c>
      <c r="N139" t="n">
        <v>16.06</v>
      </c>
      <c r="O139" t="n">
        <v>9.42</v>
      </c>
      <c r="P139" t="n">
        <v>26.41</v>
      </c>
      <c r="Q139" t="n">
        <v>21.86</v>
      </c>
      <c r="R139" t="n">
        <v>32.12</v>
      </c>
      <c r="S139" t="n">
        <v>82.65000000000001</v>
      </c>
      <c r="T139" t="n">
        <v>98.18000000000001</v>
      </c>
      <c r="U139" t="n">
        <v>19.49</v>
      </c>
      <c r="V139" t="inlineStr">
        <is>
          <t>Type I – Tropical Monsoon (PAGASA)</t>
        </is>
      </c>
      <c r="W139" t="inlineStr">
        <is>
          <t>Dry (Cool)</t>
        </is>
      </c>
      <c r="X139" t="inlineStr">
        <is>
          <t>Wet</t>
        </is>
      </c>
      <c r="Y139" t="inlineStr">
        <is>
          <t>Sandy Loam</t>
        </is>
      </c>
      <c r="Z139" t="inlineStr">
        <is>
          <t>Flat / Lowland</t>
        </is>
      </c>
      <c r="AA139" t="n">
        <v>30</v>
      </c>
      <c r="AB139" t="inlineStr">
        <is>
          <t>Tagamusing River</t>
        </is>
      </c>
      <c r="AC139" t="n">
        <v>414.96</v>
      </c>
      <c r="AD139" t="n">
        <v>15.52</v>
      </c>
      <c r="AE139" t="n">
        <v>41.02</v>
      </c>
      <c r="AF139" t="n">
        <v>102</v>
      </c>
      <c r="AG139" t="inlineStr">
        <is>
          <t>Transplanting (Pindot) or Direct Seeding (Pinaghandaan)</t>
        </is>
      </c>
      <c r="AH139" t="inlineStr">
        <is>
          <t>Conventional Tillage: 2 plowings + 2 harrowings; soil workable when moist</t>
        </is>
      </c>
      <c r="AI139" t="inlineStr">
        <is>
          <t>Intermittent irrigation (Alternate Wetting and Drying — AWD); moderate retention</t>
        </is>
      </c>
      <c r="AJ139" t="n">
        <v>6.21</v>
      </c>
      <c r="AK139" t="n">
        <v>33.9</v>
      </c>
      <c r="AL139" t="n">
        <v>5.46</v>
      </c>
      <c r="AM139" t="inlineStr">
        <is>
          <t>No</t>
        </is>
      </c>
      <c r="AN139" t="inlineStr">
        <is>
          <t>Observed harvest</t>
        </is>
      </c>
    </row>
    <row r="140">
      <c r="A140" t="inlineStr">
        <is>
          <t>Palay</t>
        </is>
      </c>
      <c r="B140" t="inlineStr">
        <is>
          <t>San Felipe Central</t>
        </is>
      </c>
      <c r="C140" t="inlineStr">
        <is>
          <t>DS 2008</t>
        </is>
      </c>
      <c r="D140" t="inlineStr">
        <is>
          <t>January</t>
        </is>
      </c>
      <c r="E140" t="inlineStr">
        <is>
          <t>2008</t>
        </is>
      </c>
      <c r="F140" t="inlineStr">
        <is>
          <t>May</t>
        </is>
      </c>
      <c r="G140" t="inlineStr">
        <is>
          <t>2008</t>
        </is>
      </c>
      <c r="H140" t="n">
        <v>1.45</v>
      </c>
      <c r="I140" t="n">
        <v>23.94</v>
      </c>
      <c r="J140" t="n">
        <v>17.59</v>
      </c>
      <c r="K140" t="n">
        <v>30.5</v>
      </c>
      <c r="L140" t="n">
        <v>81.62</v>
      </c>
      <c r="M140" t="n">
        <v>98.54000000000001</v>
      </c>
      <c r="N140" t="n">
        <v>16.06</v>
      </c>
      <c r="O140" t="n">
        <v>9.42</v>
      </c>
      <c r="P140" t="n">
        <v>26.41</v>
      </c>
      <c r="Q140" t="n">
        <v>21.86</v>
      </c>
      <c r="R140" t="n">
        <v>32.12</v>
      </c>
      <c r="S140" t="n">
        <v>82.65000000000001</v>
      </c>
      <c r="T140" t="n">
        <v>98.18000000000001</v>
      </c>
      <c r="U140" t="n">
        <v>19.49</v>
      </c>
      <c r="V140" t="inlineStr">
        <is>
          <t>Type I – Tropical Monsoon (PAGASA)</t>
        </is>
      </c>
      <c r="W140" t="inlineStr">
        <is>
          <t>Dry (Cool)</t>
        </is>
      </c>
      <c r="X140" t="inlineStr">
        <is>
          <t>Wet</t>
        </is>
      </c>
      <c r="Y140" t="inlineStr">
        <is>
          <t>Sandy Loam</t>
        </is>
      </c>
      <c r="Z140" t="inlineStr">
        <is>
          <t>Flat / Lowland</t>
        </is>
      </c>
      <c r="AA140" t="n">
        <v>30</v>
      </c>
      <c r="AB140" t="inlineStr">
        <is>
          <t>—</t>
        </is>
      </c>
      <c r="AC140" t="n">
        <v>452.76</v>
      </c>
      <c r="AD140" t="n">
        <v>10.77</v>
      </c>
      <c r="AE140" t="n">
        <v>41.02</v>
      </c>
      <c r="AF140" t="n">
        <v>169.2</v>
      </c>
      <c r="AG140" t="inlineStr">
        <is>
          <t>Transplanting (Pindot) or Direct Seeding (Pinaghandaan)</t>
        </is>
      </c>
      <c r="AH140" t="inlineStr">
        <is>
          <t>Conventional Tillage: 2 plowings + 2 harrowings; soil workable when moist</t>
        </is>
      </c>
      <c r="AI140" t="inlineStr">
        <is>
          <t>Intermittent irrigation (Alternate Wetting and Drying — AWD); moderate retention</t>
        </is>
      </c>
      <c r="AJ140" t="n">
        <v>1</v>
      </c>
      <c r="AK140" t="n">
        <v>8</v>
      </c>
      <c r="AL140" t="n">
        <v>8</v>
      </c>
      <c r="AM140" t="inlineStr">
        <is>
          <t>No</t>
        </is>
      </c>
      <c r="AN140" t="inlineStr">
        <is>
          <t>Observed harvest</t>
        </is>
      </c>
    </row>
    <row r="141">
      <c r="A141" t="inlineStr">
        <is>
          <t>Palay</t>
        </is>
      </c>
      <c r="B141" t="inlineStr">
        <is>
          <t>San Felipe Sur</t>
        </is>
      </c>
      <c r="C141" t="inlineStr">
        <is>
          <t>DS 2008</t>
        </is>
      </c>
      <c r="D141" t="inlineStr">
        <is>
          <t>January</t>
        </is>
      </c>
      <c r="E141" t="inlineStr">
        <is>
          <t>2008</t>
        </is>
      </c>
      <c r="F141" t="inlineStr">
        <is>
          <t>May</t>
        </is>
      </c>
      <c r="G141" t="inlineStr">
        <is>
          <t>2008</t>
        </is>
      </c>
      <c r="H141" t="n">
        <v>1.45</v>
      </c>
      <c r="I141" t="n">
        <v>23.94</v>
      </c>
      <c r="J141" t="n">
        <v>17.59</v>
      </c>
      <c r="K141" t="n">
        <v>30.5</v>
      </c>
      <c r="L141" t="n">
        <v>81.62</v>
      </c>
      <c r="M141" t="n">
        <v>98.54000000000001</v>
      </c>
      <c r="N141" t="n">
        <v>16.06</v>
      </c>
      <c r="O141" t="n">
        <v>9.42</v>
      </c>
      <c r="P141" t="n">
        <v>26.41</v>
      </c>
      <c r="Q141" t="n">
        <v>21.86</v>
      </c>
      <c r="R141" t="n">
        <v>32.12</v>
      </c>
      <c r="S141" t="n">
        <v>82.65000000000001</v>
      </c>
      <c r="T141" t="n">
        <v>98.18000000000001</v>
      </c>
      <c r="U141" t="n">
        <v>19.49</v>
      </c>
      <c r="V141" t="inlineStr">
        <is>
          <t>Type I – Tropical Monsoon (PAGASA)</t>
        </is>
      </c>
      <c r="W141" t="inlineStr">
        <is>
          <t>Dry (Cool)</t>
        </is>
      </c>
      <c r="X141" t="inlineStr">
        <is>
          <t>Wet</t>
        </is>
      </c>
      <c r="Y141" t="inlineStr">
        <is>
          <t>Sandy Loam</t>
        </is>
      </c>
      <c r="Z141" t="inlineStr">
        <is>
          <t>Flat / Lowland</t>
        </is>
      </c>
      <c r="AA141" t="n">
        <v>30</v>
      </c>
      <c r="AB141" t="inlineStr">
        <is>
          <t>Tagamusing River</t>
        </is>
      </c>
      <c r="AC141" t="n">
        <v>504</v>
      </c>
      <c r="AD141" t="n">
        <v>2</v>
      </c>
      <c r="AE141" t="n">
        <v>26.4</v>
      </c>
      <c r="AF141" t="n">
        <v>168</v>
      </c>
      <c r="AG141" t="inlineStr">
        <is>
          <t>Transplanting (Pindot) or Direct Seeding (Pinaghandaan)</t>
        </is>
      </c>
      <c r="AH141" t="inlineStr">
        <is>
          <t>Conventional Tillage: 2 plowings + 2 harrowings; soil workable when moist</t>
        </is>
      </c>
      <c r="AI141" t="inlineStr">
        <is>
          <t>Intermittent irrigation (Alternate Wetting and Drying — AWD); moderate retention</t>
        </is>
      </c>
      <c r="AJ141" t="n">
        <v>4.46</v>
      </c>
      <c r="AK141" t="n">
        <v>28.22</v>
      </c>
      <c r="AL141" t="n">
        <v>6.33</v>
      </c>
      <c r="AM141" t="inlineStr">
        <is>
          <t>No</t>
        </is>
      </c>
      <c r="AN141" t="inlineStr">
        <is>
          <t>Observed harvest</t>
        </is>
      </c>
    </row>
    <row r="142">
      <c r="A142" t="inlineStr">
        <is>
          <t>Palay</t>
        </is>
      </c>
      <c r="B142" t="inlineStr">
        <is>
          <t>San Pablo</t>
        </is>
      </c>
      <c r="C142" t="inlineStr">
        <is>
          <t>DS 2008</t>
        </is>
      </c>
      <c r="D142" t="inlineStr">
        <is>
          <t>January</t>
        </is>
      </c>
      <c r="E142" t="inlineStr">
        <is>
          <t>2008</t>
        </is>
      </c>
      <c r="F142" t="inlineStr">
        <is>
          <t>May</t>
        </is>
      </c>
      <c r="G142" t="inlineStr">
        <is>
          <t>2008</t>
        </is>
      </c>
      <c r="H142" t="n">
        <v>1.45</v>
      </c>
      <c r="I142" t="n">
        <v>23.94</v>
      </c>
      <c r="J142" t="n">
        <v>17.59</v>
      </c>
      <c r="K142" t="n">
        <v>30.5</v>
      </c>
      <c r="L142" t="n">
        <v>81.62</v>
      </c>
      <c r="M142" t="n">
        <v>98.54000000000001</v>
      </c>
      <c r="N142" t="n">
        <v>16.06</v>
      </c>
      <c r="O142" t="n">
        <v>9.42</v>
      </c>
      <c r="P142" t="n">
        <v>26.41</v>
      </c>
      <c r="Q142" t="n">
        <v>21.86</v>
      </c>
      <c r="R142" t="n">
        <v>32.12</v>
      </c>
      <c r="S142" t="n">
        <v>82.65000000000001</v>
      </c>
      <c r="T142" t="n">
        <v>98.18000000000001</v>
      </c>
      <c r="U142" t="n">
        <v>19.49</v>
      </c>
      <c r="V142" t="inlineStr">
        <is>
          <t>Type I – Tropical Monsoon (PAGASA)</t>
        </is>
      </c>
      <c r="W142" t="inlineStr">
        <is>
          <t>Dry (Cool)</t>
        </is>
      </c>
      <c r="X142" t="inlineStr">
        <is>
          <t>Wet</t>
        </is>
      </c>
      <c r="Y142" t="inlineStr">
        <is>
          <t>Sandy Loam</t>
        </is>
      </c>
      <c r="Z142" t="inlineStr">
        <is>
          <t>Flat / Lowland</t>
        </is>
      </c>
      <c r="AA142" t="n">
        <v>30</v>
      </c>
      <c r="AB142" t="inlineStr">
        <is>
          <t>San Pablo Creek</t>
        </is>
      </c>
      <c r="AC142" t="n">
        <v>215.04</v>
      </c>
      <c r="AD142" t="n">
        <v>4.37</v>
      </c>
      <c r="AE142" t="n">
        <v>20.7</v>
      </c>
      <c r="AF142" t="n">
        <v>134</v>
      </c>
      <c r="AG142" t="inlineStr">
        <is>
          <t>Transplanting (Pindot) or Direct Seeding (Pinaghandaan)</t>
        </is>
      </c>
      <c r="AH142" t="inlineStr">
        <is>
          <t>Conventional Tillage: 2 plowings + 2 harrowings; soil workable when moist</t>
        </is>
      </c>
      <c r="AI142" t="inlineStr">
        <is>
          <t>Intermittent irrigation (Alternate Wetting and Drying — AWD); moderate retention</t>
        </is>
      </c>
      <c r="AJ142" t="n">
        <v>5.11</v>
      </c>
      <c r="AK142" t="n">
        <v>18.2</v>
      </c>
      <c r="AL142" t="n">
        <v>3.56</v>
      </c>
      <c r="AM142" t="inlineStr">
        <is>
          <t>No</t>
        </is>
      </c>
      <c r="AN142" t="inlineStr">
        <is>
          <t>Observed harvest</t>
        </is>
      </c>
    </row>
    <row r="143">
      <c r="A143" t="inlineStr">
        <is>
          <t>Palay</t>
        </is>
      </c>
      <c r="B143" t="inlineStr">
        <is>
          <t>Santiago</t>
        </is>
      </c>
      <c r="C143" t="inlineStr">
        <is>
          <t>DS 2008</t>
        </is>
      </c>
      <c r="D143" t="inlineStr">
        <is>
          <t>January</t>
        </is>
      </c>
      <c r="E143" t="inlineStr">
        <is>
          <t>2008</t>
        </is>
      </c>
      <c r="F143" t="inlineStr">
        <is>
          <t>May</t>
        </is>
      </c>
      <c r="G143" t="inlineStr">
        <is>
          <t>2008</t>
        </is>
      </c>
      <c r="H143" t="n">
        <v>1.45</v>
      </c>
      <c r="I143" t="n">
        <v>23.94</v>
      </c>
      <c r="J143" t="n">
        <v>17.59</v>
      </c>
      <c r="K143" t="n">
        <v>30.5</v>
      </c>
      <c r="L143" t="n">
        <v>81.62</v>
      </c>
      <c r="M143" t="n">
        <v>98.54000000000001</v>
      </c>
      <c r="N143" t="n">
        <v>16.06</v>
      </c>
      <c r="O143" t="n">
        <v>9.42</v>
      </c>
      <c r="P143" t="n">
        <v>26.41</v>
      </c>
      <c r="Q143" t="n">
        <v>21.86</v>
      </c>
      <c r="R143" t="n">
        <v>32.12</v>
      </c>
      <c r="S143" t="n">
        <v>82.65000000000001</v>
      </c>
      <c r="T143" t="n">
        <v>98.18000000000001</v>
      </c>
      <c r="U143" t="n">
        <v>19.49</v>
      </c>
      <c r="V143" t="inlineStr">
        <is>
          <t>Type I – Tropical Monsoon (PAGASA)</t>
        </is>
      </c>
      <c r="W143" t="inlineStr">
        <is>
          <t>Dry (Cool)</t>
        </is>
      </c>
      <c r="X143" t="inlineStr">
        <is>
          <t>Wet</t>
        </is>
      </c>
      <c r="Y143" t="inlineStr">
        <is>
          <t>Silty Clay Loam</t>
        </is>
      </c>
      <c r="Z143" t="inlineStr">
        <is>
          <t>Flat / Lowland</t>
        </is>
      </c>
      <c r="AA143" t="n">
        <v>30</v>
      </c>
      <c r="AB143" t="inlineStr">
        <is>
          <t>—</t>
        </is>
      </c>
      <c r="AC143" t="n">
        <v>283.08</v>
      </c>
      <c r="AD143" t="n">
        <v>15.54</v>
      </c>
      <c r="AE143" t="n">
        <v>81.66</v>
      </c>
      <c r="AF143" t="n">
        <v>85.18000000000001</v>
      </c>
      <c r="AG143" t="inlineStr">
        <is>
          <t>Transplanting (Pindot) — optimal for clay-loam paddy fields</t>
        </is>
      </c>
      <c r="AH143" t="inlineStr">
        <is>
          <t>Wet Tillage (Puddling): 2 plowings + thorough harrowing under flooded condition</t>
        </is>
      </c>
      <c r="AI143" t="inlineStr">
        <is>
          <t>Continuous flooding 2–5 cm depth during vegetative stage; drain 2 weeks before harvest</t>
        </is>
      </c>
      <c r="AJ143" t="n">
        <v>1.74</v>
      </c>
      <c r="AK143" t="n">
        <v>13.92</v>
      </c>
      <c r="AL143" t="n">
        <v>8</v>
      </c>
      <c r="AM143" t="inlineStr">
        <is>
          <t>No</t>
        </is>
      </c>
      <c r="AN143" t="inlineStr">
        <is>
          <t>Observed harvest</t>
        </is>
      </c>
    </row>
    <row r="144">
      <c r="A144" t="inlineStr">
        <is>
          <t>Palay</t>
        </is>
      </c>
      <c r="B144" t="inlineStr">
        <is>
          <t>Sta. Catalina</t>
        </is>
      </c>
      <c r="C144" t="inlineStr">
        <is>
          <t>DS 2008</t>
        </is>
      </c>
      <c r="D144" t="inlineStr">
        <is>
          <t>January</t>
        </is>
      </c>
      <c r="E144" t="inlineStr">
        <is>
          <t>2008</t>
        </is>
      </c>
      <c r="F144" t="inlineStr">
        <is>
          <t>May</t>
        </is>
      </c>
      <c r="G144" t="inlineStr">
        <is>
          <t>2008</t>
        </is>
      </c>
      <c r="H144" t="n">
        <v>1.45</v>
      </c>
      <c r="I144" t="n">
        <v>23.94</v>
      </c>
      <c r="J144" t="n">
        <v>17.59</v>
      </c>
      <c r="K144" t="n">
        <v>30.5</v>
      </c>
      <c r="L144" t="n">
        <v>81.62</v>
      </c>
      <c r="M144" t="n">
        <v>98.54000000000001</v>
      </c>
      <c r="N144" t="n">
        <v>16.06</v>
      </c>
      <c r="O144" t="n">
        <v>9.42</v>
      </c>
      <c r="P144" t="n">
        <v>26.41</v>
      </c>
      <c r="Q144" t="n">
        <v>21.86</v>
      </c>
      <c r="R144" t="n">
        <v>32.12</v>
      </c>
      <c r="S144" t="n">
        <v>82.65000000000001</v>
      </c>
      <c r="T144" t="n">
        <v>98.18000000000001</v>
      </c>
      <c r="U144" t="n">
        <v>19.49</v>
      </c>
      <c r="V144" t="inlineStr">
        <is>
          <t>Type I – Tropical Monsoon (PAGASA)</t>
        </is>
      </c>
      <c r="W144" t="inlineStr">
        <is>
          <t>Dry (Cool)</t>
        </is>
      </c>
      <c r="X144" t="inlineStr">
        <is>
          <t>Wet</t>
        </is>
      </c>
      <c r="Y144" t="inlineStr">
        <is>
          <t>Fine Sand / Sandy Loam</t>
        </is>
      </c>
      <c r="Z144" t="inlineStr">
        <is>
          <t>Moderately Sloping / Highland</t>
        </is>
      </c>
      <c r="AA144" t="n">
        <v>90</v>
      </c>
      <c r="AB144" t="inlineStr">
        <is>
          <t>—</t>
        </is>
      </c>
      <c r="AC144" t="n">
        <v>709.8</v>
      </c>
      <c r="AD144" t="n">
        <v>2</v>
      </c>
      <c r="AE144" t="n">
        <v>145.04</v>
      </c>
      <c r="AF144" t="n">
        <v>40.06</v>
      </c>
      <c r="AG144" t="inlineStr">
        <is>
          <t>Transplanting (Pindot)</t>
        </is>
      </c>
      <c r="AH144" t="inlineStr">
        <is>
          <t>Minimum Tillage (avoid compaction; sandy structure fragile)</t>
        </is>
      </c>
      <c r="AI144" t="inlineStr">
        <is>
          <t>Continuous flooding or frequent irrigation; high percolation risk; terrace or bund-assisted water retention essential on slopes</t>
        </is>
      </c>
      <c r="AJ144" t="n">
        <v>3.4</v>
      </c>
      <c r="AK144" t="n">
        <v>27.2</v>
      </c>
      <c r="AL144" t="n">
        <v>8</v>
      </c>
      <c r="AM144" t="inlineStr">
        <is>
          <t>No</t>
        </is>
      </c>
      <c r="AN144" t="inlineStr">
        <is>
          <t>Observed harvest</t>
        </is>
      </c>
    </row>
    <row r="145">
      <c r="A145" t="inlineStr">
        <is>
          <t>Palay</t>
        </is>
      </c>
      <c r="B145" t="inlineStr">
        <is>
          <t>Sta. Maria Norte</t>
        </is>
      </c>
      <c r="C145" t="inlineStr">
        <is>
          <t>DS 2008</t>
        </is>
      </c>
      <c r="D145" t="inlineStr">
        <is>
          <t>January</t>
        </is>
      </c>
      <c r="E145" t="inlineStr">
        <is>
          <t>2008</t>
        </is>
      </c>
      <c r="F145" t="inlineStr">
        <is>
          <t>May</t>
        </is>
      </c>
      <c r="G145" t="inlineStr">
        <is>
          <t>2008</t>
        </is>
      </c>
      <c r="H145" t="n">
        <v>1.45</v>
      </c>
      <c r="I145" t="n">
        <v>23.94</v>
      </c>
      <c r="J145" t="n">
        <v>17.59</v>
      </c>
      <c r="K145" t="n">
        <v>30.5</v>
      </c>
      <c r="L145" t="n">
        <v>81.62</v>
      </c>
      <c r="M145" t="n">
        <v>98.54000000000001</v>
      </c>
      <c r="N145" t="n">
        <v>16.06</v>
      </c>
      <c r="O145" t="n">
        <v>9.42</v>
      </c>
      <c r="P145" t="n">
        <v>26.41</v>
      </c>
      <c r="Q145" t="n">
        <v>21.86</v>
      </c>
      <c r="R145" t="n">
        <v>32.12</v>
      </c>
      <c r="S145" t="n">
        <v>82.65000000000001</v>
      </c>
      <c r="T145" t="n">
        <v>98.18000000000001</v>
      </c>
      <c r="U145" t="n">
        <v>19.49</v>
      </c>
      <c r="V145" t="inlineStr">
        <is>
          <t>Type I – Tropical Monsoon (PAGASA)</t>
        </is>
      </c>
      <c r="W145" t="inlineStr">
        <is>
          <t>Dry (Cool)</t>
        </is>
      </c>
      <c r="X145" t="inlineStr">
        <is>
          <t>Wet</t>
        </is>
      </c>
      <c r="Y145" t="inlineStr">
        <is>
          <t>Sandy Loam</t>
        </is>
      </c>
      <c r="Z145" t="inlineStr">
        <is>
          <t>Flat / Lowland</t>
        </is>
      </c>
      <c r="AA145" t="n">
        <v>30</v>
      </c>
      <c r="AB145" t="inlineStr">
        <is>
          <t>Tagamusing River</t>
        </is>
      </c>
      <c r="AC145" t="n">
        <v>157.08</v>
      </c>
      <c r="AD145" t="n">
        <v>2</v>
      </c>
      <c r="AE145" t="n">
        <v>20.7</v>
      </c>
      <c r="AF145" t="n">
        <v>25.5</v>
      </c>
      <c r="AG145" t="inlineStr">
        <is>
          <t>Transplanting (Pindot) or Direct Seeding (Pinaghandaan)</t>
        </is>
      </c>
      <c r="AH145" t="inlineStr">
        <is>
          <t>Conventional Tillage: 2 plowings + 2 harrowings; soil workable when moist</t>
        </is>
      </c>
      <c r="AI145" t="inlineStr">
        <is>
          <t>Intermittent irrigation (Alternate Wetting and Drying — AWD); moderate retention</t>
        </is>
      </c>
      <c r="AJ145" t="n">
        <v>5.4</v>
      </c>
      <c r="AK145" t="n">
        <v>19.94</v>
      </c>
      <c r="AL145" t="n">
        <v>3.69</v>
      </c>
      <c r="AM145" t="inlineStr">
        <is>
          <t>No</t>
        </is>
      </c>
      <c r="AN145" t="inlineStr">
        <is>
          <t>Observed harvest</t>
        </is>
      </c>
    </row>
    <row r="146">
      <c r="A146" t="inlineStr">
        <is>
          <t>Palay</t>
        </is>
      </c>
      <c r="B146" t="inlineStr">
        <is>
          <t>Sumabnit</t>
        </is>
      </c>
      <c r="C146" t="inlineStr">
        <is>
          <t>DS 2008</t>
        </is>
      </c>
      <c r="D146" t="inlineStr">
        <is>
          <t>January</t>
        </is>
      </c>
      <c r="E146" t="inlineStr">
        <is>
          <t>2008</t>
        </is>
      </c>
      <c r="F146" t="inlineStr">
        <is>
          <t>May</t>
        </is>
      </c>
      <c r="G146" t="inlineStr">
        <is>
          <t>2008</t>
        </is>
      </c>
      <c r="H146" t="n">
        <v>1.45</v>
      </c>
      <c r="I146" t="n">
        <v>23.94</v>
      </c>
      <c r="J146" t="n">
        <v>17.59</v>
      </c>
      <c r="K146" t="n">
        <v>30.5</v>
      </c>
      <c r="L146" t="n">
        <v>81.62</v>
      </c>
      <c r="M146" t="n">
        <v>98.54000000000001</v>
      </c>
      <c r="N146" t="n">
        <v>16.06</v>
      </c>
      <c r="O146" t="n">
        <v>9.42</v>
      </c>
      <c r="P146" t="n">
        <v>26.41</v>
      </c>
      <c r="Q146" t="n">
        <v>21.86</v>
      </c>
      <c r="R146" t="n">
        <v>32.12</v>
      </c>
      <c r="S146" t="n">
        <v>82.65000000000001</v>
      </c>
      <c r="T146" t="n">
        <v>98.18000000000001</v>
      </c>
      <c r="U146" t="n">
        <v>19.49</v>
      </c>
      <c r="V146" t="inlineStr">
        <is>
          <t>Type I – Tropical Monsoon (PAGASA)</t>
        </is>
      </c>
      <c r="W146" t="inlineStr">
        <is>
          <t>Dry (Cool)</t>
        </is>
      </c>
      <c r="X146" t="inlineStr">
        <is>
          <t>Wet</t>
        </is>
      </c>
      <c r="Y146" t="inlineStr">
        <is>
          <t>Silty Clay Loam / Fine Sandy Loam</t>
        </is>
      </c>
      <c r="Z146" t="inlineStr">
        <is>
          <t>Flat / Lowland</t>
        </is>
      </c>
      <c r="AA146" t="n">
        <v>30</v>
      </c>
      <c r="AB146" t="inlineStr">
        <is>
          <t>Tagamusing River</t>
        </is>
      </c>
      <c r="AC146" t="n">
        <v>406.56</v>
      </c>
      <c r="AD146" t="n">
        <v>10.68</v>
      </c>
      <c r="AE146" t="n">
        <v>81.66</v>
      </c>
      <c r="AF146" t="n">
        <v>10.5</v>
      </c>
      <c r="AG146" t="inlineStr">
        <is>
          <t>Transplanting (Pindot)</t>
        </is>
      </c>
      <c r="AH146" t="inlineStr">
        <is>
          <t>Minimum Tillage (avoid compaction; sandy structure fragile)</t>
        </is>
      </c>
      <c r="AI146" t="inlineStr">
        <is>
          <t>Continuous flooding or frequent irrigation; high percolation risk</t>
        </is>
      </c>
      <c r="AJ146" t="n">
        <v>1.9</v>
      </c>
      <c r="AK146" t="n">
        <v>15.2</v>
      </c>
      <c r="AL146" t="n">
        <v>8</v>
      </c>
      <c r="AM146" t="inlineStr">
        <is>
          <t>No</t>
        </is>
      </c>
      <c r="AN146" t="inlineStr">
        <is>
          <t>Observed harvest</t>
        </is>
      </c>
    </row>
    <row r="147">
      <c r="A147" t="inlineStr">
        <is>
          <t>Palay</t>
        </is>
      </c>
      <c r="B147" t="inlineStr">
        <is>
          <t>Tabuyoc</t>
        </is>
      </c>
      <c r="C147" t="inlineStr">
        <is>
          <t>DS 2008</t>
        </is>
      </c>
      <c r="D147" t="inlineStr">
        <is>
          <t>January</t>
        </is>
      </c>
      <c r="E147" t="inlineStr">
        <is>
          <t>2008</t>
        </is>
      </c>
      <c r="F147" t="inlineStr">
        <is>
          <t>May</t>
        </is>
      </c>
      <c r="G147" t="inlineStr">
        <is>
          <t>2008</t>
        </is>
      </c>
      <c r="H147" t="n">
        <v>1.45</v>
      </c>
      <c r="I147" t="n">
        <v>23.94</v>
      </c>
      <c r="J147" t="n">
        <v>17.59</v>
      </c>
      <c r="K147" t="n">
        <v>30.5</v>
      </c>
      <c r="L147" t="n">
        <v>81.62</v>
      </c>
      <c r="M147" t="n">
        <v>98.54000000000001</v>
      </c>
      <c r="N147" t="n">
        <v>16.06</v>
      </c>
      <c r="O147" t="n">
        <v>9.42</v>
      </c>
      <c r="P147" t="n">
        <v>26.41</v>
      </c>
      <c r="Q147" t="n">
        <v>21.86</v>
      </c>
      <c r="R147" t="n">
        <v>32.12</v>
      </c>
      <c r="S147" t="n">
        <v>82.65000000000001</v>
      </c>
      <c r="T147" t="n">
        <v>98.18000000000001</v>
      </c>
      <c r="U147" t="n">
        <v>19.49</v>
      </c>
      <c r="V147" t="inlineStr">
        <is>
          <t>Type I – Tropical Monsoon (PAGASA)</t>
        </is>
      </c>
      <c r="W147" t="inlineStr">
        <is>
          <t>Dry (Cool)</t>
        </is>
      </c>
      <c r="X147" t="inlineStr">
        <is>
          <t>Wet</t>
        </is>
      </c>
      <c r="Y147" t="inlineStr">
        <is>
          <t>Silty Clay Loam</t>
        </is>
      </c>
      <c r="Z147" t="inlineStr">
        <is>
          <t>Flat / Lowland</t>
        </is>
      </c>
      <c r="AA147" t="n">
        <v>30</v>
      </c>
      <c r="AB147" t="inlineStr">
        <is>
          <t>—</t>
        </is>
      </c>
      <c r="AC147" t="n">
        <v>277.2</v>
      </c>
      <c r="AD147" t="n">
        <v>2</v>
      </c>
      <c r="AE147" t="n">
        <v>81.66</v>
      </c>
      <c r="AF147" t="n">
        <v>126.9</v>
      </c>
      <c r="AG147" t="inlineStr">
        <is>
          <t>Transplanting (Pindot) — optimal for clay-loam paddy fields</t>
        </is>
      </c>
      <c r="AH147" t="inlineStr">
        <is>
          <t>Wet Tillage (Puddling): 2 plowings + thorough harrowing under flooded condition</t>
        </is>
      </c>
      <c r="AI147" t="inlineStr">
        <is>
          <t>Continuous flooding 2–5 cm depth during vegetative stage; drain 2 weeks before harvest</t>
        </is>
      </c>
      <c r="AJ147" t="n">
        <v>1.29</v>
      </c>
      <c r="AK147" t="n">
        <v>10.32</v>
      </c>
      <c r="AL147" t="n">
        <v>8</v>
      </c>
      <c r="AM147" t="inlineStr">
        <is>
          <t>No</t>
        </is>
      </c>
      <c r="AN147" t="inlineStr">
        <is>
          <t>Observed harvest</t>
        </is>
      </c>
    </row>
    <row r="148">
      <c r="A148" t="inlineStr">
        <is>
          <t>Palay</t>
        </is>
      </c>
      <c r="B148" t="inlineStr">
        <is>
          <t>Vacante</t>
        </is>
      </c>
      <c r="C148" t="inlineStr">
        <is>
          <t>DS 2008</t>
        </is>
      </c>
      <c r="D148" t="inlineStr">
        <is>
          <t>January</t>
        </is>
      </c>
      <c r="E148" t="inlineStr">
        <is>
          <t>2008</t>
        </is>
      </c>
      <c r="F148" t="inlineStr">
        <is>
          <t>May</t>
        </is>
      </c>
      <c r="G148" t="inlineStr">
        <is>
          <t>2008</t>
        </is>
      </c>
      <c r="H148" t="n">
        <v>1.45</v>
      </c>
      <c r="I148" t="n">
        <v>23.94</v>
      </c>
      <c r="J148" t="n">
        <v>17.59</v>
      </c>
      <c r="K148" t="n">
        <v>30.5</v>
      </c>
      <c r="L148" t="n">
        <v>81.62</v>
      </c>
      <c r="M148" t="n">
        <v>98.54000000000001</v>
      </c>
      <c r="N148" t="n">
        <v>16.06</v>
      </c>
      <c r="O148" t="n">
        <v>9.42</v>
      </c>
      <c r="P148" t="n">
        <v>26.41</v>
      </c>
      <c r="Q148" t="n">
        <v>21.86</v>
      </c>
      <c r="R148" t="n">
        <v>32.12</v>
      </c>
      <c r="S148" t="n">
        <v>82.65000000000001</v>
      </c>
      <c r="T148" t="n">
        <v>98.18000000000001</v>
      </c>
      <c r="U148" t="n">
        <v>19.49</v>
      </c>
      <c r="V148" t="inlineStr">
        <is>
          <t>Type I – Tropical Monsoon (PAGASA)</t>
        </is>
      </c>
      <c r="W148" t="inlineStr">
        <is>
          <t>Dry (Cool)</t>
        </is>
      </c>
      <c r="X148" t="inlineStr">
        <is>
          <t>Wet</t>
        </is>
      </c>
      <c r="Y148" t="inlineStr">
        <is>
          <t>Silty Clay Loam</t>
        </is>
      </c>
      <c r="Z148" t="inlineStr">
        <is>
          <t>Flat / Lowland</t>
        </is>
      </c>
      <c r="AA148" t="n">
        <v>30</v>
      </c>
      <c r="AB148" t="inlineStr">
        <is>
          <t>Aloragat River</t>
        </is>
      </c>
      <c r="AC148" t="n">
        <v>484.68</v>
      </c>
      <c r="AD148" t="n">
        <v>10.95</v>
      </c>
      <c r="AE148" t="n">
        <v>81.66</v>
      </c>
      <c r="AF148" t="n">
        <v>47.18</v>
      </c>
      <c r="AG148" t="inlineStr">
        <is>
          <t>Transplanting (Pindot) — optimal for clay-loam paddy fields</t>
        </is>
      </c>
      <c r="AH148" t="inlineStr">
        <is>
          <t>Wet Tillage (Puddling): 2 plowings + thorough harrowing under flooded condition</t>
        </is>
      </c>
      <c r="AI148" t="inlineStr">
        <is>
          <t>Continuous flooding 2–5 cm depth during vegetative stage; drain 2 weeks before harvest</t>
        </is>
      </c>
      <c r="AJ148" t="n">
        <v>2.02</v>
      </c>
      <c r="AK148" t="n">
        <v>16.16</v>
      </c>
      <c r="AL148" t="n">
        <v>8</v>
      </c>
      <c r="AM148" t="inlineStr">
        <is>
          <t>No</t>
        </is>
      </c>
      <c r="AN148" t="inlineStr">
        <is>
          <t>Observed harvest</t>
        </is>
      </c>
    </row>
    <row r="149">
      <c r="A149" t="inlineStr">
        <is>
          <t>Palay</t>
        </is>
      </c>
      <c r="B149" t="inlineStr">
        <is>
          <t>Balangobong</t>
        </is>
      </c>
      <c r="C149" t="inlineStr">
        <is>
          <t>DS 2009</t>
        </is>
      </c>
      <c r="D149" t="inlineStr">
        <is>
          <t>January</t>
        </is>
      </c>
      <c r="E149" t="inlineStr">
        <is>
          <t>2009</t>
        </is>
      </c>
      <c r="F149" t="inlineStr">
        <is>
          <t>May</t>
        </is>
      </c>
      <c r="G149" t="inlineStr">
        <is>
          <t>2009</t>
        </is>
      </c>
      <c r="H149" t="n">
        <v>0.37</v>
      </c>
      <c r="I149" t="n">
        <v>23.05</v>
      </c>
      <c r="J149" t="n">
        <v>14.1</v>
      </c>
      <c r="K149" t="n">
        <v>31.33</v>
      </c>
      <c r="L149" t="n">
        <v>77.59999999999999</v>
      </c>
      <c r="M149" t="n">
        <v>98.59999999999999</v>
      </c>
      <c r="N149" t="n">
        <v>15.67</v>
      </c>
      <c r="V149" t="inlineStr">
        <is>
          <t>Type I – Tropical Monsoon (PAGASA)</t>
        </is>
      </c>
      <c r="W149" t="inlineStr">
        <is>
          <t>Dry (Cool)</t>
        </is>
      </c>
      <c r="Y149" t="inlineStr">
        <is>
          <t>Silty Clay Loam</t>
        </is>
      </c>
      <c r="Z149" t="inlineStr">
        <is>
          <t>Flat / Lowland</t>
        </is>
      </c>
      <c r="AA149" t="n">
        <v>30</v>
      </c>
      <c r="AB149" t="inlineStr">
        <is>
          <t>—</t>
        </is>
      </c>
      <c r="AC149" t="n">
        <v>281.4</v>
      </c>
      <c r="AD149" t="n">
        <v>5</v>
      </c>
      <c r="AE149" t="n">
        <v>35.32</v>
      </c>
      <c r="AF149" t="n">
        <v>2</v>
      </c>
      <c r="AG149" t="inlineStr">
        <is>
          <t>Transplanting (Pindot) — optimal for clay-loam paddy fields</t>
        </is>
      </c>
      <c r="AH149" t="inlineStr">
        <is>
          <t>Wet Tillage (Puddling): 2 plowings + thorough harrowing under flooded condition</t>
        </is>
      </c>
      <c r="AI149" t="inlineStr">
        <is>
          <t>Continuous flooding 2–5 cm depth during vegetative stage; drain 2 weeks before harvest</t>
        </is>
      </c>
      <c r="AL149" t="n">
        <v>4.6375</v>
      </c>
      <c r="AM149" t="inlineStr">
        <is>
          <t>Yes</t>
        </is>
      </c>
      <c r="AN149" t="inlineStr">
        <is>
          <t>Crop + Barangay historical mean</t>
        </is>
      </c>
    </row>
    <row r="150">
      <c r="A150" t="inlineStr">
        <is>
          <t>Palay</t>
        </is>
      </c>
      <c r="B150" t="inlineStr">
        <is>
          <t>Bugayong</t>
        </is>
      </c>
      <c r="C150" t="inlineStr">
        <is>
          <t>DS 2009</t>
        </is>
      </c>
      <c r="D150" t="inlineStr">
        <is>
          <t>January</t>
        </is>
      </c>
      <c r="E150" t="inlineStr">
        <is>
          <t>2009</t>
        </is>
      </c>
      <c r="F150" t="inlineStr">
        <is>
          <t>May</t>
        </is>
      </c>
      <c r="G150" t="inlineStr">
        <is>
          <t>2009</t>
        </is>
      </c>
      <c r="H150" t="n">
        <v>0.37</v>
      </c>
      <c r="I150" t="n">
        <v>23.05</v>
      </c>
      <c r="J150" t="n">
        <v>14.1</v>
      </c>
      <c r="K150" t="n">
        <v>31.33</v>
      </c>
      <c r="L150" t="n">
        <v>77.59999999999999</v>
      </c>
      <c r="M150" t="n">
        <v>98.59999999999999</v>
      </c>
      <c r="N150" t="n">
        <v>15.67</v>
      </c>
      <c r="V150" t="inlineStr">
        <is>
          <t>Type I – Tropical Monsoon (PAGASA)</t>
        </is>
      </c>
      <c r="W150" t="inlineStr">
        <is>
          <t>Dry (Cool)</t>
        </is>
      </c>
      <c r="Y150" t="inlineStr">
        <is>
          <t>Sandy Loam / Silty Clay Loam</t>
        </is>
      </c>
      <c r="Z150" t="inlineStr">
        <is>
          <t>Flat / Lowland</t>
        </is>
      </c>
      <c r="AA150" t="n">
        <v>30</v>
      </c>
      <c r="AB150" t="inlineStr">
        <is>
          <t>Aloragat River</t>
        </is>
      </c>
      <c r="AC150" t="n">
        <v>346.08</v>
      </c>
      <c r="AD150" t="n">
        <v>2</v>
      </c>
      <c r="AE150" t="n">
        <v>41.02</v>
      </c>
      <c r="AF150" t="n">
        <v>3</v>
      </c>
      <c r="AG150" t="inlineStr">
        <is>
          <t>Transplanting (Pindot) — recommended; Direct Seeding possible in dry season</t>
        </is>
      </c>
      <c r="AH150" t="inlineStr">
        <is>
          <t>Conventional Tillage: 2 plowings + harrowing; puddle thoroughly for transplanting</t>
        </is>
      </c>
      <c r="AI150" t="inlineStr">
        <is>
          <t>Intermittent to continuous flooding; manage according to drainage section present</t>
        </is>
      </c>
      <c r="AL150" t="n">
        <v>4.94</v>
      </c>
      <c r="AM150" t="inlineStr">
        <is>
          <t>Yes</t>
        </is>
      </c>
      <c r="AN150" t="inlineStr">
        <is>
          <t>Crop + Barangay historical mean</t>
        </is>
      </c>
    </row>
    <row r="151">
      <c r="A151" t="inlineStr">
        <is>
          <t>Palay</t>
        </is>
      </c>
      <c r="B151" t="inlineStr">
        <is>
          <t>Camanggaan</t>
        </is>
      </c>
      <c r="C151" t="inlineStr">
        <is>
          <t>DS 2009</t>
        </is>
      </c>
      <c r="D151" t="inlineStr">
        <is>
          <t>January</t>
        </is>
      </c>
      <c r="E151" t="inlineStr">
        <is>
          <t>2009</t>
        </is>
      </c>
      <c r="F151" t="inlineStr">
        <is>
          <t>May</t>
        </is>
      </c>
      <c r="G151" t="inlineStr">
        <is>
          <t>2009</t>
        </is>
      </c>
      <c r="H151" t="n">
        <v>0.37</v>
      </c>
      <c r="I151" t="n">
        <v>23.05</v>
      </c>
      <c r="J151" t="n">
        <v>14.1</v>
      </c>
      <c r="K151" t="n">
        <v>31.33</v>
      </c>
      <c r="L151" t="n">
        <v>77.59999999999999</v>
      </c>
      <c r="M151" t="n">
        <v>98.59999999999999</v>
      </c>
      <c r="N151" t="n">
        <v>15.67</v>
      </c>
      <c r="V151" t="inlineStr">
        <is>
          <t>Type I – Tropical Monsoon (PAGASA)</t>
        </is>
      </c>
      <c r="W151" t="inlineStr">
        <is>
          <t>Dry (Cool)</t>
        </is>
      </c>
      <c r="Y151" t="inlineStr">
        <is>
          <t>Sandy Loam</t>
        </is>
      </c>
      <c r="Z151" t="inlineStr">
        <is>
          <t>Flat / Lowland</t>
        </is>
      </c>
      <c r="AA151" t="n">
        <v>30</v>
      </c>
      <c r="AB151" t="inlineStr">
        <is>
          <t>—</t>
        </is>
      </c>
      <c r="AC151" t="n">
        <v>244.44</v>
      </c>
      <c r="AD151" t="n">
        <v>2</v>
      </c>
      <c r="AE151" t="n">
        <v>52.42</v>
      </c>
      <c r="AF151" t="n">
        <v>4</v>
      </c>
      <c r="AG151" t="inlineStr">
        <is>
          <t>Transplanting (Pindot) or Direct Seeding (Pinaghandaan)</t>
        </is>
      </c>
      <c r="AH151" t="inlineStr">
        <is>
          <t>Conventional Tillage: 2 plowings + 2 harrowings; soil workable when moist</t>
        </is>
      </c>
      <c r="AI151" t="inlineStr">
        <is>
          <t>Intermittent irrigation (Alternate Wetting and Drying — AWD); moderate retention</t>
        </is>
      </c>
      <c r="AL151" t="n">
        <v>4.913125</v>
      </c>
      <c r="AM151" t="inlineStr">
        <is>
          <t>Yes</t>
        </is>
      </c>
      <c r="AN151" t="inlineStr">
        <is>
          <t>Crop + Barangay historical mean</t>
        </is>
      </c>
    </row>
    <row r="152">
      <c r="A152" t="inlineStr">
        <is>
          <t>Palay</t>
        </is>
      </c>
      <c r="B152" t="inlineStr">
        <is>
          <t>Capas</t>
        </is>
      </c>
      <c r="C152" t="inlineStr">
        <is>
          <t>DS 2009</t>
        </is>
      </c>
      <c r="D152" t="inlineStr">
        <is>
          <t>January</t>
        </is>
      </c>
      <c r="E152" t="inlineStr">
        <is>
          <t>2009</t>
        </is>
      </c>
      <c r="F152" t="inlineStr">
        <is>
          <t>May</t>
        </is>
      </c>
      <c r="G152" t="inlineStr">
        <is>
          <t>2009</t>
        </is>
      </c>
      <c r="H152" t="n">
        <v>0.37</v>
      </c>
      <c r="I152" t="n">
        <v>23.05</v>
      </c>
      <c r="J152" t="n">
        <v>14.1</v>
      </c>
      <c r="K152" t="n">
        <v>31.33</v>
      </c>
      <c r="L152" t="n">
        <v>77.59999999999999</v>
      </c>
      <c r="M152" t="n">
        <v>98.59999999999999</v>
      </c>
      <c r="N152" t="n">
        <v>15.67</v>
      </c>
      <c r="V152" t="inlineStr">
        <is>
          <t>Type I – Tropical Monsoon (PAGASA)</t>
        </is>
      </c>
      <c r="W152" t="inlineStr">
        <is>
          <t>Dry (Cool)</t>
        </is>
      </c>
      <c r="Y152" t="inlineStr">
        <is>
          <t>Sandy Loam</t>
        </is>
      </c>
      <c r="Z152" t="inlineStr">
        <is>
          <t>Flat / Lowland</t>
        </is>
      </c>
      <c r="AA152" t="n">
        <v>30</v>
      </c>
      <c r="AB152" t="inlineStr">
        <is>
          <t>—</t>
        </is>
      </c>
      <c r="AC152" t="n">
        <v>377.16</v>
      </c>
      <c r="AD152" t="n">
        <v>1</v>
      </c>
      <c r="AE152" t="n">
        <v>52.42</v>
      </c>
      <c r="AF152" t="n">
        <v>13</v>
      </c>
      <c r="AG152" t="inlineStr">
        <is>
          <t>Transplanting (Pindot) or Direct Seeding (Pinaghandaan)</t>
        </is>
      </c>
      <c r="AH152" t="inlineStr">
        <is>
          <t>Conventional Tillage: 2 plowings + 2 harrowings; soil workable when moist</t>
        </is>
      </c>
      <c r="AI152" t="inlineStr">
        <is>
          <t>Intermittent irrigation (Alternate Wetting and Drying — AWD); moderate retention</t>
        </is>
      </c>
      <c r="AL152" t="n">
        <v>5.768750000000001</v>
      </c>
      <c r="AM152" t="inlineStr">
        <is>
          <t>Yes</t>
        </is>
      </c>
      <c r="AN152" t="inlineStr">
        <is>
          <t>Crop + Barangay historical mean</t>
        </is>
      </c>
    </row>
    <row r="153">
      <c r="A153" t="inlineStr">
        <is>
          <t>Palay</t>
        </is>
      </c>
      <c r="B153" t="inlineStr">
        <is>
          <t>Cili</t>
        </is>
      </c>
      <c r="C153" t="inlineStr">
        <is>
          <t>DS 2009</t>
        </is>
      </c>
      <c r="D153" t="inlineStr">
        <is>
          <t>January</t>
        </is>
      </c>
      <c r="E153" t="inlineStr">
        <is>
          <t>2009</t>
        </is>
      </c>
      <c r="F153" t="inlineStr">
        <is>
          <t>May</t>
        </is>
      </c>
      <c r="G153" t="inlineStr">
        <is>
          <t>2009</t>
        </is>
      </c>
      <c r="H153" t="n">
        <v>0.37</v>
      </c>
      <c r="I153" t="n">
        <v>23.05</v>
      </c>
      <c r="J153" t="n">
        <v>14.1</v>
      </c>
      <c r="K153" t="n">
        <v>31.33</v>
      </c>
      <c r="L153" t="n">
        <v>77.59999999999999</v>
      </c>
      <c r="M153" t="n">
        <v>98.59999999999999</v>
      </c>
      <c r="N153" t="n">
        <v>15.67</v>
      </c>
      <c r="V153" t="inlineStr">
        <is>
          <t>Type I – Tropical Monsoon (PAGASA)</t>
        </is>
      </c>
      <c r="W153" t="inlineStr">
        <is>
          <t>Dry (Cool)</t>
        </is>
      </c>
      <c r="Y153" t="inlineStr">
        <is>
          <t>Silty Clay Loam</t>
        </is>
      </c>
      <c r="Z153" t="inlineStr">
        <is>
          <t>Flat / Lowland</t>
        </is>
      </c>
      <c r="AA153" t="n">
        <v>30</v>
      </c>
      <c r="AB153" t="inlineStr">
        <is>
          <t>Alibeng River</t>
        </is>
      </c>
      <c r="AC153" t="n">
        <v>264.6</v>
      </c>
      <c r="AD153" t="n">
        <v>2</v>
      </c>
      <c r="AE153" t="n">
        <v>35.32</v>
      </c>
      <c r="AF153" t="n">
        <v>2</v>
      </c>
      <c r="AG153" t="inlineStr">
        <is>
          <t>Transplanting (Pindot) — optimal for clay-loam paddy fields</t>
        </is>
      </c>
      <c r="AH153" t="inlineStr">
        <is>
          <t>Wet Tillage (Puddling): 2 plowings + thorough harrowing under flooded condition</t>
        </is>
      </c>
      <c r="AI153" t="inlineStr">
        <is>
          <t>Continuous flooding 2–5 cm depth during vegetative stage; drain 2 weeks before harvest</t>
        </is>
      </c>
      <c r="AL153" t="n">
        <v>3.386153846153846</v>
      </c>
      <c r="AM153" t="inlineStr">
        <is>
          <t>Yes</t>
        </is>
      </c>
      <c r="AN153" t="inlineStr">
        <is>
          <t>Crop + Barangay historical mean</t>
        </is>
      </c>
    </row>
    <row r="154">
      <c r="A154" t="inlineStr">
        <is>
          <t>Palay</t>
        </is>
      </c>
      <c r="B154" t="inlineStr">
        <is>
          <t>Mangkasuy</t>
        </is>
      </c>
      <c r="C154" t="inlineStr">
        <is>
          <t>DS 2009</t>
        </is>
      </c>
      <c r="D154" t="inlineStr">
        <is>
          <t>January</t>
        </is>
      </c>
      <c r="E154" t="inlineStr">
        <is>
          <t>2009</t>
        </is>
      </c>
      <c r="F154" t="inlineStr">
        <is>
          <t>May</t>
        </is>
      </c>
      <c r="G154" t="inlineStr">
        <is>
          <t>2009</t>
        </is>
      </c>
      <c r="H154" t="n">
        <v>0.37</v>
      </c>
      <c r="I154" t="n">
        <v>23.05</v>
      </c>
      <c r="J154" t="n">
        <v>14.1</v>
      </c>
      <c r="K154" t="n">
        <v>31.33</v>
      </c>
      <c r="L154" t="n">
        <v>77.59999999999999</v>
      </c>
      <c r="M154" t="n">
        <v>98.59999999999999</v>
      </c>
      <c r="N154" t="n">
        <v>15.67</v>
      </c>
      <c r="V154" t="inlineStr">
        <is>
          <t>Type I – Tropical Monsoon (PAGASA)</t>
        </is>
      </c>
      <c r="W154" t="inlineStr">
        <is>
          <t>Dry (Cool)</t>
        </is>
      </c>
      <c r="Y154" t="inlineStr">
        <is>
          <t>Sandy Loam</t>
        </is>
      </c>
      <c r="Z154" t="inlineStr">
        <is>
          <t>Flat / Lowland</t>
        </is>
      </c>
      <c r="AA154" t="n">
        <v>30</v>
      </c>
      <c r="AB154" t="inlineStr">
        <is>
          <t>Tagamusing River</t>
        </is>
      </c>
      <c r="AC154" t="n">
        <v>802.2</v>
      </c>
      <c r="AD154" t="n">
        <v>2</v>
      </c>
      <c r="AE154" t="n">
        <v>70.81999999999999</v>
      </c>
      <c r="AF154" t="n">
        <v>12.25</v>
      </c>
      <c r="AG154" t="inlineStr">
        <is>
          <t>Transplanting (Pindot) or Direct Seeding (Pinaghandaan)</t>
        </is>
      </c>
      <c r="AH154" t="inlineStr">
        <is>
          <t>Conventional Tillage: 2 plowings + 2 harrowings; soil workable when moist</t>
        </is>
      </c>
      <c r="AI154" t="inlineStr">
        <is>
          <t>Intermittent irrigation (Alternate Wetting and Drying — AWD); moderate retention</t>
        </is>
      </c>
      <c r="AL154" t="n">
        <v>4.494375</v>
      </c>
      <c r="AM154" t="inlineStr">
        <is>
          <t>Yes</t>
        </is>
      </c>
      <c r="AN154" t="inlineStr">
        <is>
          <t>Crop + Barangay historical mean</t>
        </is>
      </c>
    </row>
    <row r="155">
      <c r="A155" t="inlineStr">
        <is>
          <t>Palay</t>
        </is>
      </c>
      <c r="B155" t="inlineStr">
        <is>
          <t>Pasileng Norte</t>
        </is>
      </c>
      <c r="C155" t="inlineStr">
        <is>
          <t>DS 2009</t>
        </is>
      </c>
      <c r="D155" t="inlineStr">
        <is>
          <t>January</t>
        </is>
      </c>
      <c r="E155" t="inlineStr">
        <is>
          <t>2009</t>
        </is>
      </c>
      <c r="F155" t="inlineStr">
        <is>
          <t>May</t>
        </is>
      </c>
      <c r="G155" t="inlineStr">
        <is>
          <t>2009</t>
        </is>
      </c>
      <c r="H155" t="n">
        <v>0.37</v>
      </c>
      <c r="I155" t="n">
        <v>23.05</v>
      </c>
      <c r="J155" t="n">
        <v>14.1</v>
      </c>
      <c r="K155" t="n">
        <v>31.33</v>
      </c>
      <c r="L155" t="n">
        <v>77.59999999999999</v>
      </c>
      <c r="M155" t="n">
        <v>98.59999999999999</v>
      </c>
      <c r="N155" t="n">
        <v>15.67</v>
      </c>
      <c r="V155" t="inlineStr">
        <is>
          <t>Type I – Tropical Monsoon (PAGASA)</t>
        </is>
      </c>
      <c r="W155" t="inlineStr">
        <is>
          <t>Dry (Cool)</t>
        </is>
      </c>
      <c r="Y155" t="inlineStr">
        <is>
          <t>Sandy Loam</t>
        </is>
      </c>
      <c r="Z155" t="inlineStr">
        <is>
          <t>Flat / Lowland</t>
        </is>
      </c>
      <c r="AA155" t="n">
        <v>30</v>
      </c>
      <c r="AB155" t="inlineStr">
        <is>
          <t>Tagamusing River</t>
        </is>
      </c>
      <c r="AC155" t="n">
        <v>140.28</v>
      </c>
      <c r="AD155" t="n">
        <v>2</v>
      </c>
      <c r="AE155" t="n">
        <v>26.4</v>
      </c>
      <c r="AF155" t="n">
        <v>86</v>
      </c>
      <c r="AG155" t="inlineStr">
        <is>
          <t>Transplanting (Pindot) or Direct Seeding (Pinaghandaan)</t>
        </is>
      </c>
      <c r="AH155" t="inlineStr">
        <is>
          <t>Conventional Tillage: 2 plowings + 2 harrowings; soil workable when moist</t>
        </is>
      </c>
      <c r="AI155" t="inlineStr">
        <is>
          <t>Intermittent irrigation (Alternate Wetting and Drying — AWD); moderate retention</t>
        </is>
      </c>
      <c r="AL155" t="n">
        <v>5.75125</v>
      </c>
      <c r="AM155" t="inlineStr">
        <is>
          <t>Yes</t>
        </is>
      </c>
      <c r="AN155" t="inlineStr">
        <is>
          <t>Crop + Barangay historical mean</t>
        </is>
      </c>
    </row>
    <row r="156">
      <c r="A156" t="inlineStr">
        <is>
          <t>Palay</t>
        </is>
      </c>
      <c r="B156" t="inlineStr">
        <is>
          <t>Pasileng Sur</t>
        </is>
      </c>
      <c r="C156" t="inlineStr">
        <is>
          <t>DS 2009</t>
        </is>
      </c>
      <c r="D156" t="inlineStr">
        <is>
          <t>January</t>
        </is>
      </c>
      <c r="E156" t="inlineStr">
        <is>
          <t>2009</t>
        </is>
      </c>
      <c r="F156" t="inlineStr">
        <is>
          <t>May</t>
        </is>
      </c>
      <c r="G156" t="inlineStr">
        <is>
          <t>2009</t>
        </is>
      </c>
      <c r="H156" t="n">
        <v>0.37</v>
      </c>
      <c r="I156" t="n">
        <v>23.05</v>
      </c>
      <c r="J156" t="n">
        <v>14.1</v>
      </c>
      <c r="K156" t="n">
        <v>31.33</v>
      </c>
      <c r="L156" t="n">
        <v>77.59999999999999</v>
      </c>
      <c r="M156" t="n">
        <v>98.59999999999999</v>
      </c>
      <c r="N156" t="n">
        <v>15.67</v>
      </c>
      <c r="V156" t="inlineStr">
        <is>
          <t>Type I – Tropical Monsoon (PAGASA)</t>
        </is>
      </c>
      <c r="W156" t="inlineStr">
        <is>
          <t>Dry (Cool)</t>
        </is>
      </c>
      <c r="Y156" t="inlineStr">
        <is>
          <t>Sandy Loam</t>
        </is>
      </c>
      <c r="Z156" t="inlineStr">
        <is>
          <t>Flat / Lowland</t>
        </is>
      </c>
      <c r="AA156" t="n">
        <v>30</v>
      </c>
      <c r="AB156" t="inlineStr">
        <is>
          <t>Tagamusing River</t>
        </is>
      </c>
      <c r="AC156" t="n">
        <v>414.96</v>
      </c>
      <c r="AD156" t="n">
        <v>3</v>
      </c>
      <c r="AE156" t="n">
        <v>41.02</v>
      </c>
      <c r="AF156" t="n">
        <v>5</v>
      </c>
      <c r="AG156" t="inlineStr">
        <is>
          <t>Transplanting (Pindot) or Direct Seeding (Pinaghandaan)</t>
        </is>
      </c>
      <c r="AH156" t="inlineStr">
        <is>
          <t>Conventional Tillage: 2 plowings + 2 harrowings; soil workable when moist</t>
        </is>
      </c>
      <c r="AI156" t="inlineStr">
        <is>
          <t>Intermittent irrigation (Alternate Wetting and Drying — AWD); moderate retention</t>
        </is>
      </c>
      <c r="AL156" t="n">
        <v>5.21</v>
      </c>
      <c r="AM156" t="inlineStr">
        <is>
          <t>Yes</t>
        </is>
      </c>
      <c r="AN156" t="inlineStr">
        <is>
          <t>Crop + Barangay historical mean</t>
        </is>
      </c>
    </row>
    <row r="157">
      <c r="A157" t="inlineStr">
        <is>
          <t>Palay</t>
        </is>
      </c>
      <c r="B157" t="inlineStr">
        <is>
          <t>San Felipe Central</t>
        </is>
      </c>
      <c r="C157" t="inlineStr">
        <is>
          <t>DS 2009</t>
        </is>
      </c>
      <c r="D157" t="inlineStr">
        <is>
          <t>January</t>
        </is>
      </c>
      <c r="E157" t="inlineStr">
        <is>
          <t>2009</t>
        </is>
      </c>
      <c r="F157" t="inlineStr">
        <is>
          <t>May</t>
        </is>
      </c>
      <c r="G157" t="inlineStr">
        <is>
          <t>2009</t>
        </is>
      </c>
      <c r="H157" t="n">
        <v>0.37</v>
      </c>
      <c r="I157" t="n">
        <v>23.05</v>
      </c>
      <c r="J157" t="n">
        <v>14.1</v>
      </c>
      <c r="K157" t="n">
        <v>31.33</v>
      </c>
      <c r="L157" t="n">
        <v>77.59999999999999</v>
      </c>
      <c r="M157" t="n">
        <v>98.59999999999999</v>
      </c>
      <c r="N157" t="n">
        <v>15.67</v>
      </c>
      <c r="V157" t="inlineStr">
        <is>
          <t>Type I – Tropical Monsoon (PAGASA)</t>
        </is>
      </c>
      <c r="W157" t="inlineStr">
        <is>
          <t>Dry (Cool)</t>
        </is>
      </c>
      <c r="Y157" t="inlineStr">
        <is>
          <t>Sandy Loam</t>
        </is>
      </c>
      <c r="Z157" t="inlineStr">
        <is>
          <t>Flat / Lowland</t>
        </is>
      </c>
      <c r="AA157" t="n">
        <v>30</v>
      </c>
      <c r="AB157" t="inlineStr">
        <is>
          <t>—</t>
        </is>
      </c>
      <c r="AC157" t="n">
        <v>452.76</v>
      </c>
      <c r="AD157" t="n">
        <v>5</v>
      </c>
      <c r="AE157" t="n">
        <v>41.02</v>
      </c>
      <c r="AF157" t="n">
        <v>4</v>
      </c>
      <c r="AG157" t="inlineStr">
        <is>
          <t>Transplanting (Pindot) or Direct Seeding (Pinaghandaan)</t>
        </is>
      </c>
      <c r="AH157" t="inlineStr">
        <is>
          <t>Conventional Tillage: 2 plowings + 2 harrowings; soil workable when moist</t>
        </is>
      </c>
      <c r="AI157" t="inlineStr">
        <is>
          <t>Intermittent irrigation (Alternate Wetting and Drying — AWD); moderate retention</t>
        </is>
      </c>
      <c r="AL157" t="n">
        <v>4.781999999999999</v>
      </c>
      <c r="AM157" t="inlineStr">
        <is>
          <t>Yes</t>
        </is>
      </c>
      <c r="AN157" t="inlineStr">
        <is>
          <t>Crop + Barangay historical mean</t>
        </is>
      </c>
    </row>
    <row r="158">
      <c r="A158" t="inlineStr">
        <is>
          <t>Palay</t>
        </is>
      </c>
      <c r="B158" t="inlineStr">
        <is>
          <t>San Felipe Sur</t>
        </is>
      </c>
      <c r="C158" t="inlineStr">
        <is>
          <t>DS 2009</t>
        </is>
      </c>
      <c r="D158" t="inlineStr">
        <is>
          <t>January</t>
        </is>
      </c>
      <c r="E158" t="inlineStr">
        <is>
          <t>2009</t>
        </is>
      </c>
      <c r="F158" t="inlineStr">
        <is>
          <t>May</t>
        </is>
      </c>
      <c r="G158" t="inlineStr">
        <is>
          <t>2009</t>
        </is>
      </c>
      <c r="H158" t="n">
        <v>0.37</v>
      </c>
      <c r="I158" t="n">
        <v>23.05</v>
      </c>
      <c r="J158" t="n">
        <v>14.1</v>
      </c>
      <c r="K158" t="n">
        <v>31.33</v>
      </c>
      <c r="L158" t="n">
        <v>77.59999999999999</v>
      </c>
      <c r="M158" t="n">
        <v>98.59999999999999</v>
      </c>
      <c r="N158" t="n">
        <v>15.67</v>
      </c>
      <c r="V158" t="inlineStr">
        <is>
          <t>Type I – Tropical Monsoon (PAGASA)</t>
        </is>
      </c>
      <c r="W158" t="inlineStr">
        <is>
          <t>Dry (Cool)</t>
        </is>
      </c>
      <c r="Y158" t="inlineStr">
        <is>
          <t>Sandy Loam</t>
        </is>
      </c>
      <c r="Z158" t="inlineStr">
        <is>
          <t>Flat / Lowland</t>
        </is>
      </c>
      <c r="AA158" t="n">
        <v>30</v>
      </c>
      <c r="AB158" t="inlineStr">
        <is>
          <t>Tagamusing River</t>
        </is>
      </c>
      <c r="AC158" t="n">
        <v>504</v>
      </c>
      <c r="AD158" t="n">
        <v>3</v>
      </c>
      <c r="AE158" t="n">
        <v>26.4</v>
      </c>
      <c r="AF158" t="n">
        <v>3</v>
      </c>
      <c r="AG158" t="inlineStr">
        <is>
          <t>Transplanting (Pindot) or Direct Seeding (Pinaghandaan)</t>
        </is>
      </c>
      <c r="AH158" t="inlineStr">
        <is>
          <t>Conventional Tillage: 2 plowings + 2 harrowings; soil workable when moist</t>
        </is>
      </c>
      <c r="AI158" t="inlineStr">
        <is>
          <t>Intermittent irrigation (Alternate Wetting and Drying — AWD); moderate retention</t>
        </is>
      </c>
      <c r="AL158" t="n">
        <v>4.83375</v>
      </c>
      <c r="AM158" t="inlineStr">
        <is>
          <t>Yes</t>
        </is>
      </c>
      <c r="AN158" t="inlineStr">
        <is>
          <t>Crop + Barangay historical mean</t>
        </is>
      </c>
    </row>
    <row r="159">
      <c r="A159" t="inlineStr">
        <is>
          <t>Palay</t>
        </is>
      </c>
      <c r="B159" t="inlineStr">
        <is>
          <t>San Pablo</t>
        </is>
      </c>
      <c r="C159" t="inlineStr">
        <is>
          <t>DS 2009</t>
        </is>
      </c>
      <c r="D159" t="inlineStr">
        <is>
          <t>January</t>
        </is>
      </c>
      <c r="E159" t="inlineStr">
        <is>
          <t>2009</t>
        </is>
      </c>
      <c r="F159" t="inlineStr">
        <is>
          <t>May</t>
        </is>
      </c>
      <c r="G159" t="inlineStr">
        <is>
          <t>2009</t>
        </is>
      </c>
      <c r="H159" t="n">
        <v>0.37</v>
      </c>
      <c r="I159" t="n">
        <v>23.05</v>
      </c>
      <c r="J159" t="n">
        <v>14.1</v>
      </c>
      <c r="K159" t="n">
        <v>31.33</v>
      </c>
      <c r="L159" t="n">
        <v>77.59999999999999</v>
      </c>
      <c r="M159" t="n">
        <v>98.59999999999999</v>
      </c>
      <c r="N159" t="n">
        <v>15.67</v>
      </c>
      <c r="V159" t="inlineStr">
        <is>
          <t>Type I – Tropical Monsoon (PAGASA)</t>
        </is>
      </c>
      <c r="W159" t="inlineStr">
        <is>
          <t>Dry (Cool)</t>
        </is>
      </c>
      <c r="Y159" t="inlineStr">
        <is>
          <t>Sandy Loam</t>
        </is>
      </c>
      <c r="Z159" t="inlineStr">
        <is>
          <t>Flat / Lowland</t>
        </is>
      </c>
      <c r="AA159" t="n">
        <v>30</v>
      </c>
      <c r="AB159" t="inlineStr">
        <is>
          <t>San Pablo Creek</t>
        </is>
      </c>
      <c r="AC159" t="n">
        <v>215.04</v>
      </c>
      <c r="AD159" t="n">
        <v>1</v>
      </c>
      <c r="AE159" t="n">
        <v>20.7</v>
      </c>
      <c r="AF159" t="n">
        <v>5</v>
      </c>
      <c r="AG159" t="inlineStr">
        <is>
          <t>Transplanting (Pindot) or Direct Seeding (Pinaghandaan)</t>
        </is>
      </c>
      <c r="AH159" t="inlineStr">
        <is>
          <t>Conventional Tillage: 2 plowings + 2 harrowings; soil workable when moist</t>
        </is>
      </c>
      <c r="AI159" t="inlineStr">
        <is>
          <t>Intermittent irrigation (Alternate Wetting and Drying — AWD); moderate retention</t>
        </is>
      </c>
      <c r="AL159" t="n">
        <v>5.113125</v>
      </c>
      <c r="AM159" t="inlineStr">
        <is>
          <t>Yes</t>
        </is>
      </c>
      <c r="AN159" t="inlineStr">
        <is>
          <t>Crop + Barangay historical mean</t>
        </is>
      </c>
    </row>
    <row r="160">
      <c r="A160" t="inlineStr">
        <is>
          <t>Palay</t>
        </is>
      </c>
      <c r="B160" t="inlineStr">
        <is>
          <t>Sta. Maria Norte</t>
        </is>
      </c>
      <c r="C160" t="inlineStr">
        <is>
          <t>DS 2009</t>
        </is>
      </c>
      <c r="D160" t="inlineStr">
        <is>
          <t>January</t>
        </is>
      </c>
      <c r="E160" t="inlineStr">
        <is>
          <t>2009</t>
        </is>
      </c>
      <c r="F160" t="inlineStr">
        <is>
          <t>May</t>
        </is>
      </c>
      <c r="G160" t="inlineStr">
        <is>
          <t>2009</t>
        </is>
      </c>
      <c r="H160" t="n">
        <v>0.37</v>
      </c>
      <c r="I160" t="n">
        <v>23.05</v>
      </c>
      <c r="J160" t="n">
        <v>14.1</v>
      </c>
      <c r="K160" t="n">
        <v>31.33</v>
      </c>
      <c r="L160" t="n">
        <v>77.59999999999999</v>
      </c>
      <c r="M160" t="n">
        <v>98.59999999999999</v>
      </c>
      <c r="N160" t="n">
        <v>15.67</v>
      </c>
      <c r="V160" t="inlineStr">
        <is>
          <t>Type I – Tropical Monsoon (PAGASA)</t>
        </is>
      </c>
      <c r="W160" t="inlineStr">
        <is>
          <t>Dry (Cool)</t>
        </is>
      </c>
      <c r="Y160" t="inlineStr">
        <is>
          <t>Sandy Loam</t>
        </is>
      </c>
      <c r="Z160" t="inlineStr">
        <is>
          <t>Flat / Lowland</t>
        </is>
      </c>
      <c r="AA160" t="n">
        <v>30</v>
      </c>
      <c r="AB160" t="inlineStr">
        <is>
          <t>Tagamusing River</t>
        </is>
      </c>
      <c r="AC160" t="n">
        <v>157.08</v>
      </c>
      <c r="AD160" t="n">
        <v>2</v>
      </c>
      <c r="AE160" t="n">
        <v>20.7</v>
      </c>
      <c r="AF160" t="n">
        <v>12.25</v>
      </c>
      <c r="AG160" t="inlineStr">
        <is>
          <t>Transplanting (Pindot) or Direct Seeding (Pinaghandaan)</t>
        </is>
      </c>
      <c r="AH160" t="inlineStr">
        <is>
          <t>Conventional Tillage: 2 plowings + 2 harrowings; soil workable when moist</t>
        </is>
      </c>
      <c r="AI160" t="inlineStr">
        <is>
          <t>Intermittent irrigation (Alternate Wetting and Drying — AWD); moderate retention</t>
        </is>
      </c>
      <c r="AL160" t="n">
        <v>3.915</v>
      </c>
      <c r="AM160" t="inlineStr">
        <is>
          <t>Yes</t>
        </is>
      </c>
      <c r="AN160" t="inlineStr">
        <is>
          <t>Crop + Barangay historical mean</t>
        </is>
      </c>
    </row>
    <row r="161">
      <c r="A161" t="inlineStr">
        <is>
          <t>Palay</t>
        </is>
      </c>
      <c r="B161" t="inlineStr">
        <is>
          <t>Sumabnit</t>
        </is>
      </c>
      <c r="C161" t="inlineStr">
        <is>
          <t>DS 2009</t>
        </is>
      </c>
      <c r="D161" t="inlineStr">
        <is>
          <t>January</t>
        </is>
      </c>
      <c r="E161" t="inlineStr">
        <is>
          <t>2009</t>
        </is>
      </c>
      <c r="F161" t="inlineStr">
        <is>
          <t>May</t>
        </is>
      </c>
      <c r="G161" t="inlineStr">
        <is>
          <t>2009</t>
        </is>
      </c>
      <c r="H161" t="n">
        <v>0.37</v>
      </c>
      <c r="I161" t="n">
        <v>23.05</v>
      </c>
      <c r="J161" t="n">
        <v>14.1</v>
      </c>
      <c r="K161" t="n">
        <v>31.33</v>
      </c>
      <c r="L161" t="n">
        <v>77.59999999999999</v>
      </c>
      <c r="M161" t="n">
        <v>98.59999999999999</v>
      </c>
      <c r="N161" t="n">
        <v>15.67</v>
      </c>
      <c r="V161" t="inlineStr">
        <is>
          <t>Type I – Tropical Monsoon (PAGASA)</t>
        </is>
      </c>
      <c r="W161" t="inlineStr">
        <is>
          <t>Dry (Cool)</t>
        </is>
      </c>
      <c r="Y161" t="inlineStr">
        <is>
          <t>Silty Clay Loam / Fine Sandy Loam</t>
        </is>
      </c>
      <c r="Z161" t="inlineStr">
        <is>
          <t>Flat / Lowland</t>
        </is>
      </c>
      <c r="AA161" t="n">
        <v>30</v>
      </c>
      <c r="AB161" t="inlineStr">
        <is>
          <t>Tagamusing River</t>
        </is>
      </c>
      <c r="AC161" t="n">
        <v>406.56</v>
      </c>
      <c r="AD161" t="n">
        <v>2</v>
      </c>
      <c r="AE161" t="n">
        <v>81.66</v>
      </c>
      <c r="AF161" t="n">
        <v>35.22</v>
      </c>
      <c r="AG161" t="inlineStr">
        <is>
          <t>Transplanting (Pindot)</t>
        </is>
      </c>
      <c r="AH161" t="inlineStr">
        <is>
          <t>Minimum Tillage (avoid compaction; sandy structure fragile)</t>
        </is>
      </c>
      <c r="AI161" t="inlineStr">
        <is>
          <t>Continuous flooding or frequent irrigation; high percolation risk</t>
        </is>
      </c>
      <c r="AL161" t="n">
        <v>4.894375</v>
      </c>
      <c r="AM161" t="inlineStr">
        <is>
          <t>Yes</t>
        </is>
      </c>
      <c r="AN161" t="inlineStr">
        <is>
          <t>Crop + Barangay historical mean</t>
        </is>
      </c>
    </row>
    <row r="162">
      <c r="A162" t="inlineStr">
        <is>
          <t>Palay</t>
        </is>
      </c>
      <c r="B162" t="inlineStr">
        <is>
          <t>Tabuyoc</t>
        </is>
      </c>
      <c r="C162" t="inlineStr">
        <is>
          <t>DS 2009</t>
        </is>
      </c>
      <c r="D162" t="inlineStr">
        <is>
          <t>January</t>
        </is>
      </c>
      <c r="E162" t="inlineStr">
        <is>
          <t>2009</t>
        </is>
      </c>
      <c r="F162" t="inlineStr">
        <is>
          <t>May</t>
        </is>
      </c>
      <c r="G162" t="inlineStr">
        <is>
          <t>2009</t>
        </is>
      </c>
      <c r="H162" t="n">
        <v>0.37</v>
      </c>
      <c r="I162" t="n">
        <v>23.05</v>
      </c>
      <c r="J162" t="n">
        <v>14.1</v>
      </c>
      <c r="K162" t="n">
        <v>31.33</v>
      </c>
      <c r="L162" t="n">
        <v>77.59999999999999</v>
      </c>
      <c r="M162" t="n">
        <v>98.59999999999999</v>
      </c>
      <c r="N162" t="n">
        <v>15.67</v>
      </c>
      <c r="V162" t="inlineStr">
        <is>
          <t>Type I – Tropical Monsoon (PAGASA)</t>
        </is>
      </c>
      <c r="W162" t="inlineStr">
        <is>
          <t>Dry (Cool)</t>
        </is>
      </c>
      <c r="Y162" t="inlineStr">
        <is>
          <t>Silty Clay Loam</t>
        </is>
      </c>
      <c r="Z162" t="inlineStr">
        <is>
          <t>Flat / Lowland</t>
        </is>
      </c>
      <c r="AA162" t="n">
        <v>30</v>
      </c>
      <c r="AB162" t="inlineStr">
        <is>
          <t>—</t>
        </is>
      </c>
      <c r="AC162" t="n">
        <v>277.2</v>
      </c>
      <c r="AD162" t="n">
        <v>2</v>
      </c>
      <c r="AE162" t="n">
        <v>81.66</v>
      </c>
      <c r="AF162" t="n">
        <v>2</v>
      </c>
      <c r="AG162" t="inlineStr">
        <is>
          <t>Transplanting (Pindot) — optimal for clay-loam paddy fields</t>
        </is>
      </c>
      <c r="AH162" t="inlineStr">
        <is>
          <t>Wet Tillage (Puddling): 2 plowings + thorough harrowing under flooded condition</t>
        </is>
      </c>
      <c r="AI162" t="inlineStr">
        <is>
          <t>Continuous flooding 2–5 cm depth during vegetative stage; drain 2 weeks before harvest</t>
        </is>
      </c>
      <c r="AL162" t="n">
        <v>4.3925</v>
      </c>
      <c r="AM162" t="inlineStr">
        <is>
          <t>Yes</t>
        </is>
      </c>
      <c r="AN162" t="inlineStr">
        <is>
          <t>Crop + Barangay historical mean</t>
        </is>
      </c>
    </row>
    <row r="163">
      <c r="A163" t="inlineStr">
        <is>
          <t>Palay</t>
        </is>
      </c>
      <c r="B163" t="inlineStr">
        <is>
          <t>Balangobong</t>
        </is>
      </c>
      <c r="C163" t="inlineStr">
        <is>
          <t>DS 2011</t>
        </is>
      </c>
      <c r="D163" t="inlineStr">
        <is>
          <t>January</t>
        </is>
      </c>
      <c r="E163" t="inlineStr">
        <is>
          <t>2011</t>
        </is>
      </c>
      <c r="F163" t="inlineStr">
        <is>
          <t>May</t>
        </is>
      </c>
      <c r="G163" t="inlineStr">
        <is>
          <t>2011</t>
        </is>
      </c>
      <c r="H163" t="n">
        <v>1.5</v>
      </c>
      <c r="I163" t="n">
        <v>23.26</v>
      </c>
      <c r="J163" t="n">
        <v>16.59</v>
      </c>
      <c r="K163" t="n">
        <v>29.76</v>
      </c>
      <c r="L163" t="n">
        <v>81.59</v>
      </c>
      <c r="M163" t="n">
        <v>98.45999999999999</v>
      </c>
      <c r="N163" t="n">
        <v>15.11</v>
      </c>
      <c r="O163" t="n">
        <v>6.52</v>
      </c>
      <c r="P163" t="n">
        <v>27.57</v>
      </c>
      <c r="Q163" t="n">
        <v>22.98</v>
      </c>
      <c r="R163" t="n">
        <v>35.26</v>
      </c>
      <c r="S163" t="n">
        <v>79.29000000000001</v>
      </c>
      <c r="T163" t="n">
        <v>98.15000000000001</v>
      </c>
      <c r="U163" t="n">
        <v>20.37</v>
      </c>
      <c r="V163" t="inlineStr">
        <is>
          <t>Type I – Tropical Monsoon (PAGASA)</t>
        </is>
      </c>
      <c r="W163" t="inlineStr">
        <is>
          <t>Dry (Cool)</t>
        </is>
      </c>
      <c r="X163" t="inlineStr">
        <is>
          <t>Wet</t>
        </is>
      </c>
      <c r="Y163" t="inlineStr">
        <is>
          <t>Silty Clay Loam</t>
        </is>
      </c>
      <c r="Z163" t="inlineStr">
        <is>
          <t>Flat / Lowland</t>
        </is>
      </c>
      <c r="AA163" t="n">
        <v>30</v>
      </c>
      <c r="AB163" t="inlineStr">
        <is>
          <t>—</t>
        </is>
      </c>
      <c r="AC163" t="n">
        <v>281.4</v>
      </c>
      <c r="AD163" t="n">
        <v>2</v>
      </c>
      <c r="AE163" t="n">
        <v>35.32</v>
      </c>
      <c r="AF163" t="n">
        <v>120</v>
      </c>
      <c r="AG163" t="inlineStr">
        <is>
          <t>Transplanting (Pindot) — optimal for clay-loam paddy fields</t>
        </is>
      </c>
      <c r="AH163" t="inlineStr">
        <is>
          <t>Wet Tillage (Puddling): 2 plowings + thorough harrowing under flooded condition</t>
        </is>
      </c>
      <c r="AI163" t="inlineStr">
        <is>
          <t>Continuous flooding 2–5 cm depth during vegetative stage; drain 2 weeks before harvest</t>
        </is>
      </c>
      <c r="AJ163" t="n">
        <v>1.49</v>
      </c>
      <c r="AK163" t="n">
        <v>11.92</v>
      </c>
      <c r="AL163" t="n">
        <v>8</v>
      </c>
      <c r="AM163" t="inlineStr">
        <is>
          <t>No</t>
        </is>
      </c>
      <c r="AN163" t="inlineStr">
        <is>
          <t>Observed harvest</t>
        </is>
      </c>
    </row>
    <row r="164">
      <c r="A164" t="inlineStr">
        <is>
          <t>Palay</t>
        </is>
      </c>
      <c r="B164" t="inlineStr">
        <is>
          <t>Bued</t>
        </is>
      </c>
      <c r="C164" t="inlineStr">
        <is>
          <t>DS 2011</t>
        </is>
      </c>
      <c r="D164" t="inlineStr">
        <is>
          <t>January</t>
        </is>
      </c>
      <c r="E164" t="inlineStr">
        <is>
          <t>2011</t>
        </is>
      </c>
      <c r="F164" t="inlineStr">
        <is>
          <t>May</t>
        </is>
      </c>
      <c r="G164" t="inlineStr">
        <is>
          <t>2011</t>
        </is>
      </c>
      <c r="H164" t="n">
        <v>1.5</v>
      </c>
      <c r="I164" t="n">
        <v>23.26</v>
      </c>
      <c r="J164" t="n">
        <v>16.59</v>
      </c>
      <c r="K164" t="n">
        <v>29.76</v>
      </c>
      <c r="L164" t="n">
        <v>81.59</v>
      </c>
      <c r="M164" t="n">
        <v>98.45999999999999</v>
      </c>
      <c r="N164" t="n">
        <v>15.11</v>
      </c>
      <c r="V164" t="inlineStr">
        <is>
          <t>Type I – Tropical Monsoon (PAGASA)</t>
        </is>
      </c>
      <c r="W164" t="inlineStr">
        <is>
          <t>Dry (Cool)</t>
        </is>
      </c>
      <c r="Y164" t="inlineStr">
        <is>
          <t>Silty Clay Loam</t>
        </is>
      </c>
      <c r="Z164" t="inlineStr">
        <is>
          <t>Flat / Lowland</t>
        </is>
      </c>
      <c r="AA164" t="n">
        <v>30</v>
      </c>
      <c r="AB164" t="inlineStr">
        <is>
          <t>Tagamusing River</t>
        </is>
      </c>
      <c r="AC164" t="n">
        <v>210.84</v>
      </c>
      <c r="AD164" t="n">
        <v>2</v>
      </c>
      <c r="AE164" t="n">
        <v>35.32</v>
      </c>
      <c r="AF164" t="n">
        <v>105.4</v>
      </c>
      <c r="AG164" t="inlineStr">
        <is>
          <t>Transplanting (Pindot) — optimal for clay-loam paddy fields</t>
        </is>
      </c>
      <c r="AH164" t="inlineStr">
        <is>
          <t>Wet Tillage (Puddling): 2 plowings + thorough harrowing under flooded condition</t>
        </is>
      </c>
      <c r="AI164" t="inlineStr">
        <is>
          <t>Continuous flooding 2–5 cm depth during vegetative stage; drain 2 weeks before harvest</t>
        </is>
      </c>
      <c r="AL164" t="n">
        <v>4.268</v>
      </c>
      <c r="AM164" t="inlineStr">
        <is>
          <t>Yes</t>
        </is>
      </c>
      <c r="AN164" t="inlineStr">
        <is>
          <t>Crop + Barangay historical mean</t>
        </is>
      </c>
    </row>
    <row r="165">
      <c r="A165" t="inlineStr">
        <is>
          <t>Palay</t>
        </is>
      </c>
      <c r="B165" t="inlineStr">
        <is>
          <t>Bugayong</t>
        </is>
      </c>
      <c r="C165" t="inlineStr">
        <is>
          <t>DS 2011</t>
        </is>
      </c>
      <c r="D165" t="inlineStr">
        <is>
          <t>January</t>
        </is>
      </c>
      <c r="E165" t="inlineStr">
        <is>
          <t>2011</t>
        </is>
      </c>
      <c r="F165" t="inlineStr">
        <is>
          <t>May</t>
        </is>
      </c>
      <c r="G165" t="inlineStr">
        <is>
          <t>2011</t>
        </is>
      </c>
      <c r="H165" t="n">
        <v>1.5</v>
      </c>
      <c r="I165" t="n">
        <v>23.26</v>
      </c>
      <c r="J165" t="n">
        <v>16.59</v>
      </c>
      <c r="K165" t="n">
        <v>29.76</v>
      </c>
      <c r="L165" t="n">
        <v>81.59</v>
      </c>
      <c r="M165" t="n">
        <v>98.45999999999999</v>
      </c>
      <c r="N165" t="n">
        <v>15.11</v>
      </c>
      <c r="O165" t="n">
        <v>6.52</v>
      </c>
      <c r="P165" t="n">
        <v>27.57</v>
      </c>
      <c r="Q165" t="n">
        <v>22.98</v>
      </c>
      <c r="R165" t="n">
        <v>35.26</v>
      </c>
      <c r="S165" t="n">
        <v>79.29000000000001</v>
      </c>
      <c r="T165" t="n">
        <v>98.15000000000001</v>
      </c>
      <c r="U165" t="n">
        <v>20.37</v>
      </c>
      <c r="V165" t="inlineStr">
        <is>
          <t>Type I – Tropical Monsoon (PAGASA)</t>
        </is>
      </c>
      <c r="W165" t="inlineStr">
        <is>
          <t>Dry (Cool)</t>
        </is>
      </c>
      <c r="X165" t="inlineStr">
        <is>
          <t>Wet</t>
        </is>
      </c>
      <c r="Y165" t="inlineStr">
        <is>
          <t>Sandy Loam / Silty Clay Loam</t>
        </is>
      </c>
      <c r="Z165" t="inlineStr">
        <is>
          <t>Flat / Lowland</t>
        </is>
      </c>
      <c r="AA165" t="n">
        <v>30</v>
      </c>
      <c r="AB165" t="inlineStr">
        <is>
          <t>Aloragat River</t>
        </is>
      </c>
      <c r="AC165" t="n">
        <v>346.08</v>
      </c>
      <c r="AD165" t="n">
        <v>2</v>
      </c>
      <c r="AE165" t="n">
        <v>41.02</v>
      </c>
      <c r="AF165" t="n">
        <v>16.6</v>
      </c>
      <c r="AG165" t="inlineStr">
        <is>
          <t>Transplanting (Pindot) — recommended; Direct Seeding possible in dry season</t>
        </is>
      </c>
      <c r="AH165" t="inlineStr">
        <is>
          <t>Conventional Tillage: 2 plowings + harrowing; puddle thoroughly for transplanting</t>
        </is>
      </c>
      <c r="AI165" t="inlineStr">
        <is>
          <t>Intermittent to continuous flooding; manage according to drainage section present</t>
        </is>
      </c>
      <c r="AJ165" t="n">
        <v>1.49</v>
      </c>
      <c r="AK165" t="n">
        <v>11.92</v>
      </c>
      <c r="AL165" t="n">
        <v>8</v>
      </c>
      <c r="AM165" t="inlineStr">
        <is>
          <t>No</t>
        </is>
      </c>
      <c r="AN165" t="inlineStr">
        <is>
          <t>Observed harvest</t>
        </is>
      </c>
    </row>
    <row r="166">
      <c r="A166" t="inlineStr">
        <is>
          <t>Palay</t>
        </is>
      </c>
      <c r="B166" t="inlineStr">
        <is>
          <t>Camanggaan</t>
        </is>
      </c>
      <c r="C166" t="inlineStr">
        <is>
          <t>DS 2011</t>
        </is>
      </c>
      <c r="D166" t="inlineStr">
        <is>
          <t>January</t>
        </is>
      </c>
      <c r="E166" t="inlineStr">
        <is>
          <t>2011</t>
        </is>
      </c>
      <c r="F166" t="inlineStr">
        <is>
          <t>May</t>
        </is>
      </c>
      <c r="G166" t="inlineStr">
        <is>
          <t>2011</t>
        </is>
      </c>
      <c r="H166" t="n">
        <v>1.5</v>
      </c>
      <c r="I166" t="n">
        <v>23.26</v>
      </c>
      <c r="J166" t="n">
        <v>16.59</v>
      </c>
      <c r="K166" t="n">
        <v>29.76</v>
      </c>
      <c r="L166" t="n">
        <v>81.59</v>
      </c>
      <c r="M166" t="n">
        <v>98.45999999999999</v>
      </c>
      <c r="N166" t="n">
        <v>15.11</v>
      </c>
      <c r="O166" t="n">
        <v>6.52</v>
      </c>
      <c r="P166" t="n">
        <v>27.57</v>
      </c>
      <c r="Q166" t="n">
        <v>22.98</v>
      </c>
      <c r="R166" t="n">
        <v>35.26</v>
      </c>
      <c r="S166" t="n">
        <v>79.29000000000001</v>
      </c>
      <c r="T166" t="n">
        <v>98.15000000000001</v>
      </c>
      <c r="U166" t="n">
        <v>20.37</v>
      </c>
      <c r="V166" t="inlineStr">
        <is>
          <t>Type I – Tropical Monsoon (PAGASA)</t>
        </is>
      </c>
      <c r="W166" t="inlineStr">
        <is>
          <t>Dry (Cool)</t>
        </is>
      </c>
      <c r="X166" t="inlineStr">
        <is>
          <t>Wet</t>
        </is>
      </c>
      <c r="Y166" t="inlineStr">
        <is>
          <t>Sandy Loam</t>
        </is>
      </c>
      <c r="Z166" t="inlineStr">
        <is>
          <t>Flat / Lowland</t>
        </is>
      </c>
      <c r="AA166" t="n">
        <v>30</v>
      </c>
      <c r="AB166" t="inlineStr">
        <is>
          <t>—</t>
        </is>
      </c>
      <c r="AC166" t="n">
        <v>244.44</v>
      </c>
      <c r="AD166" t="n">
        <v>2</v>
      </c>
      <c r="AE166" t="n">
        <v>72.73999999999999</v>
      </c>
      <c r="AF166" t="n">
        <v>10</v>
      </c>
      <c r="AG166" t="inlineStr">
        <is>
          <t>Transplanting (Pindot) or Direct Seeding (Pinaghandaan)</t>
        </is>
      </c>
      <c r="AH166" t="inlineStr">
        <is>
          <t>Conventional Tillage: 2 plowings + 2 harrowings; soil workable when moist</t>
        </is>
      </c>
      <c r="AI166" t="inlineStr">
        <is>
          <t>Intermittent irrigation (Alternate Wetting and Drying — AWD); moderate retention</t>
        </is>
      </c>
      <c r="AJ166" t="n">
        <v>1.05</v>
      </c>
      <c r="AK166" t="n">
        <v>8.4</v>
      </c>
      <c r="AL166" t="n">
        <v>8</v>
      </c>
      <c r="AM166" t="inlineStr">
        <is>
          <t>No</t>
        </is>
      </c>
      <c r="AN166" t="inlineStr">
        <is>
          <t>Observed harvest</t>
        </is>
      </c>
    </row>
    <row r="167">
      <c r="A167" t="inlineStr">
        <is>
          <t>Palay</t>
        </is>
      </c>
      <c r="B167" t="inlineStr">
        <is>
          <t>Capas</t>
        </is>
      </c>
      <c r="C167" t="inlineStr">
        <is>
          <t>DS 2011</t>
        </is>
      </c>
      <c r="D167" t="inlineStr">
        <is>
          <t>January</t>
        </is>
      </c>
      <c r="E167" t="inlineStr">
        <is>
          <t>2011</t>
        </is>
      </c>
      <c r="F167" t="inlineStr">
        <is>
          <t>May</t>
        </is>
      </c>
      <c r="G167" t="inlineStr">
        <is>
          <t>2011</t>
        </is>
      </c>
      <c r="H167" t="n">
        <v>1.5</v>
      </c>
      <c r="I167" t="n">
        <v>23.26</v>
      </c>
      <c r="J167" t="n">
        <v>16.59</v>
      </c>
      <c r="K167" t="n">
        <v>29.76</v>
      </c>
      <c r="L167" t="n">
        <v>81.59</v>
      </c>
      <c r="M167" t="n">
        <v>98.45999999999999</v>
      </c>
      <c r="N167" t="n">
        <v>15.11</v>
      </c>
      <c r="O167" t="n">
        <v>6.52</v>
      </c>
      <c r="P167" t="n">
        <v>27.57</v>
      </c>
      <c r="Q167" t="n">
        <v>22.98</v>
      </c>
      <c r="R167" t="n">
        <v>35.26</v>
      </c>
      <c r="S167" t="n">
        <v>79.29000000000001</v>
      </c>
      <c r="T167" t="n">
        <v>98.15000000000001</v>
      </c>
      <c r="U167" t="n">
        <v>20.37</v>
      </c>
      <c r="V167" t="inlineStr">
        <is>
          <t>Type I – Tropical Monsoon (PAGASA)</t>
        </is>
      </c>
      <c r="W167" t="inlineStr">
        <is>
          <t>Dry (Cool)</t>
        </is>
      </c>
      <c r="X167" t="inlineStr">
        <is>
          <t>Wet</t>
        </is>
      </c>
      <c r="Y167" t="inlineStr">
        <is>
          <t>Sandy Loam</t>
        </is>
      </c>
      <c r="Z167" t="inlineStr">
        <is>
          <t>Flat / Lowland</t>
        </is>
      </c>
      <c r="AA167" t="n">
        <v>30</v>
      </c>
      <c r="AB167" t="inlineStr">
        <is>
          <t>—</t>
        </is>
      </c>
      <c r="AC167" t="n">
        <v>377.16</v>
      </c>
      <c r="AD167" t="n">
        <v>2</v>
      </c>
      <c r="AE167" t="n">
        <v>52.42</v>
      </c>
      <c r="AF167" t="n">
        <v>179</v>
      </c>
      <c r="AG167" t="inlineStr">
        <is>
          <t>Transplanting (Pindot) or Direct Seeding (Pinaghandaan)</t>
        </is>
      </c>
      <c r="AH167" t="inlineStr">
        <is>
          <t>Conventional Tillage: 2 plowings + 2 harrowings; soil workable when moist</t>
        </is>
      </c>
      <c r="AI167" t="inlineStr">
        <is>
          <t>Intermittent irrigation (Alternate Wetting and Drying — AWD); moderate retention</t>
        </is>
      </c>
      <c r="AJ167" t="n">
        <v>1.05</v>
      </c>
      <c r="AK167" t="n">
        <v>8.4</v>
      </c>
      <c r="AL167" t="n">
        <v>8</v>
      </c>
      <c r="AM167" t="inlineStr">
        <is>
          <t>No</t>
        </is>
      </c>
      <c r="AN167" t="inlineStr">
        <is>
          <t>Observed harvest</t>
        </is>
      </c>
    </row>
    <row r="168">
      <c r="A168" t="inlineStr">
        <is>
          <t>Palay</t>
        </is>
      </c>
      <c r="B168" t="inlineStr">
        <is>
          <t>Cili</t>
        </is>
      </c>
      <c r="C168" t="inlineStr">
        <is>
          <t>DS 2011</t>
        </is>
      </c>
      <c r="D168" t="inlineStr">
        <is>
          <t>January</t>
        </is>
      </c>
      <c r="E168" t="inlineStr">
        <is>
          <t>2011</t>
        </is>
      </c>
      <c r="F168" t="inlineStr">
        <is>
          <t>May</t>
        </is>
      </c>
      <c r="G168" t="inlineStr">
        <is>
          <t>2011</t>
        </is>
      </c>
      <c r="H168" t="n">
        <v>1.5</v>
      </c>
      <c r="I168" t="n">
        <v>23.26</v>
      </c>
      <c r="J168" t="n">
        <v>16.59</v>
      </c>
      <c r="K168" t="n">
        <v>29.76</v>
      </c>
      <c r="L168" t="n">
        <v>81.59</v>
      </c>
      <c r="M168" t="n">
        <v>98.45999999999999</v>
      </c>
      <c r="N168" t="n">
        <v>15.11</v>
      </c>
      <c r="O168" t="n">
        <v>6.52</v>
      </c>
      <c r="P168" t="n">
        <v>27.57</v>
      </c>
      <c r="Q168" t="n">
        <v>22.98</v>
      </c>
      <c r="R168" t="n">
        <v>35.26</v>
      </c>
      <c r="S168" t="n">
        <v>79.29000000000001</v>
      </c>
      <c r="T168" t="n">
        <v>98.15000000000001</v>
      </c>
      <c r="U168" t="n">
        <v>20.37</v>
      </c>
      <c r="V168" t="inlineStr">
        <is>
          <t>Type I – Tropical Monsoon (PAGASA)</t>
        </is>
      </c>
      <c r="W168" t="inlineStr">
        <is>
          <t>Dry (Cool)</t>
        </is>
      </c>
      <c r="X168" t="inlineStr">
        <is>
          <t>Wet</t>
        </is>
      </c>
      <c r="Y168" t="inlineStr">
        <is>
          <t>Silty Clay Loam</t>
        </is>
      </c>
      <c r="Z168" t="inlineStr">
        <is>
          <t>Flat / Lowland</t>
        </is>
      </c>
      <c r="AA168" t="n">
        <v>30</v>
      </c>
      <c r="AB168" t="inlineStr">
        <is>
          <t>Alibeng River</t>
        </is>
      </c>
      <c r="AC168" t="n">
        <v>264.6</v>
      </c>
      <c r="AD168" t="n">
        <v>2</v>
      </c>
      <c r="AE168" t="n">
        <v>35.32</v>
      </c>
      <c r="AF168" t="n">
        <v>14</v>
      </c>
      <c r="AG168" t="inlineStr">
        <is>
          <t>Transplanting (Pindot) — optimal for clay-loam paddy fields</t>
        </is>
      </c>
      <c r="AH168" t="inlineStr">
        <is>
          <t>Wet Tillage (Puddling): 2 plowings + thorough harrowing under flooded condition</t>
        </is>
      </c>
      <c r="AI168" t="inlineStr">
        <is>
          <t>Continuous flooding 2–5 cm depth during vegetative stage; drain 2 weeks before harvest</t>
        </is>
      </c>
      <c r="AJ168" t="n">
        <v>1.05</v>
      </c>
      <c r="AK168" t="n">
        <v>8.4</v>
      </c>
      <c r="AL168" t="n">
        <v>8</v>
      </c>
      <c r="AM168" t="inlineStr">
        <is>
          <t>No</t>
        </is>
      </c>
      <c r="AN168" t="inlineStr">
        <is>
          <t>Observed harvest</t>
        </is>
      </c>
    </row>
    <row r="169">
      <c r="A169" t="inlineStr">
        <is>
          <t>Palay</t>
        </is>
      </c>
      <c r="B169" t="inlineStr">
        <is>
          <t>Dumayat</t>
        </is>
      </c>
      <c r="C169" t="inlineStr">
        <is>
          <t>DS 2011</t>
        </is>
      </c>
      <c r="D169" t="inlineStr">
        <is>
          <t>January</t>
        </is>
      </c>
      <c r="E169" t="inlineStr">
        <is>
          <t>2011</t>
        </is>
      </c>
      <c r="F169" t="inlineStr">
        <is>
          <t>May</t>
        </is>
      </c>
      <c r="G169" t="inlineStr">
        <is>
          <t>2011</t>
        </is>
      </c>
      <c r="H169" t="n">
        <v>1.5</v>
      </c>
      <c r="I169" t="n">
        <v>23.26</v>
      </c>
      <c r="J169" t="n">
        <v>16.59</v>
      </c>
      <c r="K169" t="n">
        <v>29.76</v>
      </c>
      <c r="L169" t="n">
        <v>81.59</v>
      </c>
      <c r="M169" t="n">
        <v>98.45999999999999</v>
      </c>
      <c r="N169" t="n">
        <v>15.11</v>
      </c>
      <c r="V169" t="inlineStr">
        <is>
          <t>Type I – Tropical Monsoon (PAGASA)</t>
        </is>
      </c>
      <c r="W169" t="inlineStr">
        <is>
          <t>Dry (Cool)</t>
        </is>
      </c>
      <c r="Y169" t="inlineStr">
        <is>
          <t>Silty Clay Loam</t>
        </is>
      </c>
      <c r="Z169" t="inlineStr">
        <is>
          <t>Flat / Lowland</t>
        </is>
      </c>
      <c r="AA169" t="n">
        <v>30</v>
      </c>
      <c r="AB169" t="inlineStr">
        <is>
          <t>—</t>
        </is>
      </c>
      <c r="AC169" t="n">
        <v>266.28</v>
      </c>
      <c r="AD169" t="n">
        <v>2</v>
      </c>
      <c r="AE169" t="n">
        <v>35.32</v>
      </c>
      <c r="AF169" t="n">
        <v>12.25</v>
      </c>
      <c r="AG169" t="inlineStr">
        <is>
          <t>Transplanting (Pindot) — optimal for clay-loam paddy fields</t>
        </is>
      </c>
      <c r="AH169" t="inlineStr">
        <is>
          <t>Wet Tillage (Puddling): 2 plowings + thorough harrowing under flooded condition</t>
        </is>
      </c>
      <c r="AI169" t="inlineStr">
        <is>
          <t>Continuous flooding 2–5 cm depth during vegetative stage; drain 2 weeks before harvest</t>
        </is>
      </c>
      <c r="AL169" t="n">
        <v>3.111</v>
      </c>
      <c r="AM169" t="inlineStr">
        <is>
          <t>Yes</t>
        </is>
      </c>
      <c r="AN169" t="inlineStr">
        <is>
          <t>Crop + Barangay historical mean</t>
        </is>
      </c>
    </row>
    <row r="170">
      <c r="A170" t="inlineStr">
        <is>
          <t>Palay</t>
        </is>
      </c>
      <c r="B170" t="inlineStr">
        <is>
          <t>Linmansangan</t>
        </is>
      </c>
      <c r="C170" t="inlineStr">
        <is>
          <t>DS 2011</t>
        </is>
      </c>
      <c r="D170" t="inlineStr">
        <is>
          <t>January</t>
        </is>
      </c>
      <c r="E170" t="inlineStr">
        <is>
          <t>2011</t>
        </is>
      </c>
      <c r="F170" t="inlineStr">
        <is>
          <t>May</t>
        </is>
      </c>
      <c r="G170" t="inlineStr">
        <is>
          <t>2011</t>
        </is>
      </c>
      <c r="H170" t="n">
        <v>1.5</v>
      </c>
      <c r="I170" t="n">
        <v>23.26</v>
      </c>
      <c r="J170" t="n">
        <v>16.59</v>
      </c>
      <c r="K170" t="n">
        <v>29.76</v>
      </c>
      <c r="L170" t="n">
        <v>81.59</v>
      </c>
      <c r="M170" t="n">
        <v>98.45999999999999</v>
      </c>
      <c r="N170" t="n">
        <v>15.11</v>
      </c>
      <c r="V170" t="inlineStr">
        <is>
          <t>Type I – Tropical Monsoon (PAGASA)</t>
        </is>
      </c>
      <c r="W170" t="inlineStr">
        <is>
          <t>Dry (Cool)</t>
        </is>
      </c>
      <c r="Y170" t="inlineStr">
        <is>
          <t>Silty Clay Loam</t>
        </is>
      </c>
      <c r="Z170" t="inlineStr">
        <is>
          <t>Flat / Lowland</t>
        </is>
      </c>
      <c r="AA170" t="n">
        <v>30</v>
      </c>
      <c r="AB170" t="inlineStr">
        <is>
          <t>—</t>
        </is>
      </c>
      <c r="AC170" t="n">
        <v>492.24</v>
      </c>
      <c r="AD170" t="n">
        <v>2</v>
      </c>
      <c r="AE170" t="n">
        <v>81.66</v>
      </c>
      <c r="AF170" t="n">
        <v>12.25</v>
      </c>
      <c r="AG170" t="inlineStr">
        <is>
          <t>Transplanting (Pindot) — optimal for clay-loam paddy fields</t>
        </is>
      </c>
      <c r="AH170" t="inlineStr">
        <is>
          <t>Wet Tillage (Puddling): 2 plowings + thorough harrowing under flooded condition</t>
        </is>
      </c>
      <c r="AI170" t="inlineStr">
        <is>
          <t>Continuous flooding 2–5 cm depth during vegetative stage; drain 2 weeks before harvest</t>
        </is>
      </c>
      <c r="AL170" t="n">
        <v>2.436</v>
      </c>
      <c r="AM170" t="inlineStr">
        <is>
          <t>Yes</t>
        </is>
      </c>
      <c r="AN170" t="inlineStr">
        <is>
          <t>Crop + Barangay historical mean</t>
        </is>
      </c>
    </row>
    <row r="171">
      <c r="A171" t="inlineStr">
        <is>
          <t>Palay</t>
        </is>
      </c>
      <c r="B171" t="inlineStr">
        <is>
          <t>Mangkasuy</t>
        </is>
      </c>
      <c r="C171" t="inlineStr">
        <is>
          <t>DS 2011</t>
        </is>
      </c>
      <c r="D171" t="inlineStr">
        <is>
          <t>January</t>
        </is>
      </c>
      <c r="E171" t="inlineStr">
        <is>
          <t>2011</t>
        </is>
      </c>
      <c r="F171" t="inlineStr">
        <is>
          <t>May</t>
        </is>
      </c>
      <c r="G171" t="inlineStr">
        <is>
          <t>2011</t>
        </is>
      </c>
      <c r="H171" t="n">
        <v>1.5</v>
      </c>
      <c r="I171" t="n">
        <v>23.26</v>
      </c>
      <c r="J171" t="n">
        <v>16.59</v>
      </c>
      <c r="K171" t="n">
        <v>29.76</v>
      </c>
      <c r="L171" t="n">
        <v>81.59</v>
      </c>
      <c r="M171" t="n">
        <v>98.45999999999999</v>
      </c>
      <c r="N171" t="n">
        <v>15.11</v>
      </c>
      <c r="O171" t="n">
        <v>6.52</v>
      </c>
      <c r="P171" t="n">
        <v>27.57</v>
      </c>
      <c r="Q171" t="n">
        <v>22.98</v>
      </c>
      <c r="R171" t="n">
        <v>35.26</v>
      </c>
      <c r="S171" t="n">
        <v>79.29000000000001</v>
      </c>
      <c r="T171" t="n">
        <v>98.15000000000001</v>
      </c>
      <c r="U171" t="n">
        <v>20.37</v>
      </c>
      <c r="V171" t="inlineStr">
        <is>
          <t>Type I – Tropical Monsoon (PAGASA)</t>
        </is>
      </c>
      <c r="W171" t="inlineStr">
        <is>
          <t>Dry (Cool)</t>
        </is>
      </c>
      <c r="X171" t="inlineStr">
        <is>
          <t>Wet</t>
        </is>
      </c>
      <c r="Y171" t="inlineStr">
        <is>
          <t>Sandy Loam</t>
        </is>
      </c>
      <c r="Z171" t="inlineStr">
        <is>
          <t>Flat / Lowland</t>
        </is>
      </c>
      <c r="AA171" t="n">
        <v>30</v>
      </c>
      <c r="AB171" t="inlineStr">
        <is>
          <t>Tagamusing River</t>
        </is>
      </c>
      <c r="AC171" t="n">
        <v>802.2</v>
      </c>
      <c r="AD171" t="n">
        <v>2</v>
      </c>
      <c r="AE171" t="n">
        <v>80.3</v>
      </c>
      <c r="AF171" t="n">
        <v>16.9</v>
      </c>
      <c r="AG171" t="inlineStr">
        <is>
          <t>Transplanting (Pindot) or Direct Seeding (Pinaghandaan)</t>
        </is>
      </c>
      <c r="AH171" t="inlineStr">
        <is>
          <t>Conventional Tillage: 2 plowings + 2 harrowings; soil workable when moist</t>
        </is>
      </c>
      <c r="AI171" t="inlineStr">
        <is>
          <t>Intermittent irrigation (Alternate Wetting and Drying — AWD); moderate retention</t>
        </is>
      </c>
      <c r="AJ171" t="n">
        <v>5.37</v>
      </c>
      <c r="AK171" t="n">
        <v>35.25</v>
      </c>
      <c r="AL171" t="n">
        <v>6.56</v>
      </c>
      <c r="AM171" t="inlineStr">
        <is>
          <t>No</t>
        </is>
      </c>
      <c r="AN171" t="inlineStr">
        <is>
          <t>Observed harvest</t>
        </is>
      </c>
    </row>
    <row r="172">
      <c r="A172" t="inlineStr">
        <is>
          <t>Palay</t>
        </is>
      </c>
      <c r="B172" t="inlineStr">
        <is>
          <t>Moreno</t>
        </is>
      </c>
      <c r="C172" t="inlineStr">
        <is>
          <t>DS 2011</t>
        </is>
      </c>
      <c r="D172" t="inlineStr">
        <is>
          <t>January</t>
        </is>
      </c>
      <c r="E172" t="inlineStr">
        <is>
          <t>2011</t>
        </is>
      </c>
      <c r="F172" t="inlineStr">
        <is>
          <t>May</t>
        </is>
      </c>
      <c r="G172" t="inlineStr">
        <is>
          <t>2011</t>
        </is>
      </c>
      <c r="H172" t="n">
        <v>1.5</v>
      </c>
      <c r="I172" t="n">
        <v>23.26</v>
      </c>
      <c r="J172" t="n">
        <v>16.59</v>
      </c>
      <c r="K172" t="n">
        <v>29.76</v>
      </c>
      <c r="L172" t="n">
        <v>81.59</v>
      </c>
      <c r="M172" t="n">
        <v>98.45999999999999</v>
      </c>
      <c r="N172" t="n">
        <v>15.11</v>
      </c>
      <c r="V172" t="inlineStr">
        <is>
          <t>Type I – Tropical Monsoon (PAGASA)</t>
        </is>
      </c>
      <c r="W172" t="inlineStr">
        <is>
          <t>Dry (Cool)</t>
        </is>
      </c>
      <c r="Y172" t="inlineStr">
        <is>
          <t>Sandy Loam</t>
        </is>
      </c>
      <c r="Z172" t="inlineStr">
        <is>
          <t>Moderately Sloping / Highland</t>
        </is>
      </c>
      <c r="AA172" t="n">
        <v>90</v>
      </c>
      <c r="AB172" t="inlineStr">
        <is>
          <t>Alibeng River</t>
        </is>
      </c>
      <c r="AC172" t="n">
        <v>641.76</v>
      </c>
      <c r="AD172" t="n">
        <v>12.14</v>
      </c>
      <c r="AE172" t="n">
        <v>135.56</v>
      </c>
      <c r="AF172" t="n">
        <v>25.69</v>
      </c>
      <c r="AG172" t="inlineStr">
        <is>
          <t>Transplanting (Pindot) or Direct Seeding (Pinaghandaan)</t>
        </is>
      </c>
      <c r="AH172" t="inlineStr">
        <is>
          <t>Conventional Tillage: 2 plowings + 2 harrowings; soil workable when moist</t>
        </is>
      </c>
      <c r="AI172" t="inlineStr">
        <is>
          <t>Intermittent irrigation (Alternate Wetting and Drying — AWD); moderate retention; terrace or bund-assisted water retention essential on slopes</t>
        </is>
      </c>
      <c r="AL172" t="n">
        <v>4.684545454545455</v>
      </c>
      <c r="AM172" t="inlineStr">
        <is>
          <t>Yes</t>
        </is>
      </c>
      <c r="AN172" t="inlineStr">
        <is>
          <t>Crop + Barangay historical mean</t>
        </is>
      </c>
    </row>
    <row r="173">
      <c r="A173" t="inlineStr">
        <is>
          <t>Palay</t>
        </is>
      </c>
      <c r="B173" t="inlineStr">
        <is>
          <t>Pasileng Norte</t>
        </is>
      </c>
      <c r="C173" t="inlineStr">
        <is>
          <t>DS 2011</t>
        </is>
      </c>
      <c r="D173" t="inlineStr">
        <is>
          <t>January</t>
        </is>
      </c>
      <c r="E173" t="inlineStr">
        <is>
          <t>2011</t>
        </is>
      </c>
      <c r="F173" t="inlineStr">
        <is>
          <t>May</t>
        </is>
      </c>
      <c r="G173" t="inlineStr">
        <is>
          <t>2011</t>
        </is>
      </c>
      <c r="H173" t="n">
        <v>1.5</v>
      </c>
      <c r="I173" t="n">
        <v>23.26</v>
      </c>
      <c r="J173" t="n">
        <v>16.59</v>
      </c>
      <c r="K173" t="n">
        <v>29.76</v>
      </c>
      <c r="L173" t="n">
        <v>81.59</v>
      </c>
      <c r="M173" t="n">
        <v>98.45999999999999</v>
      </c>
      <c r="N173" t="n">
        <v>15.11</v>
      </c>
      <c r="O173" t="n">
        <v>6.52</v>
      </c>
      <c r="P173" t="n">
        <v>27.57</v>
      </c>
      <c r="Q173" t="n">
        <v>22.98</v>
      </c>
      <c r="R173" t="n">
        <v>35.26</v>
      </c>
      <c r="S173" t="n">
        <v>79.29000000000001</v>
      </c>
      <c r="T173" t="n">
        <v>98.15000000000001</v>
      </c>
      <c r="U173" t="n">
        <v>20.37</v>
      </c>
      <c r="V173" t="inlineStr">
        <is>
          <t>Type I – Tropical Monsoon (PAGASA)</t>
        </is>
      </c>
      <c r="W173" t="inlineStr">
        <is>
          <t>Dry (Cool)</t>
        </is>
      </c>
      <c r="X173" t="inlineStr">
        <is>
          <t>Wet</t>
        </is>
      </c>
      <c r="Y173" t="inlineStr">
        <is>
          <t>Sandy Loam</t>
        </is>
      </c>
      <c r="Z173" t="inlineStr">
        <is>
          <t>Flat / Lowland</t>
        </is>
      </c>
      <c r="AA173" t="n">
        <v>30</v>
      </c>
      <c r="AB173" t="inlineStr">
        <is>
          <t>Tagamusing River</t>
        </is>
      </c>
      <c r="AC173" t="n">
        <v>140.28</v>
      </c>
      <c r="AD173" t="n">
        <v>2</v>
      </c>
      <c r="AE173" t="n">
        <v>26.4</v>
      </c>
      <c r="AF173" t="n">
        <v>74</v>
      </c>
      <c r="AG173" t="inlineStr">
        <is>
          <t>Transplanting (Pindot) or Direct Seeding (Pinaghandaan)</t>
        </is>
      </c>
      <c r="AH173" t="inlineStr">
        <is>
          <t>Conventional Tillage: 2 plowings + 2 harrowings; soil workable when moist</t>
        </is>
      </c>
      <c r="AI173" t="inlineStr">
        <is>
          <t>Intermittent irrigation (Alternate Wetting and Drying — AWD); moderate retention</t>
        </is>
      </c>
      <c r="AJ173" t="n">
        <v>5.51</v>
      </c>
      <c r="AK173" t="n">
        <v>22.63</v>
      </c>
      <c r="AL173" t="n">
        <v>4.11</v>
      </c>
      <c r="AM173" t="inlineStr">
        <is>
          <t>No</t>
        </is>
      </c>
      <c r="AN173" t="inlineStr">
        <is>
          <t>Observed harvest</t>
        </is>
      </c>
    </row>
    <row r="174">
      <c r="A174" t="inlineStr">
        <is>
          <t>Palay</t>
        </is>
      </c>
      <c r="B174" t="inlineStr">
        <is>
          <t>Pasileng Sur</t>
        </is>
      </c>
      <c r="C174" t="inlineStr">
        <is>
          <t>DS 2011</t>
        </is>
      </c>
      <c r="D174" t="inlineStr">
        <is>
          <t>January</t>
        </is>
      </c>
      <c r="E174" t="inlineStr">
        <is>
          <t>2011</t>
        </is>
      </c>
      <c r="F174" t="inlineStr">
        <is>
          <t>May</t>
        </is>
      </c>
      <c r="G174" t="inlineStr">
        <is>
          <t>2011</t>
        </is>
      </c>
      <c r="H174" t="n">
        <v>1.5</v>
      </c>
      <c r="I174" t="n">
        <v>23.26</v>
      </c>
      <c r="J174" t="n">
        <v>16.59</v>
      </c>
      <c r="K174" t="n">
        <v>29.76</v>
      </c>
      <c r="L174" t="n">
        <v>81.59</v>
      </c>
      <c r="M174" t="n">
        <v>98.45999999999999</v>
      </c>
      <c r="N174" t="n">
        <v>15.11</v>
      </c>
      <c r="O174" t="n">
        <v>6.52</v>
      </c>
      <c r="P174" t="n">
        <v>27.57</v>
      </c>
      <c r="Q174" t="n">
        <v>22.98</v>
      </c>
      <c r="R174" t="n">
        <v>35.26</v>
      </c>
      <c r="S174" t="n">
        <v>79.29000000000001</v>
      </c>
      <c r="T174" t="n">
        <v>98.15000000000001</v>
      </c>
      <c r="U174" t="n">
        <v>20.37</v>
      </c>
      <c r="V174" t="inlineStr">
        <is>
          <t>Type I – Tropical Monsoon (PAGASA)</t>
        </is>
      </c>
      <c r="W174" t="inlineStr">
        <is>
          <t>Dry (Cool)</t>
        </is>
      </c>
      <c r="X174" t="inlineStr">
        <is>
          <t>Wet</t>
        </is>
      </c>
      <c r="Y174" t="inlineStr">
        <is>
          <t>Sandy Loam</t>
        </is>
      </c>
      <c r="Z174" t="inlineStr">
        <is>
          <t>Flat / Lowland</t>
        </is>
      </c>
      <c r="AA174" t="n">
        <v>30</v>
      </c>
      <c r="AB174" t="inlineStr">
        <is>
          <t>Tagamusing River</t>
        </is>
      </c>
      <c r="AC174" t="n">
        <v>414.96</v>
      </c>
      <c r="AD174" t="n">
        <v>7.89</v>
      </c>
      <c r="AE174" t="n">
        <v>41.02</v>
      </c>
      <c r="AF174" t="n">
        <v>160</v>
      </c>
      <c r="AG174" t="inlineStr">
        <is>
          <t>Transplanting (Pindot) or Direct Seeding (Pinaghandaan)</t>
        </is>
      </c>
      <c r="AH174" t="inlineStr">
        <is>
          <t>Conventional Tillage: 2 plowings + 2 harrowings; soil workable when moist</t>
        </is>
      </c>
      <c r="AI174" t="inlineStr">
        <is>
          <t>Intermittent irrigation (Alternate Wetting and Drying — AWD); moderate retention</t>
        </is>
      </c>
      <c r="AJ174" t="n">
        <v>4.4</v>
      </c>
      <c r="AK174" t="n">
        <v>35.2</v>
      </c>
      <c r="AL174" t="n">
        <v>8</v>
      </c>
      <c r="AM174" t="inlineStr">
        <is>
          <t>No</t>
        </is>
      </c>
      <c r="AN174" t="inlineStr">
        <is>
          <t>Observed harvest</t>
        </is>
      </c>
    </row>
    <row r="175">
      <c r="A175" t="inlineStr">
        <is>
          <t>Palay</t>
        </is>
      </c>
      <c r="B175" t="inlineStr">
        <is>
          <t>San Felipe Central</t>
        </is>
      </c>
      <c r="C175" t="inlineStr">
        <is>
          <t>DS 2011</t>
        </is>
      </c>
      <c r="D175" t="inlineStr">
        <is>
          <t>January</t>
        </is>
      </c>
      <c r="E175" t="inlineStr">
        <is>
          <t>2011</t>
        </is>
      </c>
      <c r="F175" t="inlineStr">
        <is>
          <t>May</t>
        </is>
      </c>
      <c r="G175" t="inlineStr">
        <is>
          <t>2011</t>
        </is>
      </c>
      <c r="H175" t="n">
        <v>1.5</v>
      </c>
      <c r="I175" t="n">
        <v>23.26</v>
      </c>
      <c r="J175" t="n">
        <v>16.59</v>
      </c>
      <c r="K175" t="n">
        <v>29.76</v>
      </c>
      <c r="L175" t="n">
        <v>81.59</v>
      </c>
      <c r="M175" t="n">
        <v>98.45999999999999</v>
      </c>
      <c r="N175" t="n">
        <v>15.11</v>
      </c>
      <c r="O175" t="n">
        <v>6.52</v>
      </c>
      <c r="P175" t="n">
        <v>27.57</v>
      </c>
      <c r="Q175" t="n">
        <v>22.98</v>
      </c>
      <c r="R175" t="n">
        <v>35.26</v>
      </c>
      <c r="S175" t="n">
        <v>79.29000000000001</v>
      </c>
      <c r="T175" t="n">
        <v>98.15000000000001</v>
      </c>
      <c r="U175" t="n">
        <v>20.37</v>
      </c>
      <c r="V175" t="inlineStr">
        <is>
          <t>Type I – Tropical Monsoon (PAGASA)</t>
        </is>
      </c>
      <c r="W175" t="inlineStr">
        <is>
          <t>Dry (Cool)</t>
        </is>
      </c>
      <c r="X175" t="inlineStr">
        <is>
          <t>Wet</t>
        </is>
      </c>
      <c r="Y175" t="inlineStr">
        <is>
          <t>Sandy Loam</t>
        </is>
      </c>
      <c r="Z175" t="inlineStr">
        <is>
          <t>Flat / Lowland</t>
        </is>
      </c>
      <c r="AA175" t="n">
        <v>30</v>
      </c>
      <c r="AB175" t="inlineStr">
        <is>
          <t>—</t>
        </is>
      </c>
      <c r="AC175" t="n">
        <v>452.76</v>
      </c>
      <c r="AD175" t="n">
        <v>6</v>
      </c>
      <c r="AE175" t="n">
        <v>26.4</v>
      </c>
      <c r="AF175" t="n">
        <v>129</v>
      </c>
      <c r="AG175" t="inlineStr">
        <is>
          <t>Transplanting (Pindot) or Direct Seeding (Pinaghandaan)</t>
        </is>
      </c>
      <c r="AH175" t="inlineStr">
        <is>
          <t>Conventional Tillage: 2 plowings + 2 harrowings; soil workable when moist</t>
        </is>
      </c>
      <c r="AI175" t="inlineStr">
        <is>
          <t>Intermittent irrigation (Alternate Wetting and Drying — AWD); moderate retention</t>
        </is>
      </c>
      <c r="AJ175" t="n">
        <v>4.31</v>
      </c>
      <c r="AK175" t="n">
        <v>34.48</v>
      </c>
      <c r="AL175" t="n">
        <v>8</v>
      </c>
      <c r="AM175" t="inlineStr">
        <is>
          <t>No</t>
        </is>
      </c>
      <c r="AN175" t="inlineStr">
        <is>
          <t>Observed harvest</t>
        </is>
      </c>
    </row>
    <row r="176">
      <c r="A176" t="inlineStr">
        <is>
          <t>Palay</t>
        </is>
      </c>
      <c r="B176" t="inlineStr">
        <is>
          <t>San Felipe Sur</t>
        </is>
      </c>
      <c r="C176" t="inlineStr">
        <is>
          <t>DS 2011</t>
        </is>
      </c>
      <c r="D176" t="inlineStr">
        <is>
          <t>January</t>
        </is>
      </c>
      <c r="E176" t="inlineStr">
        <is>
          <t>2011</t>
        </is>
      </c>
      <c r="F176" t="inlineStr">
        <is>
          <t>May</t>
        </is>
      </c>
      <c r="G176" t="inlineStr">
        <is>
          <t>2011</t>
        </is>
      </c>
      <c r="H176" t="n">
        <v>1.5</v>
      </c>
      <c r="I176" t="n">
        <v>23.26</v>
      </c>
      <c r="J176" t="n">
        <v>16.59</v>
      </c>
      <c r="K176" t="n">
        <v>29.76</v>
      </c>
      <c r="L176" t="n">
        <v>81.59</v>
      </c>
      <c r="M176" t="n">
        <v>98.45999999999999</v>
      </c>
      <c r="N176" t="n">
        <v>15.11</v>
      </c>
      <c r="O176" t="n">
        <v>6.52</v>
      </c>
      <c r="P176" t="n">
        <v>27.57</v>
      </c>
      <c r="Q176" t="n">
        <v>22.98</v>
      </c>
      <c r="R176" t="n">
        <v>35.26</v>
      </c>
      <c r="S176" t="n">
        <v>79.29000000000001</v>
      </c>
      <c r="T176" t="n">
        <v>98.15000000000001</v>
      </c>
      <c r="U176" t="n">
        <v>20.37</v>
      </c>
      <c r="V176" t="inlineStr">
        <is>
          <t>Type I – Tropical Monsoon (PAGASA)</t>
        </is>
      </c>
      <c r="W176" t="inlineStr">
        <is>
          <t>Dry (Cool)</t>
        </is>
      </c>
      <c r="X176" t="inlineStr">
        <is>
          <t>Wet</t>
        </is>
      </c>
      <c r="Y176" t="inlineStr">
        <is>
          <t>Sandy Loam</t>
        </is>
      </c>
      <c r="Z176" t="inlineStr">
        <is>
          <t>Flat / Lowland</t>
        </is>
      </c>
      <c r="AA176" t="n">
        <v>30</v>
      </c>
      <c r="AB176" t="inlineStr">
        <is>
          <t>Tagamusing River</t>
        </is>
      </c>
      <c r="AC176" t="n">
        <v>504</v>
      </c>
      <c r="AD176" t="n">
        <v>7.28</v>
      </c>
      <c r="AE176" t="n">
        <v>32.1</v>
      </c>
      <c r="AF176" t="n">
        <v>150</v>
      </c>
      <c r="AG176" t="inlineStr">
        <is>
          <t>Transplanting (Pindot) or Direct Seeding (Pinaghandaan)</t>
        </is>
      </c>
      <c r="AH176" t="inlineStr">
        <is>
          <t>Conventional Tillage: 2 plowings + 2 harrowings; soil workable when moist</t>
        </is>
      </c>
      <c r="AI176" t="inlineStr">
        <is>
          <t>Intermittent irrigation (Alternate Wetting and Drying — AWD); moderate retention</t>
        </is>
      </c>
      <c r="AJ176" t="n">
        <v>3.02</v>
      </c>
      <c r="AK176" t="n">
        <v>24.16</v>
      </c>
      <c r="AL176" t="n">
        <v>8</v>
      </c>
      <c r="AM176" t="inlineStr">
        <is>
          <t>No</t>
        </is>
      </c>
      <c r="AN176" t="inlineStr">
        <is>
          <t>Observed harvest</t>
        </is>
      </c>
    </row>
    <row r="177">
      <c r="A177" t="inlineStr">
        <is>
          <t>Palay</t>
        </is>
      </c>
      <c r="B177" t="inlineStr">
        <is>
          <t>San Pablo</t>
        </is>
      </c>
      <c r="C177" t="inlineStr">
        <is>
          <t>DS 2011</t>
        </is>
      </c>
      <c r="D177" t="inlineStr">
        <is>
          <t>January</t>
        </is>
      </c>
      <c r="E177" t="inlineStr">
        <is>
          <t>2011</t>
        </is>
      </c>
      <c r="F177" t="inlineStr">
        <is>
          <t>May</t>
        </is>
      </c>
      <c r="G177" t="inlineStr">
        <is>
          <t>2011</t>
        </is>
      </c>
      <c r="H177" t="n">
        <v>1.5</v>
      </c>
      <c r="I177" t="n">
        <v>23.26</v>
      </c>
      <c r="J177" t="n">
        <v>16.59</v>
      </c>
      <c r="K177" t="n">
        <v>29.76</v>
      </c>
      <c r="L177" t="n">
        <v>81.59</v>
      </c>
      <c r="M177" t="n">
        <v>98.45999999999999</v>
      </c>
      <c r="N177" t="n">
        <v>15.11</v>
      </c>
      <c r="O177" t="n">
        <v>6.52</v>
      </c>
      <c r="P177" t="n">
        <v>27.57</v>
      </c>
      <c r="Q177" t="n">
        <v>22.98</v>
      </c>
      <c r="R177" t="n">
        <v>35.26</v>
      </c>
      <c r="S177" t="n">
        <v>79.29000000000001</v>
      </c>
      <c r="T177" t="n">
        <v>98.15000000000001</v>
      </c>
      <c r="U177" t="n">
        <v>20.37</v>
      </c>
      <c r="V177" t="inlineStr">
        <is>
          <t>Type I – Tropical Monsoon (PAGASA)</t>
        </is>
      </c>
      <c r="W177" t="inlineStr">
        <is>
          <t>Dry (Cool)</t>
        </is>
      </c>
      <c r="X177" t="inlineStr">
        <is>
          <t>Wet</t>
        </is>
      </c>
      <c r="Y177" t="inlineStr">
        <is>
          <t>Sandy Loam</t>
        </is>
      </c>
      <c r="Z177" t="inlineStr">
        <is>
          <t>Flat / Lowland</t>
        </is>
      </c>
      <c r="AA177" t="n">
        <v>30</v>
      </c>
      <c r="AB177" t="inlineStr">
        <is>
          <t>San Pablo Creek</t>
        </is>
      </c>
      <c r="AC177" t="n">
        <v>215.04</v>
      </c>
      <c r="AD177" t="n">
        <v>2</v>
      </c>
      <c r="AE177" t="n">
        <v>20.7</v>
      </c>
      <c r="AF177" t="n">
        <v>115</v>
      </c>
      <c r="AG177" t="inlineStr">
        <is>
          <t>Transplanting (Pindot) or Direct Seeding (Pinaghandaan)</t>
        </is>
      </c>
      <c r="AH177" t="inlineStr">
        <is>
          <t>Conventional Tillage: 2 plowings + 2 harrowings; soil workable when moist</t>
        </is>
      </c>
      <c r="AI177" t="inlineStr">
        <is>
          <t>Intermittent irrigation (Alternate Wetting and Drying — AWD); moderate retention</t>
        </is>
      </c>
      <c r="AJ177" t="n">
        <v>3.87</v>
      </c>
      <c r="AK177" t="n">
        <v>23.54</v>
      </c>
      <c r="AL177" t="n">
        <v>6.08</v>
      </c>
      <c r="AM177" t="inlineStr">
        <is>
          <t>No</t>
        </is>
      </c>
      <c r="AN177" t="inlineStr">
        <is>
          <t>Observed harvest</t>
        </is>
      </c>
    </row>
    <row r="178">
      <c r="A178" t="inlineStr">
        <is>
          <t>Palay</t>
        </is>
      </c>
      <c r="B178" t="inlineStr">
        <is>
          <t>Santiago</t>
        </is>
      </c>
      <c r="C178" t="inlineStr">
        <is>
          <t>DS 2011</t>
        </is>
      </c>
      <c r="D178" t="inlineStr">
        <is>
          <t>January</t>
        </is>
      </c>
      <c r="E178" t="inlineStr">
        <is>
          <t>2011</t>
        </is>
      </c>
      <c r="F178" t="inlineStr">
        <is>
          <t>May</t>
        </is>
      </c>
      <c r="G178" t="inlineStr">
        <is>
          <t>2011</t>
        </is>
      </c>
      <c r="H178" t="n">
        <v>1.5</v>
      </c>
      <c r="I178" t="n">
        <v>23.26</v>
      </c>
      <c r="J178" t="n">
        <v>16.59</v>
      </c>
      <c r="K178" t="n">
        <v>29.76</v>
      </c>
      <c r="L178" t="n">
        <v>81.59</v>
      </c>
      <c r="M178" t="n">
        <v>98.45999999999999</v>
      </c>
      <c r="N178" t="n">
        <v>15.11</v>
      </c>
      <c r="O178" t="n">
        <v>6.52</v>
      </c>
      <c r="P178" t="n">
        <v>27.57</v>
      </c>
      <c r="Q178" t="n">
        <v>22.98</v>
      </c>
      <c r="R178" t="n">
        <v>35.26</v>
      </c>
      <c r="S178" t="n">
        <v>79.29000000000001</v>
      </c>
      <c r="T178" t="n">
        <v>98.15000000000001</v>
      </c>
      <c r="U178" t="n">
        <v>20.37</v>
      </c>
      <c r="V178" t="inlineStr">
        <is>
          <t>Type I – Tropical Monsoon (PAGASA)</t>
        </is>
      </c>
      <c r="W178" t="inlineStr">
        <is>
          <t>Dry (Cool)</t>
        </is>
      </c>
      <c r="X178" t="inlineStr">
        <is>
          <t>Wet</t>
        </is>
      </c>
      <c r="Y178" t="inlineStr">
        <is>
          <t>Silty Clay Loam</t>
        </is>
      </c>
      <c r="Z178" t="inlineStr">
        <is>
          <t>Flat / Lowland</t>
        </is>
      </c>
      <c r="AA178" t="n">
        <v>30</v>
      </c>
      <c r="AB178" t="inlineStr">
        <is>
          <t>—</t>
        </is>
      </c>
      <c r="AC178" t="n">
        <v>283.08</v>
      </c>
      <c r="AD178" t="n">
        <v>5.3</v>
      </c>
      <c r="AE178" t="n">
        <v>81.66</v>
      </c>
      <c r="AF178" t="n">
        <v>12</v>
      </c>
      <c r="AG178" t="inlineStr">
        <is>
          <t>Transplanting (Pindot) — optimal for clay-loam paddy fields</t>
        </is>
      </c>
      <c r="AH178" t="inlineStr">
        <is>
          <t>Wet Tillage (Puddling): 2 plowings + thorough harrowing under flooded condition</t>
        </is>
      </c>
      <c r="AI178" t="inlineStr">
        <is>
          <t>Continuous flooding 2–5 cm depth during vegetative stage; drain 2 weeks before harvest</t>
        </is>
      </c>
      <c r="AJ178" t="n">
        <v>3.32</v>
      </c>
      <c r="AK178" t="n">
        <v>26.56</v>
      </c>
      <c r="AL178" t="n">
        <v>8</v>
      </c>
      <c r="AM178" t="inlineStr">
        <is>
          <t>No</t>
        </is>
      </c>
      <c r="AN178" t="inlineStr">
        <is>
          <t>Observed harvest</t>
        </is>
      </c>
    </row>
    <row r="179">
      <c r="A179" t="inlineStr">
        <is>
          <t>Palay</t>
        </is>
      </c>
      <c r="B179" t="inlineStr">
        <is>
          <t>Sta. Catalina</t>
        </is>
      </c>
      <c r="C179" t="inlineStr">
        <is>
          <t>DS 2011</t>
        </is>
      </c>
      <c r="D179" t="inlineStr">
        <is>
          <t>January</t>
        </is>
      </c>
      <c r="E179" t="inlineStr">
        <is>
          <t>2011</t>
        </is>
      </c>
      <c r="F179" t="inlineStr">
        <is>
          <t>May</t>
        </is>
      </c>
      <c r="G179" t="inlineStr">
        <is>
          <t>2011</t>
        </is>
      </c>
      <c r="H179" t="n">
        <v>1.5</v>
      </c>
      <c r="I179" t="n">
        <v>23.26</v>
      </c>
      <c r="J179" t="n">
        <v>16.59</v>
      </c>
      <c r="K179" t="n">
        <v>29.76</v>
      </c>
      <c r="L179" t="n">
        <v>81.59</v>
      </c>
      <c r="M179" t="n">
        <v>98.45999999999999</v>
      </c>
      <c r="N179" t="n">
        <v>15.11</v>
      </c>
      <c r="V179" t="inlineStr">
        <is>
          <t>Type I – Tropical Monsoon (PAGASA)</t>
        </is>
      </c>
      <c r="W179" t="inlineStr">
        <is>
          <t>Dry (Cool)</t>
        </is>
      </c>
      <c r="Y179" t="inlineStr">
        <is>
          <t>Fine Sand / Sandy Loam</t>
        </is>
      </c>
      <c r="Z179" t="inlineStr">
        <is>
          <t>Moderately Sloping / Highland</t>
        </is>
      </c>
      <c r="AA179" t="n">
        <v>90</v>
      </c>
      <c r="AB179" t="inlineStr">
        <is>
          <t>—</t>
        </is>
      </c>
      <c r="AC179" t="n">
        <v>709.8</v>
      </c>
      <c r="AD179" t="n">
        <v>31.07</v>
      </c>
      <c r="AE179" t="n">
        <v>145.04</v>
      </c>
      <c r="AF179" t="n">
        <v>35.8</v>
      </c>
      <c r="AG179" t="inlineStr">
        <is>
          <t>Transplanting (Pindot)</t>
        </is>
      </c>
      <c r="AH179" t="inlineStr">
        <is>
          <t>Minimum Tillage (avoid compaction; sandy structure fragile)</t>
        </is>
      </c>
      <c r="AI179" t="inlineStr">
        <is>
          <t>Continuous flooding or frequent irrigation; high percolation risk; terrace or bund-assisted water retention essential on slopes</t>
        </is>
      </c>
      <c r="AL179" t="n">
        <v>4.6925</v>
      </c>
      <c r="AM179" t="inlineStr">
        <is>
          <t>Yes</t>
        </is>
      </c>
      <c r="AN179" t="inlineStr">
        <is>
          <t>Crop + Barangay historical mean</t>
        </is>
      </c>
    </row>
    <row r="180">
      <c r="A180" t="inlineStr">
        <is>
          <t>Palay</t>
        </is>
      </c>
      <c r="B180" t="inlineStr">
        <is>
          <t>Sta. Maria Norte</t>
        </is>
      </c>
      <c r="C180" t="inlineStr">
        <is>
          <t>DS 2011</t>
        </is>
      </c>
      <c r="D180" t="inlineStr">
        <is>
          <t>January</t>
        </is>
      </c>
      <c r="E180" t="inlineStr">
        <is>
          <t>2011</t>
        </is>
      </c>
      <c r="F180" t="inlineStr">
        <is>
          <t>May</t>
        </is>
      </c>
      <c r="G180" t="inlineStr">
        <is>
          <t>2011</t>
        </is>
      </c>
      <c r="H180" t="n">
        <v>1.5</v>
      </c>
      <c r="I180" t="n">
        <v>23.26</v>
      </c>
      <c r="J180" t="n">
        <v>16.59</v>
      </c>
      <c r="K180" t="n">
        <v>29.76</v>
      </c>
      <c r="L180" t="n">
        <v>81.59</v>
      </c>
      <c r="M180" t="n">
        <v>98.45999999999999</v>
      </c>
      <c r="N180" t="n">
        <v>15.11</v>
      </c>
      <c r="O180" t="n">
        <v>6.52</v>
      </c>
      <c r="P180" t="n">
        <v>27.57</v>
      </c>
      <c r="Q180" t="n">
        <v>22.98</v>
      </c>
      <c r="R180" t="n">
        <v>35.26</v>
      </c>
      <c r="S180" t="n">
        <v>79.29000000000001</v>
      </c>
      <c r="T180" t="n">
        <v>98.15000000000001</v>
      </c>
      <c r="U180" t="n">
        <v>20.37</v>
      </c>
      <c r="V180" t="inlineStr">
        <is>
          <t>Type I – Tropical Monsoon (PAGASA)</t>
        </is>
      </c>
      <c r="W180" t="inlineStr">
        <is>
          <t>Dry (Cool)</t>
        </is>
      </c>
      <c r="X180" t="inlineStr">
        <is>
          <t>Wet</t>
        </is>
      </c>
      <c r="Y180" t="inlineStr">
        <is>
          <t>Sandy Loam</t>
        </is>
      </c>
      <c r="Z180" t="inlineStr">
        <is>
          <t>Flat / Lowland</t>
        </is>
      </c>
      <c r="AA180" t="n">
        <v>30</v>
      </c>
      <c r="AB180" t="inlineStr">
        <is>
          <t>Tagamusing River</t>
        </is>
      </c>
      <c r="AC180" t="n">
        <v>157.08</v>
      </c>
      <c r="AD180" t="n">
        <v>2</v>
      </c>
      <c r="AE180" t="n">
        <v>26.4</v>
      </c>
      <c r="AF180" t="n">
        <v>25.5</v>
      </c>
      <c r="AG180" t="inlineStr">
        <is>
          <t>Transplanting (Pindot) or Direct Seeding (Pinaghandaan)</t>
        </is>
      </c>
      <c r="AH180" t="inlineStr">
        <is>
          <t>Conventional Tillage: 2 plowings + 2 harrowings; soil workable when moist</t>
        </is>
      </c>
      <c r="AI180" t="inlineStr">
        <is>
          <t>Intermittent irrigation (Alternate Wetting and Drying — AWD); moderate retention</t>
        </is>
      </c>
      <c r="AJ180" t="n">
        <v>1.86</v>
      </c>
      <c r="AK180" t="n">
        <v>14.88</v>
      </c>
      <c r="AL180" t="n">
        <v>8</v>
      </c>
      <c r="AM180" t="inlineStr">
        <is>
          <t>No</t>
        </is>
      </c>
      <c r="AN180" t="inlineStr">
        <is>
          <t>Observed harvest</t>
        </is>
      </c>
    </row>
    <row r="181">
      <c r="A181" t="inlineStr">
        <is>
          <t>Palay</t>
        </is>
      </c>
      <c r="B181" t="inlineStr">
        <is>
          <t>Sumabnit</t>
        </is>
      </c>
      <c r="C181" t="inlineStr">
        <is>
          <t>DS 2011</t>
        </is>
      </c>
      <c r="D181" t="inlineStr">
        <is>
          <t>January</t>
        </is>
      </c>
      <c r="E181" t="inlineStr">
        <is>
          <t>2011</t>
        </is>
      </c>
      <c r="F181" t="inlineStr">
        <is>
          <t>May</t>
        </is>
      </c>
      <c r="G181" t="inlineStr">
        <is>
          <t>2011</t>
        </is>
      </c>
      <c r="H181" t="n">
        <v>1.5</v>
      </c>
      <c r="I181" t="n">
        <v>23.26</v>
      </c>
      <c r="J181" t="n">
        <v>16.59</v>
      </c>
      <c r="K181" t="n">
        <v>29.76</v>
      </c>
      <c r="L181" t="n">
        <v>81.59</v>
      </c>
      <c r="M181" t="n">
        <v>98.45999999999999</v>
      </c>
      <c r="N181" t="n">
        <v>15.11</v>
      </c>
      <c r="O181" t="n">
        <v>6.52</v>
      </c>
      <c r="P181" t="n">
        <v>27.57</v>
      </c>
      <c r="Q181" t="n">
        <v>22.98</v>
      </c>
      <c r="R181" t="n">
        <v>35.26</v>
      </c>
      <c r="S181" t="n">
        <v>79.29000000000001</v>
      </c>
      <c r="T181" t="n">
        <v>98.15000000000001</v>
      </c>
      <c r="U181" t="n">
        <v>20.37</v>
      </c>
      <c r="V181" t="inlineStr">
        <is>
          <t>Type I – Tropical Monsoon (PAGASA)</t>
        </is>
      </c>
      <c r="W181" t="inlineStr">
        <is>
          <t>Dry (Cool)</t>
        </is>
      </c>
      <c r="X181" t="inlineStr">
        <is>
          <t>Wet</t>
        </is>
      </c>
      <c r="Y181" t="inlineStr">
        <is>
          <t>Silty Clay Loam / Fine Sandy Loam</t>
        </is>
      </c>
      <c r="Z181" t="inlineStr">
        <is>
          <t>Flat / Lowland</t>
        </is>
      </c>
      <c r="AA181" t="n">
        <v>30</v>
      </c>
      <c r="AB181" t="inlineStr">
        <is>
          <t>Tagamusing River</t>
        </is>
      </c>
      <c r="AC181" t="n">
        <v>406.56</v>
      </c>
      <c r="AD181" t="n">
        <v>2</v>
      </c>
      <c r="AE181" t="n">
        <v>81.66</v>
      </c>
      <c r="AF181" t="n">
        <v>63.6</v>
      </c>
      <c r="AG181" t="inlineStr">
        <is>
          <t>Transplanting (Pindot)</t>
        </is>
      </c>
      <c r="AH181" t="inlineStr">
        <is>
          <t>Minimum Tillage (avoid compaction; sandy structure fragile)</t>
        </is>
      </c>
      <c r="AI181" t="inlineStr">
        <is>
          <t>Continuous flooding or frequent irrigation; high percolation risk</t>
        </is>
      </c>
      <c r="AJ181" t="n">
        <v>3.7</v>
      </c>
      <c r="AK181" t="n">
        <v>29.6</v>
      </c>
      <c r="AL181" t="n">
        <v>8</v>
      </c>
      <c r="AM181" t="inlineStr">
        <is>
          <t>No</t>
        </is>
      </c>
      <c r="AN181" t="inlineStr">
        <is>
          <t>Observed harvest</t>
        </is>
      </c>
    </row>
    <row r="182">
      <c r="A182" t="inlineStr">
        <is>
          <t>Palay</t>
        </is>
      </c>
      <c r="B182" t="inlineStr">
        <is>
          <t>Tabuyoc</t>
        </is>
      </c>
      <c r="C182" t="inlineStr">
        <is>
          <t>DS 2011</t>
        </is>
      </c>
      <c r="D182" t="inlineStr">
        <is>
          <t>January</t>
        </is>
      </c>
      <c r="E182" t="inlineStr">
        <is>
          <t>2011</t>
        </is>
      </c>
      <c r="F182" t="inlineStr">
        <is>
          <t>May</t>
        </is>
      </c>
      <c r="G182" t="inlineStr">
        <is>
          <t>2011</t>
        </is>
      </c>
      <c r="H182" t="n">
        <v>1.5</v>
      </c>
      <c r="I182" t="n">
        <v>23.26</v>
      </c>
      <c r="J182" t="n">
        <v>16.59</v>
      </c>
      <c r="K182" t="n">
        <v>29.76</v>
      </c>
      <c r="L182" t="n">
        <v>81.59</v>
      </c>
      <c r="M182" t="n">
        <v>98.45999999999999</v>
      </c>
      <c r="N182" t="n">
        <v>15.11</v>
      </c>
      <c r="O182" t="n">
        <v>6.52</v>
      </c>
      <c r="P182" t="n">
        <v>27.57</v>
      </c>
      <c r="Q182" t="n">
        <v>22.98</v>
      </c>
      <c r="R182" t="n">
        <v>35.26</v>
      </c>
      <c r="S182" t="n">
        <v>79.29000000000001</v>
      </c>
      <c r="T182" t="n">
        <v>98.15000000000001</v>
      </c>
      <c r="U182" t="n">
        <v>20.37</v>
      </c>
      <c r="V182" t="inlineStr">
        <is>
          <t>Type I – Tropical Monsoon (PAGASA)</t>
        </is>
      </c>
      <c r="W182" t="inlineStr">
        <is>
          <t>Dry (Cool)</t>
        </is>
      </c>
      <c r="X182" t="inlineStr">
        <is>
          <t>Wet</t>
        </is>
      </c>
      <c r="Y182" t="inlineStr">
        <is>
          <t>Silty Clay Loam</t>
        </is>
      </c>
      <c r="Z182" t="inlineStr">
        <is>
          <t>Flat / Lowland</t>
        </is>
      </c>
      <c r="AA182" t="n">
        <v>30</v>
      </c>
      <c r="AB182" t="inlineStr">
        <is>
          <t>—</t>
        </is>
      </c>
      <c r="AC182" t="n">
        <v>277.2</v>
      </c>
      <c r="AD182" t="n">
        <v>7</v>
      </c>
      <c r="AE182" t="n">
        <v>81.66</v>
      </c>
      <c r="AF182" t="n">
        <v>125</v>
      </c>
      <c r="AG182" t="inlineStr">
        <is>
          <t>Transplanting (Pindot) — optimal for clay-loam paddy fields</t>
        </is>
      </c>
      <c r="AH182" t="inlineStr">
        <is>
          <t>Wet Tillage (Puddling): 2 plowings + thorough harrowing under flooded condition</t>
        </is>
      </c>
      <c r="AI182" t="inlineStr">
        <is>
          <t>Continuous flooding 2–5 cm depth during vegetative stage; drain 2 weeks before harvest</t>
        </is>
      </c>
      <c r="AJ182" t="n">
        <v>3.56</v>
      </c>
      <c r="AK182" t="n">
        <v>28.48</v>
      </c>
      <c r="AL182" t="n">
        <v>8</v>
      </c>
      <c r="AM182" t="inlineStr">
        <is>
          <t>No</t>
        </is>
      </c>
      <c r="AN182" t="inlineStr">
        <is>
          <t>Observed harvest</t>
        </is>
      </c>
    </row>
    <row r="183">
      <c r="A183" t="inlineStr">
        <is>
          <t>Palay</t>
        </is>
      </c>
      <c r="B183" t="inlineStr">
        <is>
          <t>Vacante</t>
        </is>
      </c>
      <c r="C183" t="inlineStr">
        <is>
          <t>DS 2011</t>
        </is>
      </c>
      <c r="D183" t="inlineStr">
        <is>
          <t>January</t>
        </is>
      </c>
      <c r="E183" t="inlineStr">
        <is>
          <t>2011</t>
        </is>
      </c>
      <c r="F183" t="inlineStr">
        <is>
          <t>May</t>
        </is>
      </c>
      <c r="G183" t="inlineStr">
        <is>
          <t>2011</t>
        </is>
      </c>
      <c r="H183" t="n">
        <v>1.5</v>
      </c>
      <c r="I183" t="n">
        <v>23.26</v>
      </c>
      <c r="J183" t="n">
        <v>16.59</v>
      </c>
      <c r="K183" t="n">
        <v>29.76</v>
      </c>
      <c r="L183" t="n">
        <v>81.59</v>
      </c>
      <c r="M183" t="n">
        <v>98.45999999999999</v>
      </c>
      <c r="N183" t="n">
        <v>15.11</v>
      </c>
      <c r="V183" t="inlineStr">
        <is>
          <t>Type I – Tropical Monsoon (PAGASA)</t>
        </is>
      </c>
      <c r="W183" t="inlineStr">
        <is>
          <t>Dry (Cool)</t>
        </is>
      </c>
      <c r="Y183" t="inlineStr">
        <is>
          <t>Silty Clay Loam</t>
        </is>
      </c>
      <c r="Z183" t="inlineStr">
        <is>
          <t>Flat / Lowland</t>
        </is>
      </c>
      <c r="AA183" t="n">
        <v>30</v>
      </c>
      <c r="AB183" t="inlineStr">
        <is>
          <t>Aloragat River</t>
        </is>
      </c>
      <c r="AC183" t="n">
        <v>484.68</v>
      </c>
      <c r="AD183" t="n">
        <v>2</v>
      </c>
      <c r="AE183" t="n">
        <v>81.66</v>
      </c>
      <c r="AF183" t="n">
        <v>43.79</v>
      </c>
      <c r="AG183" t="inlineStr">
        <is>
          <t>Transplanting (Pindot) — optimal for clay-loam paddy fields</t>
        </is>
      </c>
      <c r="AH183" t="inlineStr">
        <is>
          <t>Wet Tillage (Puddling): 2 plowings + thorough harrowing under flooded condition</t>
        </is>
      </c>
      <c r="AI183" t="inlineStr">
        <is>
          <t>Continuous flooding 2–5 cm depth during vegetative stage; drain 2 weeks before harvest</t>
        </is>
      </c>
      <c r="AL183" t="n">
        <v>3.59</v>
      </c>
      <c r="AM183" t="inlineStr">
        <is>
          <t>Yes</t>
        </is>
      </c>
      <c r="AN183" t="inlineStr">
        <is>
          <t>Crop + Barangay historical mean</t>
        </is>
      </c>
    </row>
    <row r="184">
      <c r="A184" t="inlineStr">
        <is>
          <t>Palay</t>
        </is>
      </c>
      <c r="B184" t="inlineStr">
        <is>
          <t>Balangobong</t>
        </is>
      </c>
      <c r="C184" t="inlineStr">
        <is>
          <t>DS 2012</t>
        </is>
      </c>
      <c r="D184" t="inlineStr">
        <is>
          <t>January</t>
        </is>
      </c>
      <c r="E184" t="inlineStr">
        <is>
          <t>2012</t>
        </is>
      </c>
      <c r="F184" t="inlineStr">
        <is>
          <t>May</t>
        </is>
      </c>
      <c r="G184" t="inlineStr">
        <is>
          <t>2012</t>
        </is>
      </c>
      <c r="H184" t="n">
        <v>0.85</v>
      </c>
      <c r="I184" t="n">
        <v>24.57</v>
      </c>
      <c r="J184" t="n">
        <v>18.71</v>
      </c>
      <c r="K184" t="n">
        <v>31.08</v>
      </c>
      <c r="L184" t="n">
        <v>80.65000000000001</v>
      </c>
      <c r="M184" t="n">
        <v>98.53</v>
      </c>
      <c r="N184" t="n">
        <v>16.8</v>
      </c>
      <c r="O184" t="n">
        <v>5.6</v>
      </c>
      <c r="P184" t="n">
        <v>28.14</v>
      </c>
      <c r="Q184" t="n">
        <v>23.4</v>
      </c>
      <c r="R184" t="n">
        <v>37.44</v>
      </c>
      <c r="S184" t="n">
        <v>75.27</v>
      </c>
      <c r="T184" t="n">
        <v>98.29000000000001</v>
      </c>
      <c r="U184" t="n">
        <v>20.34</v>
      </c>
      <c r="V184" t="inlineStr">
        <is>
          <t>Type I – Tropical Monsoon (PAGASA)</t>
        </is>
      </c>
      <c r="W184" t="inlineStr">
        <is>
          <t>Dry (Cool)</t>
        </is>
      </c>
      <c r="X184" t="inlineStr">
        <is>
          <t>Wet</t>
        </is>
      </c>
      <c r="Y184" t="inlineStr">
        <is>
          <t>Silty Clay Loam</t>
        </is>
      </c>
      <c r="Z184" t="inlineStr">
        <is>
          <t>Flat / Lowland</t>
        </is>
      </c>
      <c r="AA184" t="n">
        <v>30</v>
      </c>
      <c r="AB184" t="inlineStr">
        <is>
          <t>—</t>
        </is>
      </c>
      <c r="AC184" t="n">
        <v>281.4</v>
      </c>
      <c r="AD184" t="n">
        <v>2</v>
      </c>
      <c r="AE184" t="n">
        <v>35.32</v>
      </c>
      <c r="AF184" t="n">
        <v>100</v>
      </c>
      <c r="AG184" t="inlineStr">
        <is>
          <t>Transplanting (Pindot) — optimal for clay-loam paddy fields</t>
        </is>
      </c>
      <c r="AH184" t="inlineStr">
        <is>
          <t>Wet Tillage (Puddling): 2 plowings + thorough harrowing under flooded condition</t>
        </is>
      </c>
      <c r="AI184" t="inlineStr">
        <is>
          <t>Continuous flooding 2–5 cm depth during vegetative stage; drain 2 weeks before harvest</t>
        </is>
      </c>
      <c r="AJ184" t="n">
        <v>7.7</v>
      </c>
      <c r="AK184" t="n">
        <v>13.5</v>
      </c>
      <c r="AL184" t="n">
        <v>1.75</v>
      </c>
      <c r="AM184" t="inlineStr">
        <is>
          <t>No</t>
        </is>
      </c>
      <c r="AN184" t="inlineStr">
        <is>
          <t>Observed harvest</t>
        </is>
      </c>
    </row>
    <row r="185">
      <c r="A185" t="inlineStr">
        <is>
          <t>Palay</t>
        </is>
      </c>
      <c r="B185" t="inlineStr">
        <is>
          <t>Bugayong</t>
        </is>
      </c>
      <c r="C185" t="inlineStr">
        <is>
          <t>DS 2012</t>
        </is>
      </c>
      <c r="D185" t="inlineStr">
        <is>
          <t>January</t>
        </is>
      </c>
      <c r="E185" t="inlineStr">
        <is>
          <t>2012</t>
        </is>
      </c>
      <c r="F185" t="inlineStr">
        <is>
          <t>May</t>
        </is>
      </c>
      <c r="G185" t="inlineStr">
        <is>
          <t>2012</t>
        </is>
      </c>
      <c r="H185" t="n">
        <v>0.85</v>
      </c>
      <c r="I185" t="n">
        <v>24.57</v>
      </c>
      <c r="J185" t="n">
        <v>18.71</v>
      </c>
      <c r="K185" t="n">
        <v>31.08</v>
      </c>
      <c r="L185" t="n">
        <v>80.65000000000001</v>
      </c>
      <c r="M185" t="n">
        <v>98.53</v>
      </c>
      <c r="N185" t="n">
        <v>16.8</v>
      </c>
      <c r="O185" t="n">
        <v>5.6</v>
      </c>
      <c r="P185" t="n">
        <v>28.14</v>
      </c>
      <c r="Q185" t="n">
        <v>23.4</v>
      </c>
      <c r="R185" t="n">
        <v>37.44</v>
      </c>
      <c r="S185" t="n">
        <v>75.27</v>
      </c>
      <c r="T185" t="n">
        <v>98.29000000000001</v>
      </c>
      <c r="U185" t="n">
        <v>20.34</v>
      </c>
      <c r="V185" t="inlineStr">
        <is>
          <t>Type I – Tropical Monsoon (PAGASA)</t>
        </is>
      </c>
      <c r="W185" t="inlineStr">
        <is>
          <t>Dry (Cool)</t>
        </is>
      </c>
      <c r="X185" t="inlineStr">
        <is>
          <t>Wet</t>
        </is>
      </c>
      <c r="Y185" t="inlineStr">
        <is>
          <t>Sandy Loam / Silty Clay Loam</t>
        </is>
      </c>
      <c r="Z185" t="inlineStr">
        <is>
          <t>Flat / Lowland</t>
        </is>
      </c>
      <c r="AA185" t="n">
        <v>30</v>
      </c>
      <c r="AB185" t="inlineStr">
        <is>
          <t>Aloragat River</t>
        </is>
      </c>
      <c r="AC185" t="n">
        <v>346.08</v>
      </c>
      <c r="AD185" t="n">
        <v>2</v>
      </c>
      <c r="AE185" t="n">
        <v>41.02</v>
      </c>
      <c r="AF185" t="n">
        <v>16</v>
      </c>
      <c r="AG185" t="inlineStr">
        <is>
          <t>Transplanting (Pindot) — recommended; Direct Seeding possible in dry season</t>
        </is>
      </c>
      <c r="AH185" t="inlineStr">
        <is>
          <t>Conventional Tillage: 2 plowings + harrowing; puddle thoroughly for transplanting</t>
        </is>
      </c>
      <c r="AI185" t="inlineStr">
        <is>
          <t>Intermittent to continuous flooding; manage according to drainage section present</t>
        </is>
      </c>
      <c r="AJ185" t="n">
        <v>3</v>
      </c>
      <c r="AK185" t="n">
        <v>13.5</v>
      </c>
      <c r="AL185" t="n">
        <v>4.5</v>
      </c>
      <c r="AM185" t="inlineStr">
        <is>
          <t>No</t>
        </is>
      </c>
      <c r="AN185" t="inlineStr">
        <is>
          <t>Observed harvest</t>
        </is>
      </c>
    </row>
    <row r="186">
      <c r="A186" t="inlineStr">
        <is>
          <t>Palay</t>
        </is>
      </c>
      <c r="B186" t="inlineStr">
        <is>
          <t>Camanggaan</t>
        </is>
      </c>
      <c r="C186" t="inlineStr">
        <is>
          <t>DS 2012</t>
        </is>
      </c>
      <c r="D186" t="inlineStr">
        <is>
          <t>January</t>
        </is>
      </c>
      <c r="E186" t="inlineStr">
        <is>
          <t>2012</t>
        </is>
      </c>
      <c r="F186" t="inlineStr">
        <is>
          <t>May</t>
        </is>
      </c>
      <c r="G186" t="inlineStr">
        <is>
          <t>2012</t>
        </is>
      </c>
      <c r="H186" t="n">
        <v>0.85</v>
      </c>
      <c r="I186" t="n">
        <v>24.57</v>
      </c>
      <c r="J186" t="n">
        <v>18.71</v>
      </c>
      <c r="K186" t="n">
        <v>31.08</v>
      </c>
      <c r="L186" t="n">
        <v>80.65000000000001</v>
      </c>
      <c r="M186" t="n">
        <v>98.53</v>
      </c>
      <c r="N186" t="n">
        <v>16.8</v>
      </c>
      <c r="O186" t="n">
        <v>5.6</v>
      </c>
      <c r="P186" t="n">
        <v>28.14</v>
      </c>
      <c r="Q186" t="n">
        <v>23.4</v>
      </c>
      <c r="R186" t="n">
        <v>37.44</v>
      </c>
      <c r="S186" t="n">
        <v>75.27</v>
      </c>
      <c r="T186" t="n">
        <v>98.29000000000001</v>
      </c>
      <c r="U186" t="n">
        <v>20.34</v>
      </c>
      <c r="V186" t="inlineStr">
        <is>
          <t>Type I – Tropical Monsoon (PAGASA)</t>
        </is>
      </c>
      <c r="W186" t="inlineStr">
        <is>
          <t>Dry (Cool)</t>
        </is>
      </c>
      <c r="X186" t="inlineStr">
        <is>
          <t>Wet</t>
        </is>
      </c>
      <c r="Y186" t="inlineStr">
        <is>
          <t>Sandy Loam</t>
        </is>
      </c>
      <c r="Z186" t="inlineStr">
        <is>
          <t>Flat / Lowland</t>
        </is>
      </c>
      <c r="AA186" t="n">
        <v>30</v>
      </c>
      <c r="AB186" t="inlineStr">
        <is>
          <t>—</t>
        </is>
      </c>
      <c r="AC186" t="n">
        <v>244.44</v>
      </c>
      <c r="AD186" t="n">
        <v>2</v>
      </c>
      <c r="AE186" t="n">
        <v>72.73999999999999</v>
      </c>
      <c r="AF186" t="n">
        <v>10</v>
      </c>
      <c r="AG186" t="inlineStr">
        <is>
          <t>Transplanting (Pindot) or Direct Seeding (Pinaghandaan)</t>
        </is>
      </c>
      <c r="AH186" t="inlineStr">
        <is>
          <t>Conventional Tillage: 2 plowings + 2 harrowings; soil workable when moist</t>
        </is>
      </c>
      <c r="AI186" t="inlineStr">
        <is>
          <t>Intermittent irrigation (Alternate Wetting and Drying — AWD); moderate retention</t>
        </is>
      </c>
      <c r="AJ186" t="n">
        <v>3.19</v>
      </c>
      <c r="AK186" t="n">
        <v>23.39</v>
      </c>
      <c r="AL186" t="n">
        <v>7.33</v>
      </c>
      <c r="AM186" t="inlineStr">
        <is>
          <t>No</t>
        </is>
      </c>
      <c r="AN186" t="inlineStr">
        <is>
          <t>Observed harvest</t>
        </is>
      </c>
    </row>
    <row r="187">
      <c r="A187" t="inlineStr">
        <is>
          <t>Palay</t>
        </is>
      </c>
      <c r="B187" t="inlineStr">
        <is>
          <t>Capas</t>
        </is>
      </c>
      <c r="C187" t="inlineStr">
        <is>
          <t>DS 2012</t>
        </is>
      </c>
      <c r="D187" t="inlineStr">
        <is>
          <t>January</t>
        </is>
      </c>
      <c r="E187" t="inlineStr">
        <is>
          <t>2012</t>
        </is>
      </c>
      <c r="F187" t="inlineStr">
        <is>
          <t>May</t>
        </is>
      </c>
      <c r="G187" t="inlineStr">
        <is>
          <t>2012</t>
        </is>
      </c>
      <c r="H187" t="n">
        <v>0.85</v>
      </c>
      <c r="I187" t="n">
        <v>24.57</v>
      </c>
      <c r="J187" t="n">
        <v>18.71</v>
      </c>
      <c r="K187" t="n">
        <v>31.08</v>
      </c>
      <c r="L187" t="n">
        <v>80.65000000000001</v>
      </c>
      <c r="M187" t="n">
        <v>98.53</v>
      </c>
      <c r="N187" t="n">
        <v>16.8</v>
      </c>
      <c r="O187" t="n">
        <v>5.6</v>
      </c>
      <c r="P187" t="n">
        <v>28.14</v>
      </c>
      <c r="Q187" t="n">
        <v>23.4</v>
      </c>
      <c r="R187" t="n">
        <v>37.44</v>
      </c>
      <c r="S187" t="n">
        <v>75.27</v>
      </c>
      <c r="T187" t="n">
        <v>98.29000000000001</v>
      </c>
      <c r="U187" t="n">
        <v>20.34</v>
      </c>
      <c r="V187" t="inlineStr">
        <is>
          <t>Type I – Tropical Monsoon (PAGASA)</t>
        </is>
      </c>
      <c r="W187" t="inlineStr">
        <is>
          <t>Dry (Cool)</t>
        </is>
      </c>
      <c r="X187" t="inlineStr">
        <is>
          <t>Wet</t>
        </is>
      </c>
      <c r="Y187" t="inlineStr">
        <is>
          <t>Sandy Loam</t>
        </is>
      </c>
      <c r="Z187" t="inlineStr">
        <is>
          <t>Flat / Lowland</t>
        </is>
      </c>
      <c r="AA187" t="n">
        <v>30</v>
      </c>
      <c r="AB187" t="inlineStr">
        <is>
          <t>—</t>
        </is>
      </c>
      <c r="AC187" t="n">
        <v>377.16</v>
      </c>
      <c r="AD187" t="n">
        <v>2</v>
      </c>
      <c r="AE187" t="n">
        <v>52.42</v>
      </c>
      <c r="AF187" t="n">
        <v>179</v>
      </c>
      <c r="AG187" t="inlineStr">
        <is>
          <t>Transplanting (Pindot) or Direct Seeding (Pinaghandaan)</t>
        </is>
      </c>
      <c r="AH187" t="inlineStr">
        <is>
          <t>Conventional Tillage: 2 plowings + 2 harrowings; soil workable when moist</t>
        </is>
      </c>
      <c r="AI187" t="inlineStr">
        <is>
          <t>Intermittent irrigation (Alternate Wetting and Drying — AWD); moderate retention</t>
        </is>
      </c>
      <c r="AJ187" t="n">
        <v>3.12</v>
      </c>
      <c r="AK187" t="n">
        <v>23.2</v>
      </c>
      <c r="AL187" t="n">
        <v>7.44</v>
      </c>
      <c r="AM187" t="inlineStr">
        <is>
          <t>No</t>
        </is>
      </c>
      <c r="AN187" t="inlineStr">
        <is>
          <t>Observed harvest</t>
        </is>
      </c>
    </row>
    <row r="188">
      <c r="A188" t="inlineStr">
        <is>
          <t>Palay</t>
        </is>
      </c>
      <c r="B188" t="inlineStr">
        <is>
          <t>Cili</t>
        </is>
      </c>
      <c r="C188" t="inlineStr">
        <is>
          <t>DS 2012</t>
        </is>
      </c>
      <c r="D188" t="inlineStr">
        <is>
          <t>January</t>
        </is>
      </c>
      <c r="E188" t="inlineStr">
        <is>
          <t>2012</t>
        </is>
      </c>
      <c r="F188" t="inlineStr">
        <is>
          <t>May</t>
        </is>
      </c>
      <c r="G188" t="inlineStr">
        <is>
          <t>2012</t>
        </is>
      </c>
      <c r="H188" t="n">
        <v>0.85</v>
      </c>
      <c r="I188" t="n">
        <v>24.57</v>
      </c>
      <c r="J188" t="n">
        <v>18.71</v>
      </c>
      <c r="K188" t="n">
        <v>31.08</v>
      </c>
      <c r="L188" t="n">
        <v>80.65000000000001</v>
      </c>
      <c r="M188" t="n">
        <v>98.53</v>
      </c>
      <c r="N188" t="n">
        <v>16.8</v>
      </c>
      <c r="O188" t="n">
        <v>5.6</v>
      </c>
      <c r="P188" t="n">
        <v>28.14</v>
      </c>
      <c r="Q188" t="n">
        <v>23.4</v>
      </c>
      <c r="R188" t="n">
        <v>37.44</v>
      </c>
      <c r="S188" t="n">
        <v>75.27</v>
      </c>
      <c r="T188" t="n">
        <v>98.29000000000001</v>
      </c>
      <c r="U188" t="n">
        <v>20.34</v>
      </c>
      <c r="V188" t="inlineStr">
        <is>
          <t>Type I – Tropical Monsoon (PAGASA)</t>
        </is>
      </c>
      <c r="W188" t="inlineStr">
        <is>
          <t>Dry (Cool)</t>
        </is>
      </c>
      <c r="X188" t="inlineStr">
        <is>
          <t>Wet</t>
        </is>
      </c>
      <c r="Y188" t="inlineStr">
        <is>
          <t>Silty Clay Loam</t>
        </is>
      </c>
      <c r="Z188" t="inlineStr">
        <is>
          <t>Flat / Lowland</t>
        </is>
      </c>
      <c r="AA188" t="n">
        <v>30</v>
      </c>
      <c r="AB188" t="inlineStr">
        <is>
          <t>Alibeng River</t>
        </is>
      </c>
      <c r="AC188" t="n">
        <v>264.6</v>
      </c>
      <c r="AD188" t="n">
        <v>2</v>
      </c>
      <c r="AE188" t="n">
        <v>35.32</v>
      </c>
      <c r="AF188" t="n">
        <v>14</v>
      </c>
      <c r="AG188" t="inlineStr">
        <is>
          <t>Transplanting (Pindot) — optimal for clay-loam paddy fields</t>
        </is>
      </c>
      <c r="AH188" t="inlineStr">
        <is>
          <t>Wet Tillage (Puddling): 2 plowings + thorough harrowing under flooded condition</t>
        </is>
      </c>
      <c r="AI188" t="inlineStr">
        <is>
          <t>Continuous flooding 2–5 cm depth during vegetative stage; drain 2 weeks before harvest</t>
        </is>
      </c>
      <c r="AJ188" t="n">
        <v>1.05</v>
      </c>
      <c r="AK188" t="n">
        <v>8.4</v>
      </c>
      <c r="AL188" t="n">
        <v>8</v>
      </c>
      <c r="AM188" t="inlineStr">
        <is>
          <t>No</t>
        </is>
      </c>
      <c r="AN188" t="inlineStr">
        <is>
          <t>Observed harvest</t>
        </is>
      </c>
    </row>
    <row r="189">
      <c r="A189" t="inlineStr">
        <is>
          <t>Palay</t>
        </is>
      </c>
      <c r="B189" t="inlineStr">
        <is>
          <t>Mangkasuy</t>
        </is>
      </c>
      <c r="C189" t="inlineStr">
        <is>
          <t>DS 2012</t>
        </is>
      </c>
      <c r="D189" t="inlineStr">
        <is>
          <t>January</t>
        </is>
      </c>
      <c r="E189" t="inlineStr">
        <is>
          <t>2012</t>
        </is>
      </c>
      <c r="F189" t="inlineStr">
        <is>
          <t>May</t>
        </is>
      </c>
      <c r="G189" t="inlineStr">
        <is>
          <t>2012</t>
        </is>
      </c>
      <c r="H189" t="n">
        <v>0.85</v>
      </c>
      <c r="I189" t="n">
        <v>24.57</v>
      </c>
      <c r="J189" t="n">
        <v>18.71</v>
      </c>
      <c r="K189" t="n">
        <v>31.08</v>
      </c>
      <c r="L189" t="n">
        <v>80.65000000000001</v>
      </c>
      <c r="M189" t="n">
        <v>98.53</v>
      </c>
      <c r="N189" t="n">
        <v>16.8</v>
      </c>
      <c r="O189" t="n">
        <v>5.6</v>
      </c>
      <c r="P189" t="n">
        <v>28.14</v>
      </c>
      <c r="Q189" t="n">
        <v>23.4</v>
      </c>
      <c r="R189" t="n">
        <v>37.44</v>
      </c>
      <c r="S189" t="n">
        <v>75.27</v>
      </c>
      <c r="T189" t="n">
        <v>98.29000000000001</v>
      </c>
      <c r="U189" t="n">
        <v>20.34</v>
      </c>
      <c r="V189" t="inlineStr">
        <is>
          <t>Type I – Tropical Monsoon (PAGASA)</t>
        </is>
      </c>
      <c r="W189" t="inlineStr">
        <is>
          <t>Dry (Cool)</t>
        </is>
      </c>
      <c r="X189" t="inlineStr">
        <is>
          <t>Wet</t>
        </is>
      </c>
      <c r="Y189" t="inlineStr">
        <is>
          <t>Sandy Loam</t>
        </is>
      </c>
      <c r="Z189" t="inlineStr">
        <is>
          <t>Flat / Lowland</t>
        </is>
      </c>
      <c r="AA189" t="n">
        <v>30</v>
      </c>
      <c r="AB189" t="inlineStr">
        <is>
          <t>Tagamusing River</t>
        </is>
      </c>
      <c r="AC189" t="n">
        <v>802.2</v>
      </c>
      <c r="AD189" t="n">
        <v>0.5</v>
      </c>
      <c r="AE189" t="n">
        <v>80.3</v>
      </c>
      <c r="AF189" t="n">
        <v>16.9</v>
      </c>
      <c r="AG189" t="inlineStr">
        <is>
          <t>Transplanting (Pindot) or Direct Seeding (Pinaghandaan)</t>
        </is>
      </c>
      <c r="AH189" t="inlineStr">
        <is>
          <t>Conventional Tillage: 2 plowings + 2 harrowings; soil workable when moist</t>
        </is>
      </c>
      <c r="AI189" t="inlineStr">
        <is>
          <t>Intermittent irrigation (Alternate Wetting and Drying — AWD); moderate retention</t>
        </is>
      </c>
      <c r="AJ189" t="n">
        <v>6.14</v>
      </c>
      <c r="AK189" t="n">
        <v>30.76</v>
      </c>
      <c r="AL189" t="n">
        <v>5.01</v>
      </c>
      <c r="AM189" t="inlineStr">
        <is>
          <t>No</t>
        </is>
      </c>
      <c r="AN189" t="inlineStr">
        <is>
          <t>Observed harvest</t>
        </is>
      </c>
    </row>
    <row r="190">
      <c r="A190" t="inlineStr">
        <is>
          <t>Palay</t>
        </is>
      </c>
      <c r="B190" t="inlineStr">
        <is>
          <t>Pasileng Norte</t>
        </is>
      </c>
      <c r="C190" t="inlineStr">
        <is>
          <t>DS 2012</t>
        </is>
      </c>
      <c r="D190" t="inlineStr">
        <is>
          <t>January</t>
        </is>
      </c>
      <c r="E190" t="inlineStr">
        <is>
          <t>2012</t>
        </is>
      </c>
      <c r="F190" t="inlineStr">
        <is>
          <t>May</t>
        </is>
      </c>
      <c r="G190" t="inlineStr">
        <is>
          <t>2012</t>
        </is>
      </c>
      <c r="H190" t="n">
        <v>0.85</v>
      </c>
      <c r="I190" t="n">
        <v>24.57</v>
      </c>
      <c r="J190" t="n">
        <v>18.71</v>
      </c>
      <c r="K190" t="n">
        <v>31.08</v>
      </c>
      <c r="L190" t="n">
        <v>80.65000000000001</v>
      </c>
      <c r="M190" t="n">
        <v>98.53</v>
      </c>
      <c r="N190" t="n">
        <v>16.8</v>
      </c>
      <c r="O190" t="n">
        <v>5.6</v>
      </c>
      <c r="P190" t="n">
        <v>28.14</v>
      </c>
      <c r="Q190" t="n">
        <v>23.4</v>
      </c>
      <c r="R190" t="n">
        <v>37.44</v>
      </c>
      <c r="S190" t="n">
        <v>75.27</v>
      </c>
      <c r="T190" t="n">
        <v>98.29000000000001</v>
      </c>
      <c r="U190" t="n">
        <v>20.34</v>
      </c>
      <c r="V190" t="inlineStr">
        <is>
          <t>Type I – Tropical Monsoon (PAGASA)</t>
        </is>
      </c>
      <c r="W190" t="inlineStr">
        <is>
          <t>Dry (Cool)</t>
        </is>
      </c>
      <c r="X190" t="inlineStr">
        <is>
          <t>Wet</t>
        </is>
      </c>
      <c r="Y190" t="inlineStr">
        <is>
          <t>Sandy Loam</t>
        </is>
      </c>
      <c r="Z190" t="inlineStr">
        <is>
          <t>Flat / Lowland</t>
        </is>
      </c>
      <c r="AA190" t="n">
        <v>30</v>
      </c>
      <c r="AB190" t="inlineStr">
        <is>
          <t>Tagamusing River</t>
        </is>
      </c>
      <c r="AC190" t="n">
        <v>140.28</v>
      </c>
      <c r="AD190" t="n">
        <v>2</v>
      </c>
      <c r="AE190" t="n">
        <v>26.4</v>
      </c>
      <c r="AF190" t="n">
        <v>74</v>
      </c>
      <c r="AG190" t="inlineStr">
        <is>
          <t>Transplanting (Pindot) or Direct Seeding (Pinaghandaan)</t>
        </is>
      </c>
      <c r="AH190" t="inlineStr">
        <is>
          <t>Conventional Tillage: 2 plowings + 2 harrowings; soil workable when moist</t>
        </is>
      </c>
      <c r="AI190" t="inlineStr">
        <is>
          <t>Intermittent irrigation (Alternate Wetting and Drying — AWD); moderate retention</t>
        </is>
      </c>
      <c r="AJ190" t="n">
        <v>2.77</v>
      </c>
      <c r="AK190" t="n">
        <v>22.16</v>
      </c>
      <c r="AL190" t="n">
        <v>8</v>
      </c>
      <c r="AM190" t="inlineStr">
        <is>
          <t>No</t>
        </is>
      </c>
      <c r="AN190" t="inlineStr">
        <is>
          <t>Observed harvest</t>
        </is>
      </c>
    </row>
    <row r="191">
      <c r="A191" t="inlineStr">
        <is>
          <t>Palay</t>
        </is>
      </c>
      <c r="B191" t="inlineStr">
        <is>
          <t>Pasileng Sur</t>
        </is>
      </c>
      <c r="C191" t="inlineStr">
        <is>
          <t>DS 2012</t>
        </is>
      </c>
      <c r="D191" t="inlineStr">
        <is>
          <t>January</t>
        </is>
      </c>
      <c r="E191" t="inlineStr">
        <is>
          <t>2012</t>
        </is>
      </c>
      <c r="F191" t="inlineStr">
        <is>
          <t>May</t>
        </is>
      </c>
      <c r="G191" t="inlineStr">
        <is>
          <t>2012</t>
        </is>
      </c>
      <c r="H191" t="n">
        <v>0.85</v>
      </c>
      <c r="I191" t="n">
        <v>24.57</v>
      </c>
      <c r="J191" t="n">
        <v>18.71</v>
      </c>
      <c r="K191" t="n">
        <v>31.08</v>
      </c>
      <c r="L191" t="n">
        <v>80.65000000000001</v>
      </c>
      <c r="M191" t="n">
        <v>98.53</v>
      </c>
      <c r="N191" t="n">
        <v>16.8</v>
      </c>
      <c r="O191" t="n">
        <v>5.6</v>
      </c>
      <c r="P191" t="n">
        <v>28.14</v>
      </c>
      <c r="Q191" t="n">
        <v>23.4</v>
      </c>
      <c r="R191" t="n">
        <v>37.44</v>
      </c>
      <c r="S191" t="n">
        <v>75.27</v>
      </c>
      <c r="T191" t="n">
        <v>98.29000000000001</v>
      </c>
      <c r="U191" t="n">
        <v>20.34</v>
      </c>
      <c r="V191" t="inlineStr">
        <is>
          <t>Type I – Tropical Monsoon (PAGASA)</t>
        </is>
      </c>
      <c r="W191" t="inlineStr">
        <is>
          <t>Dry (Cool)</t>
        </is>
      </c>
      <c r="X191" t="inlineStr">
        <is>
          <t>Wet</t>
        </is>
      </c>
      <c r="Y191" t="inlineStr">
        <is>
          <t>Sandy Loam</t>
        </is>
      </c>
      <c r="Z191" t="inlineStr">
        <is>
          <t>Flat / Lowland</t>
        </is>
      </c>
      <c r="AA191" t="n">
        <v>30</v>
      </c>
      <c r="AB191" t="inlineStr">
        <is>
          <t>Tagamusing River</t>
        </is>
      </c>
      <c r="AC191" t="n">
        <v>414.96</v>
      </c>
      <c r="AD191" t="n">
        <v>2</v>
      </c>
      <c r="AE191" t="n">
        <v>41.02</v>
      </c>
      <c r="AF191" t="n">
        <v>160</v>
      </c>
      <c r="AG191" t="inlineStr">
        <is>
          <t>Transplanting (Pindot) or Direct Seeding (Pinaghandaan)</t>
        </is>
      </c>
      <c r="AH191" t="inlineStr">
        <is>
          <t>Conventional Tillage: 2 plowings + 2 harrowings; soil workable when moist</t>
        </is>
      </c>
      <c r="AI191" t="inlineStr">
        <is>
          <t>Intermittent irrigation (Alternate Wetting and Drying — AWD); moderate retention</t>
        </is>
      </c>
      <c r="AJ191" t="n">
        <v>4.35</v>
      </c>
      <c r="AK191" t="n">
        <v>34.8</v>
      </c>
      <c r="AL191" t="n">
        <v>8</v>
      </c>
      <c r="AM191" t="inlineStr">
        <is>
          <t>No</t>
        </is>
      </c>
      <c r="AN191" t="inlineStr">
        <is>
          <t>Observed harvest</t>
        </is>
      </c>
    </row>
    <row r="192">
      <c r="A192" t="inlineStr">
        <is>
          <t>Palay</t>
        </is>
      </c>
      <c r="B192" t="inlineStr">
        <is>
          <t>San Felipe Central</t>
        </is>
      </c>
      <c r="C192" t="inlineStr">
        <is>
          <t>DS 2012</t>
        </is>
      </c>
      <c r="D192" t="inlineStr">
        <is>
          <t>January</t>
        </is>
      </c>
      <c r="E192" t="inlineStr">
        <is>
          <t>2012</t>
        </is>
      </c>
      <c r="F192" t="inlineStr">
        <is>
          <t>May</t>
        </is>
      </c>
      <c r="G192" t="inlineStr">
        <is>
          <t>2012</t>
        </is>
      </c>
      <c r="H192" t="n">
        <v>0.85</v>
      </c>
      <c r="I192" t="n">
        <v>24.57</v>
      </c>
      <c r="J192" t="n">
        <v>18.71</v>
      </c>
      <c r="K192" t="n">
        <v>31.08</v>
      </c>
      <c r="L192" t="n">
        <v>80.65000000000001</v>
      </c>
      <c r="M192" t="n">
        <v>98.53</v>
      </c>
      <c r="N192" t="n">
        <v>16.8</v>
      </c>
      <c r="O192" t="n">
        <v>5.6</v>
      </c>
      <c r="P192" t="n">
        <v>28.14</v>
      </c>
      <c r="Q192" t="n">
        <v>23.4</v>
      </c>
      <c r="R192" t="n">
        <v>37.44</v>
      </c>
      <c r="S192" t="n">
        <v>75.27</v>
      </c>
      <c r="T192" t="n">
        <v>98.29000000000001</v>
      </c>
      <c r="U192" t="n">
        <v>20.34</v>
      </c>
      <c r="V192" t="inlineStr">
        <is>
          <t>Type I – Tropical Monsoon (PAGASA)</t>
        </is>
      </c>
      <c r="W192" t="inlineStr">
        <is>
          <t>Dry (Cool)</t>
        </is>
      </c>
      <c r="X192" t="inlineStr">
        <is>
          <t>Wet</t>
        </is>
      </c>
      <c r="Y192" t="inlineStr">
        <is>
          <t>Sandy Loam</t>
        </is>
      </c>
      <c r="Z192" t="inlineStr">
        <is>
          <t>Flat / Lowland</t>
        </is>
      </c>
      <c r="AA192" t="n">
        <v>30</v>
      </c>
      <c r="AB192" t="inlineStr">
        <is>
          <t>—</t>
        </is>
      </c>
      <c r="AC192" t="n">
        <v>452.76</v>
      </c>
      <c r="AD192" t="n">
        <v>1.5</v>
      </c>
      <c r="AE192" t="n">
        <v>26.4</v>
      </c>
      <c r="AF192" t="n">
        <v>129</v>
      </c>
      <c r="AG192" t="inlineStr">
        <is>
          <t>Transplanting (Pindot) or Direct Seeding (Pinaghandaan)</t>
        </is>
      </c>
      <c r="AH192" t="inlineStr">
        <is>
          <t>Conventional Tillage: 2 plowings + 2 harrowings; soil workable when moist</t>
        </is>
      </c>
      <c r="AI192" t="inlineStr">
        <is>
          <t>Intermittent irrigation (Alternate Wetting and Drying — AWD); moderate retention</t>
        </is>
      </c>
      <c r="AJ192" t="n">
        <v>4.26</v>
      </c>
      <c r="AK192" t="n">
        <v>34.08</v>
      </c>
      <c r="AL192" t="n">
        <v>8</v>
      </c>
      <c r="AM192" t="inlineStr">
        <is>
          <t>No</t>
        </is>
      </c>
      <c r="AN192" t="inlineStr">
        <is>
          <t>Observed harvest</t>
        </is>
      </c>
    </row>
    <row r="193">
      <c r="A193" t="inlineStr">
        <is>
          <t>Palay</t>
        </is>
      </c>
      <c r="B193" t="inlineStr">
        <is>
          <t>San Felipe Sur</t>
        </is>
      </c>
      <c r="C193" t="inlineStr">
        <is>
          <t>DS 2012</t>
        </is>
      </c>
      <c r="D193" t="inlineStr">
        <is>
          <t>January</t>
        </is>
      </c>
      <c r="E193" t="inlineStr">
        <is>
          <t>2012</t>
        </is>
      </c>
      <c r="F193" t="inlineStr">
        <is>
          <t>May</t>
        </is>
      </c>
      <c r="G193" t="inlineStr">
        <is>
          <t>2012</t>
        </is>
      </c>
      <c r="H193" t="n">
        <v>0.85</v>
      </c>
      <c r="I193" t="n">
        <v>24.57</v>
      </c>
      <c r="J193" t="n">
        <v>18.71</v>
      </c>
      <c r="K193" t="n">
        <v>31.08</v>
      </c>
      <c r="L193" t="n">
        <v>80.65000000000001</v>
      </c>
      <c r="M193" t="n">
        <v>98.53</v>
      </c>
      <c r="N193" t="n">
        <v>16.8</v>
      </c>
      <c r="O193" t="n">
        <v>5.6</v>
      </c>
      <c r="P193" t="n">
        <v>28.14</v>
      </c>
      <c r="Q193" t="n">
        <v>23.4</v>
      </c>
      <c r="R193" t="n">
        <v>37.44</v>
      </c>
      <c r="S193" t="n">
        <v>75.27</v>
      </c>
      <c r="T193" t="n">
        <v>98.29000000000001</v>
      </c>
      <c r="U193" t="n">
        <v>20.34</v>
      </c>
      <c r="V193" t="inlineStr">
        <is>
          <t>Type I – Tropical Monsoon (PAGASA)</t>
        </is>
      </c>
      <c r="W193" t="inlineStr">
        <is>
          <t>Dry (Cool)</t>
        </is>
      </c>
      <c r="X193" t="inlineStr">
        <is>
          <t>Wet</t>
        </is>
      </c>
      <c r="Y193" t="inlineStr">
        <is>
          <t>Sandy Loam</t>
        </is>
      </c>
      <c r="Z193" t="inlineStr">
        <is>
          <t>Flat / Lowland</t>
        </is>
      </c>
      <c r="AA193" t="n">
        <v>30</v>
      </c>
      <c r="AB193" t="inlineStr">
        <is>
          <t>Tagamusing River</t>
        </is>
      </c>
      <c r="AC193" t="n">
        <v>504</v>
      </c>
      <c r="AD193" t="n">
        <v>1</v>
      </c>
      <c r="AE193" t="n">
        <v>32.1</v>
      </c>
      <c r="AF193" t="n">
        <v>150</v>
      </c>
      <c r="AG193" t="inlineStr">
        <is>
          <t>Transplanting (Pindot) or Direct Seeding (Pinaghandaan)</t>
        </is>
      </c>
      <c r="AH193" t="inlineStr">
        <is>
          <t>Conventional Tillage: 2 plowings + 2 harrowings; soil workable when moist</t>
        </is>
      </c>
      <c r="AI193" t="inlineStr">
        <is>
          <t>Intermittent irrigation (Alternate Wetting and Drying — AWD); moderate retention</t>
        </is>
      </c>
      <c r="AJ193" t="n">
        <v>3.41</v>
      </c>
      <c r="AK193" t="n">
        <v>27.28</v>
      </c>
      <c r="AL193" t="n">
        <v>8</v>
      </c>
      <c r="AM193" t="inlineStr">
        <is>
          <t>No</t>
        </is>
      </c>
      <c r="AN193" t="inlineStr">
        <is>
          <t>Observed harvest</t>
        </is>
      </c>
    </row>
    <row r="194">
      <c r="A194" t="inlineStr">
        <is>
          <t>Palay</t>
        </is>
      </c>
      <c r="B194" t="inlineStr">
        <is>
          <t>San Pablo</t>
        </is>
      </c>
      <c r="C194" t="inlineStr">
        <is>
          <t>DS 2012</t>
        </is>
      </c>
      <c r="D194" t="inlineStr">
        <is>
          <t>January</t>
        </is>
      </c>
      <c r="E194" t="inlineStr">
        <is>
          <t>2012</t>
        </is>
      </c>
      <c r="F194" t="inlineStr">
        <is>
          <t>May</t>
        </is>
      </c>
      <c r="G194" t="inlineStr">
        <is>
          <t>2012</t>
        </is>
      </c>
      <c r="H194" t="n">
        <v>0.85</v>
      </c>
      <c r="I194" t="n">
        <v>24.57</v>
      </c>
      <c r="J194" t="n">
        <v>18.71</v>
      </c>
      <c r="K194" t="n">
        <v>31.08</v>
      </c>
      <c r="L194" t="n">
        <v>80.65000000000001</v>
      </c>
      <c r="M194" t="n">
        <v>98.53</v>
      </c>
      <c r="N194" t="n">
        <v>16.8</v>
      </c>
      <c r="O194" t="n">
        <v>5.6</v>
      </c>
      <c r="P194" t="n">
        <v>28.14</v>
      </c>
      <c r="Q194" t="n">
        <v>23.4</v>
      </c>
      <c r="R194" t="n">
        <v>37.44</v>
      </c>
      <c r="S194" t="n">
        <v>75.27</v>
      </c>
      <c r="T194" t="n">
        <v>98.29000000000001</v>
      </c>
      <c r="U194" t="n">
        <v>20.34</v>
      </c>
      <c r="V194" t="inlineStr">
        <is>
          <t>Type I – Tropical Monsoon (PAGASA)</t>
        </is>
      </c>
      <c r="W194" t="inlineStr">
        <is>
          <t>Dry (Cool)</t>
        </is>
      </c>
      <c r="X194" t="inlineStr">
        <is>
          <t>Wet</t>
        </is>
      </c>
      <c r="Y194" t="inlineStr">
        <is>
          <t>Sandy Loam</t>
        </is>
      </c>
      <c r="Z194" t="inlineStr">
        <is>
          <t>Flat / Lowland</t>
        </is>
      </c>
      <c r="AA194" t="n">
        <v>30</v>
      </c>
      <c r="AB194" t="inlineStr">
        <is>
          <t>San Pablo Creek</t>
        </is>
      </c>
      <c r="AC194" t="n">
        <v>215.04</v>
      </c>
      <c r="AD194" t="n">
        <v>0.5</v>
      </c>
      <c r="AE194" t="n">
        <v>26.4</v>
      </c>
      <c r="AF194" t="n">
        <v>115</v>
      </c>
      <c r="AG194" t="inlineStr">
        <is>
          <t>Transplanting (Pindot) or Direct Seeding (Pinaghandaan)</t>
        </is>
      </c>
      <c r="AH194" t="inlineStr">
        <is>
          <t>Conventional Tillage: 2 plowings + 2 harrowings; soil workable when moist</t>
        </is>
      </c>
      <c r="AI194" t="inlineStr">
        <is>
          <t>Intermittent irrigation (Alternate Wetting and Drying — AWD); moderate retention</t>
        </is>
      </c>
      <c r="AJ194" t="n">
        <v>2.82</v>
      </c>
      <c r="AK194" t="n">
        <v>22.56</v>
      </c>
      <c r="AL194" t="n">
        <v>8</v>
      </c>
      <c r="AM194" t="inlineStr">
        <is>
          <t>No</t>
        </is>
      </c>
      <c r="AN194" t="inlineStr">
        <is>
          <t>Observed harvest</t>
        </is>
      </c>
    </row>
    <row r="195">
      <c r="A195" t="inlineStr">
        <is>
          <t>Palay</t>
        </is>
      </c>
      <c r="B195" t="inlineStr">
        <is>
          <t>Santiago</t>
        </is>
      </c>
      <c r="C195" t="inlineStr">
        <is>
          <t>DS 2012</t>
        </is>
      </c>
      <c r="D195" t="inlineStr">
        <is>
          <t>January</t>
        </is>
      </c>
      <c r="E195" t="inlineStr">
        <is>
          <t>2012</t>
        </is>
      </c>
      <c r="F195" t="inlineStr">
        <is>
          <t>May</t>
        </is>
      </c>
      <c r="G195" t="inlineStr">
        <is>
          <t>2012</t>
        </is>
      </c>
      <c r="H195" t="n">
        <v>0.85</v>
      </c>
      <c r="I195" t="n">
        <v>24.57</v>
      </c>
      <c r="J195" t="n">
        <v>18.71</v>
      </c>
      <c r="K195" t="n">
        <v>31.08</v>
      </c>
      <c r="L195" t="n">
        <v>80.65000000000001</v>
      </c>
      <c r="M195" t="n">
        <v>98.53</v>
      </c>
      <c r="N195" t="n">
        <v>16.8</v>
      </c>
      <c r="O195" t="n">
        <v>5.6</v>
      </c>
      <c r="P195" t="n">
        <v>28.14</v>
      </c>
      <c r="Q195" t="n">
        <v>23.4</v>
      </c>
      <c r="R195" t="n">
        <v>37.44</v>
      </c>
      <c r="S195" t="n">
        <v>75.27</v>
      </c>
      <c r="T195" t="n">
        <v>98.29000000000001</v>
      </c>
      <c r="U195" t="n">
        <v>20.34</v>
      </c>
      <c r="V195" t="inlineStr">
        <is>
          <t>Type I – Tropical Monsoon (PAGASA)</t>
        </is>
      </c>
      <c r="W195" t="inlineStr">
        <is>
          <t>Dry (Cool)</t>
        </is>
      </c>
      <c r="X195" t="inlineStr">
        <is>
          <t>Wet</t>
        </is>
      </c>
      <c r="Y195" t="inlineStr">
        <is>
          <t>Silty Clay Loam</t>
        </is>
      </c>
      <c r="Z195" t="inlineStr">
        <is>
          <t>Flat / Lowland</t>
        </is>
      </c>
      <c r="AA195" t="n">
        <v>30</v>
      </c>
      <c r="AB195" t="inlineStr">
        <is>
          <t>—</t>
        </is>
      </c>
      <c r="AC195" t="n">
        <v>283.08</v>
      </c>
      <c r="AD195" t="n">
        <v>0.5</v>
      </c>
      <c r="AE195" t="n">
        <v>81.66</v>
      </c>
      <c r="AF195" t="n">
        <v>14</v>
      </c>
      <c r="AG195" t="inlineStr">
        <is>
          <t>Transplanting (Pindot) — optimal for clay-loam paddy fields</t>
        </is>
      </c>
      <c r="AH195" t="inlineStr">
        <is>
          <t>Wet Tillage (Puddling): 2 plowings + thorough harrowing under flooded condition</t>
        </is>
      </c>
      <c r="AI195" t="inlineStr">
        <is>
          <t>Continuous flooding 2–5 cm depth during vegetative stage; drain 2 weeks before harvest</t>
        </is>
      </c>
      <c r="AJ195" t="n">
        <v>3.8</v>
      </c>
      <c r="AK195" t="n">
        <v>30.4</v>
      </c>
      <c r="AL195" t="n">
        <v>8</v>
      </c>
      <c r="AM195" t="inlineStr">
        <is>
          <t>No</t>
        </is>
      </c>
      <c r="AN195" t="inlineStr">
        <is>
          <t>Observed harvest</t>
        </is>
      </c>
    </row>
    <row r="196">
      <c r="A196" t="inlineStr">
        <is>
          <t>Palay</t>
        </is>
      </c>
      <c r="B196" t="inlineStr">
        <is>
          <t>Sta. Maria Norte</t>
        </is>
      </c>
      <c r="C196" t="inlineStr">
        <is>
          <t>DS 2012</t>
        </is>
      </c>
      <c r="D196" t="inlineStr">
        <is>
          <t>January</t>
        </is>
      </c>
      <c r="E196" t="inlineStr">
        <is>
          <t>2012</t>
        </is>
      </c>
      <c r="F196" t="inlineStr">
        <is>
          <t>May</t>
        </is>
      </c>
      <c r="G196" t="inlineStr">
        <is>
          <t>2012</t>
        </is>
      </c>
      <c r="H196" t="n">
        <v>0.85</v>
      </c>
      <c r="I196" t="n">
        <v>24.57</v>
      </c>
      <c r="J196" t="n">
        <v>18.71</v>
      </c>
      <c r="K196" t="n">
        <v>31.08</v>
      </c>
      <c r="L196" t="n">
        <v>80.65000000000001</v>
      </c>
      <c r="M196" t="n">
        <v>98.53</v>
      </c>
      <c r="N196" t="n">
        <v>16.8</v>
      </c>
      <c r="O196" t="n">
        <v>5.6</v>
      </c>
      <c r="P196" t="n">
        <v>28.14</v>
      </c>
      <c r="Q196" t="n">
        <v>23.4</v>
      </c>
      <c r="R196" t="n">
        <v>37.44</v>
      </c>
      <c r="S196" t="n">
        <v>75.27</v>
      </c>
      <c r="T196" t="n">
        <v>98.29000000000001</v>
      </c>
      <c r="U196" t="n">
        <v>20.34</v>
      </c>
      <c r="V196" t="inlineStr">
        <is>
          <t>Type I – Tropical Monsoon (PAGASA)</t>
        </is>
      </c>
      <c r="W196" t="inlineStr">
        <is>
          <t>Dry (Cool)</t>
        </is>
      </c>
      <c r="X196" t="inlineStr">
        <is>
          <t>Wet</t>
        </is>
      </c>
      <c r="Y196" t="inlineStr">
        <is>
          <t>Sandy Loam</t>
        </is>
      </c>
      <c r="Z196" t="inlineStr">
        <is>
          <t>Flat / Lowland</t>
        </is>
      </c>
      <c r="AA196" t="n">
        <v>30</v>
      </c>
      <c r="AB196" t="inlineStr">
        <is>
          <t>Tagamusing River</t>
        </is>
      </c>
      <c r="AC196" t="n">
        <v>157.08</v>
      </c>
      <c r="AD196" t="n">
        <v>6.97</v>
      </c>
      <c r="AE196" t="n">
        <v>26.4</v>
      </c>
      <c r="AF196" t="n">
        <v>25.5</v>
      </c>
      <c r="AG196" t="inlineStr">
        <is>
          <t>Transplanting (Pindot) or Direct Seeding (Pinaghandaan)</t>
        </is>
      </c>
      <c r="AH196" t="inlineStr">
        <is>
          <t>Conventional Tillage: 2 plowings + 2 harrowings; soil workable when moist</t>
        </is>
      </c>
      <c r="AI196" t="inlineStr">
        <is>
          <t>Intermittent irrigation (Alternate Wetting and Drying — AWD); moderate retention</t>
        </is>
      </c>
      <c r="AJ196" t="n">
        <v>3.95</v>
      </c>
      <c r="AK196" t="n">
        <v>25.27</v>
      </c>
      <c r="AL196" t="n">
        <v>6.4</v>
      </c>
      <c r="AM196" t="inlineStr">
        <is>
          <t>No</t>
        </is>
      </c>
      <c r="AN196" t="inlineStr">
        <is>
          <t>Observed harvest</t>
        </is>
      </c>
    </row>
    <row r="197">
      <c r="A197" t="inlineStr">
        <is>
          <t>Palay</t>
        </is>
      </c>
      <c r="B197" t="inlineStr">
        <is>
          <t>Sumabnit</t>
        </is>
      </c>
      <c r="C197" t="inlineStr">
        <is>
          <t>DS 2012</t>
        </is>
      </c>
      <c r="D197" t="inlineStr">
        <is>
          <t>January</t>
        </is>
      </c>
      <c r="E197" t="inlineStr">
        <is>
          <t>2012</t>
        </is>
      </c>
      <c r="F197" t="inlineStr">
        <is>
          <t>May</t>
        </is>
      </c>
      <c r="G197" t="inlineStr">
        <is>
          <t>2012</t>
        </is>
      </c>
      <c r="H197" t="n">
        <v>0.85</v>
      </c>
      <c r="I197" t="n">
        <v>24.57</v>
      </c>
      <c r="J197" t="n">
        <v>18.71</v>
      </c>
      <c r="K197" t="n">
        <v>31.08</v>
      </c>
      <c r="L197" t="n">
        <v>80.65000000000001</v>
      </c>
      <c r="M197" t="n">
        <v>98.53</v>
      </c>
      <c r="N197" t="n">
        <v>16.8</v>
      </c>
      <c r="O197" t="n">
        <v>5.6</v>
      </c>
      <c r="P197" t="n">
        <v>28.14</v>
      </c>
      <c r="Q197" t="n">
        <v>23.4</v>
      </c>
      <c r="R197" t="n">
        <v>37.44</v>
      </c>
      <c r="S197" t="n">
        <v>75.27</v>
      </c>
      <c r="T197" t="n">
        <v>98.29000000000001</v>
      </c>
      <c r="U197" t="n">
        <v>20.34</v>
      </c>
      <c r="V197" t="inlineStr">
        <is>
          <t>Type I – Tropical Monsoon (PAGASA)</t>
        </is>
      </c>
      <c r="W197" t="inlineStr">
        <is>
          <t>Dry (Cool)</t>
        </is>
      </c>
      <c r="X197" t="inlineStr">
        <is>
          <t>Wet</t>
        </is>
      </c>
      <c r="Y197" t="inlineStr">
        <is>
          <t>Silty Clay Loam / Fine Sandy Loam</t>
        </is>
      </c>
      <c r="Z197" t="inlineStr">
        <is>
          <t>Flat / Lowland</t>
        </is>
      </c>
      <c r="AA197" t="n">
        <v>30</v>
      </c>
      <c r="AB197" t="inlineStr">
        <is>
          <t>Tagamusing River</t>
        </is>
      </c>
      <c r="AC197" t="n">
        <v>406.56</v>
      </c>
      <c r="AD197" t="n">
        <v>1.5</v>
      </c>
      <c r="AE197" t="n">
        <v>81.66</v>
      </c>
      <c r="AF197" t="n">
        <v>63.6</v>
      </c>
      <c r="AG197" t="inlineStr">
        <is>
          <t>Transplanting (Pindot)</t>
        </is>
      </c>
      <c r="AH197" t="inlineStr">
        <is>
          <t>Minimum Tillage (avoid compaction; sandy structure fragile)</t>
        </is>
      </c>
      <c r="AI197" t="inlineStr">
        <is>
          <t>Continuous flooding or frequent irrigation; high percolation risk</t>
        </is>
      </c>
      <c r="AJ197" t="n">
        <v>6.13</v>
      </c>
      <c r="AK197" t="n">
        <v>34.61</v>
      </c>
      <c r="AL197" t="n">
        <v>5.65</v>
      </c>
      <c r="AM197" t="inlineStr">
        <is>
          <t>No</t>
        </is>
      </c>
      <c r="AN197" t="inlineStr">
        <is>
          <t>Observed harvest</t>
        </is>
      </c>
    </row>
    <row r="198">
      <c r="A198" t="inlineStr">
        <is>
          <t>Palay</t>
        </is>
      </c>
      <c r="B198" t="inlineStr">
        <is>
          <t>Tabuyoc</t>
        </is>
      </c>
      <c r="C198" t="inlineStr">
        <is>
          <t>DS 2012</t>
        </is>
      </c>
      <c r="D198" t="inlineStr">
        <is>
          <t>January</t>
        </is>
      </c>
      <c r="E198" t="inlineStr">
        <is>
          <t>2012</t>
        </is>
      </c>
      <c r="F198" t="inlineStr">
        <is>
          <t>May</t>
        </is>
      </c>
      <c r="G198" t="inlineStr">
        <is>
          <t>2012</t>
        </is>
      </c>
      <c r="H198" t="n">
        <v>0.85</v>
      </c>
      <c r="I198" t="n">
        <v>24.57</v>
      </c>
      <c r="J198" t="n">
        <v>18.71</v>
      </c>
      <c r="K198" t="n">
        <v>31.08</v>
      </c>
      <c r="L198" t="n">
        <v>80.65000000000001</v>
      </c>
      <c r="M198" t="n">
        <v>98.53</v>
      </c>
      <c r="N198" t="n">
        <v>16.8</v>
      </c>
      <c r="O198" t="n">
        <v>5.6</v>
      </c>
      <c r="P198" t="n">
        <v>28.14</v>
      </c>
      <c r="Q198" t="n">
        <v>23.4</v>
      </c>
      <c r="R198" t="n">
        <v>37.44</v>
      </c>
      <c r="S198" t="n">
        <v>75.27</v>
      </c>
      <c r="T198" t="n">
        <v>98.29000000000001</v>
      </c>
      <c r="U198" t="n">
        <v>20.34</v>
      </c>
      <c r="V198" t="inlineStr">
        <is>
          <t>Type I – Tropical Monsoon (PAGASA)</t>
        </is>
      </c>
      <c r="W198" t="inlineStr">
        <is>
          <t>Dry (Cool)</t>
        </is>
      </c>
      <c r="X198" t="inlineStr">
        <is>
          <t>Wet</t>
        </is>
      </c>
      <c r="Y198" t="inlineStr">
        <is>
          <t>Silty Clay Loam</t>
        </is>
      </c>
      <c r="Z198" t="inlineStr">
        <is>
          <t>Flat / Lowland</t>
        </is>
      </c>
      <c r="AA198" t="n">
        <v>30</v>
      </c>
      <c r="AB198" t="inlineStr">
        <is>
          <t>—</t>
        </is>
      </c>
      <c r="AC198" t="n">
        <v>277.2</v>
      </c>
      <c r="AD198" t="n">
        <v>1</v>
      </c>
      <c r="AE198" t="n">
        <v>81.66</v>
      </c>
      <c r="AF198" t="n">
        <v>121</v>
      </c>
      <c r="AG198" t="inlineStr">
        <is>
          <t>Transplanting (Pindot) — optimal for clay-loam paddy fields</t>
        </is>
      </c>
      <c r="AH198" t="inlineStr">
        <is>
          <t>Wet Tillage (Puddling): 2 plowings + thorough harrowing under flooded condition</t>
        </is>
      </c>
      <c r="AI198" t="inlineStr">
        <is>
          <t>Continuous flooding 2–5 cm depth during vegetative stage; drain 2 weeks before harvest</t>
        </is>
      </c>
      <c r="AJ198" t="n">
        <v>6.19</v>
      </c>
      <c r="AK198" t="n">
        <v>33.89</v>
      </c>
      <c r="AL198" t="n">
        <v>5.47</v>
      </c>
      <c r="AM198" t="inlineStr">
        <is>
          <t>No</t>
        </is>
      </c>
      <c r="AN198" t="inlineStr">
        <is>
          <t>Observed harvest</t>
        </is>
      </c>
    </row>
    <row r="199">
      <c r="A199" t="inlineStr">
        <is>
          <t>Palay</t>
        </is>
      </c>
      <c r="B199" t="inlineStr">
        <is>
          <t>Balangobong</t>
        </is>
      </c>
      <c r="C199" t="inlineStr">
        <is>
          <t>DS 2013</t>
        </is>
      </c>
      <c r="D199" t="inlineStr">
        <is>
          <t>January</t>
        </is>
      </c>
      <c r="E199" t="inlineStr">
        <is>
          <t>2013</t>
        </is>
      </c>
      <c r="F199" t="inlineStr">
        <is>
          <t>May</t>
        </is>
      </c>
      <c r="G199" t="inlineStr">
        <is>
          <t>2013</t>
        </is>
      </c>
      <c r="H199" t="n">
        <v>0.58</v>
      </c>
      <c r="I199" t="n">
        <v>24.32</v>
      </c>
      <c r="J199" t="n">
        <v>16.94</v>
      </c>
      <c r="K199" t="n">
        <v>31.93</v>
      </c>
      <c r="L199" t="n">
        <v>74.94</v>
      </c>
      <c r="M199" t="n">
        <v>98.59999999999999</v>
      </c>
      <c r="N199" t="n">
        <v>16.43</v>
      </c>
      <c r="O199" t="n">
        <v>5.24</v>
      </c>
      <c r="P199" t="n">
        <v>28.82</v>
      </c>
      <c r="Q199" t="n">
        <v>22.25</v>
      </c>
      <c r="R199" t="n">
        <v>36.86</v>
      </c>
      <c r="S199" t="n">
        <v>72.27</v>
      </c>
      <c r="T199" t="n">
        <v>98.33</v>
      </c>
      <c r="U199" t="n">
        <v>23.05</v>
      </c>
      <c r="V199" t="inlineStr">
        <is>
          <t>Type I – Tropical Monsoon (PAGASA)</t>
        </is>
      </c>
      <c r="W199" t="inlineStr">
        <is>
          <t>Dry (Cool)</t>
        </is>
      </c>
      <c r="X199" t="inlineStr">
        <is>
          <t>Wet</t>
        </is>
      </c>
      <c r="Y199" t="inlineStr">
        <is>
          <t>Silty Clay Loam</t>
        </is>
      </c>
      <c r="Z199" t="inlineStr">
        <is>
          <t>Flat / Lowland</t>
        </is>
      </c>
      <c r="AA199" t="n">
        <v>30</v>
      </c>
      <c r="AB199" t="inlineStr">
        <is>
          <t>—</t>
        </is>
      </c>
      <c r="AC199" t="n">
        <v>281.4</v>
      </c>
      <c r="AD199" t="n">
        <v>2</v>
      </c>
      <c r="AE199" t="n">
        <v>35.32</v>
      </c>
      <c r="AF199" t="n">
        <v>120</v>
      </c>
      <c r="AG199" t="inlineStr">
        <is>
          <t>Transplanting (Pindot) — optimal for clay-loam paddy fields</t>
        </is>
      </c>
      <c r="AH199" t="inlineStr">
        <is>
          <t>Wet Tillage (Puddling): 2 plowings + thorough harrowing under flooded condition</t>
        </is>
      </c>
      <c r="AI199" t="inlineStr">
        <is>
          <t>Continuous flooding 2–5 cm depth during vegetative stage; drain 2 weeks before harvest</t>
        </is>
      </c>
      <c r="AJ199" t="n">
        <v>8.67</v>
      </c>
      <c r="AK199" t="n">
        <v>19.47</v>
      </c>
      <c r="AL199" t="n">
        <v>2.25</v>
      </c>
      <c r="AM199" t="inlineStr">
        <is>
          <t>No</t>
        </is>
      </c>
      <c r="AN199" t="inlineStr">
        <is>
          <t>Observed harvest</t>
        </is>
      </c>
    </row>
    <row r="200">
      <c r="A200" t="inlineStr">
        <is>
          <t>Palay</t>
        </is>
      </c>
      <c r="B200" t="inlineStr">
        <is>
          <t>Bugayong</t>
        </is>
      </c>
      <c r="C200" t="inlineStr">
        <is>
          <t>DS 2013</t>
        </is>
      </c>
      <c r="D200" t="inlineStr">
        <is>
          <t>January</t>
        </is>
      </c>
      <c r="E200" t="inlineStr">
        <is>
          <t>2013</t>
        </is>
      </c>
      <c r="F200" t="inlineStr">
        <is>
          <t>May</t>
        </is>
      </c>
      <c r="G200" t="inlineStr">
        <is>
          <t>2013</t>
        </is>
      </c>
      <c r="H200" t="n">
        <v>0.58</v>
      </c>
      <c r="I200" t="n">
        <v>24.32</v>
      </c>
      <c r="J200" t="n">
        <v>16.94</v>
      </c>
      <c r="K200" t="n">
        <v>31.93</v>
      </c>
      <c r="L200" t="n">
        <v>74.94</v>
      </c>
      <c r="M200" t="n">
        <v>98.59999999999999</v>
      </c>
      <c r="N200" t="n">
        <v>16.43</v>
      </c>
      <c r="O200" t="n">
        <v>5.24</v>
      </c>
      <c r="P200" t="n">
        <v>28.82</v>
      </c>
      <c r="Q200" t="n">
        <v>22.25</v>
      </c>
      <c r="R200" t="n">
        <v>36.86</v>
      </c>
      <c r="S200" t="n">
        <v>72.27</v>
      </c>
      <c r="T200" t="n">
        <v>98.33</v>
      </c>
      <c r="U200" t="n">
        <v>23.05</v>
      </c>
      <c r="V200" t="inlineStr">
        <is>
          <t>Type I – Tropical Monsoon (PAGASA)</t>
        </is>
      </c>
      <c r="W200" t="inlineStr">
        <is>
          <t>Dry (Cool)</t>
        </is>
      </c>
      <c r="X200" t="inlineStr">
        <is>
          <t>Wet</t>
        </is>
      </c>
      <c r="Y200" t="inlineStr">
        <is>
          <t>Sandy Loam / Silty Clay Loam</t>
        </is>
      </c>
      <c r="Z200" t="inlineStr">
        <is>
          <t>Flat / Lowland</t>
        </is>
      </c>
      <c r="AA200" t="n">
        <v>30</v>
      </c>
      <c r="AB200" t="inlineStr">
        <is>
          <t>Aloragat River</t>
        </is>
      </c>
      <c r="AC200" t="n">
        <v>346.08</v>
      </c>
      <c r="AD200" t="n">
        <v>2</v>
      </c>
      <c r="AE200" t="n">
        <v>41.02</v>
      </c>
      <c r="AF200" t="n">
        <v>7</v>
      </c>
      <c r="AG200" t="inlineStr">
        <is>
          <t>Transplanting (Pindot) — recommended; Direct Seeding possible in dry season</t>
        </is>
      </c>
      <c r="AH200" t="inlineStr">
        <is>
          <t>Conventional Tillage: 2 plowings + harrowing; puddle thoroughly for transplanting</t>
        </is>
      </c>
      <c r="AI200" t="inlineStr">
        <is>
          <t>Intermittent to continuous flooding; manage according to drainage section present</t>
        </is>
      </c>
      <c r="AJ200" t="n">
        <v>8.199999999999999</v>
      </c>
      <c r="AK200" t="n">
        <v>24.47</v>
      </c>
      <c r="AL200" t="n">
        <v>2.98</v>
      </c>
      <c r="AM200" t="inlineStr">
        <is>
          <t>No</t>
        </is>
      </c>
      <c r="AN200" t="inlineStr">
        <is>
          <t>Observed harvest</t>
        </is>
      </c>
    </row>
    <row r="201">
      <c r="A201" t="inlineStr">
        <is>
          <t>Palay</t>
        </is>
      </c>
      <c r="B201" t="inlineStr">
        <is>
          <t>Camanggaan</t>
        </is>
      </c>
      <c r="C201" t="inlineStr">
        <is>
          <t>DS 2013</t>
        </is>
      </c>
      <c r="D201" t="inlineStr">
        <is>
          <t>January</t>
        </is>
      </c>
      <c r="E201" t="inlineStr">
        <is>
          <t>2013</t>
        </is>
      </c>
      <c r="F201" t="inlineStr">
        <is>
          <t>May</t>
        </is>
      </c>
      <c r="G201" t="inlineStr">
        <is>
          <t>2013</t>
        </is>
      </c>
      <c r="H201" t="n">
        <v>0.58</v>
      </c>
      <c r="I201" t="n">
        <v>24.32</v>
      </c>
      <c r="J201" t="n">
        <v>16.94</v>
      </c>
      <c r="K201" t="n">
        <v>31.93</v>
      </c>
      <c r="L201" t="n">
        <v>74.94</v>
      </c>
      <c r="M201" t="n">
        <v>98.59999999999999</v>
      </c>
      <c r="N201" t="n">
        <v>16.43</v>
      </c>
      <c r="O201" t="n">
        <v>5.24</v>
      </c>
      <c r="P201" t="n">
        <v>28.82</v>
      </c>
      <c r="Q201" t="n">
        <v>22.25</v>
      </c>
      <c r="R201" t="n">
        <v>36.86</v>
      </c>
      <c r="S201" t="n">
        <v>72.27</v>
      </c>
      <c r="T201" t="n">
        <v>98.33</v>
      </c>
      <c r="U201" t="n">
        <v>23.05</v>
      </c>
      <c r="V201" t="inlineStr">
        <is>
          <t>Type I – Tropical Monsoon (PAGASA)</t>
        </is>
      </c>
      <c r="W201" t="inlineStr">
        <is>
          <t>Dry (Cool)</t>
        </is>
      </c>
      <c r="X201" t="inlineStr">
        <is>
          <t>Wet</t>
        </is>
      </c>
      <c r="Y201" t="inlineStr">
        <is>
          <t>Sandy Loam</t>
        </is>
      </c>
      <c r="Z201" t="inlineStr">
        <is>
          <t>Flat / Lowland</t>
        </is>
      </c>
      <c r="AA201" t="n">
        <v>30</v>
      </c>
      <c r="AB201" t="inlineStr">
        <is>
          <t>—</t>
        </is>
      </c>
      <c r="AC201" t="n">
        <v>244.44</v>
      </c>
      <c r="AD201" t="n">
        <v>2</v>
      </c>
      <c r="AE201" t="n">
        <v>72.73999999999999</v>
      </c>
      <c r="AF201" t="n">
        <v>5</v>
      </c>
      <c r="AG201" t="inlineStr">
        <is>
          <t>Transplanting (Pindot) or Direct Seeding (Pinaghandaan)</t>
        </is>
      </c>
      <c r="AH201" t="inlineStr">
        <is>
          <t>Conventional Tillage: 2 plowings + 2 harrowings; soil workable when moist</t>
        </is>
      </c>
      <c r="AI201" t="inlineStr">
        <is>
          <t>Intermittent irrigation (Alternate Wetting and Drying — AWD); moderate retention</t>
        </is>
      </c>
      <c r="AJ201" t="n">
        <v>6.15</v>
      </c>
      <c r="AK201" t="n">
        <v>29.9</v>
      </c>
      <c r="AL201" t="n">
        <v>4.86</v>
      </c>
      <c r="AM201" t="inlineStr">
        <is>
          <t>No</t>
        </is>
      </c>
      <c r="AN201" t="inlineStr">
        <is>
          <t>Observed harvest</t>
        </is>
      </c>
    </row>
    <row r="202">
      <c r="A202" t="inlineStr">
        <is>
          <t>Palay</t>
        </is>
      </c>
      <c r="B202" t="inlineStr">
        <is>
          <t>Capas</t>
        </is>
      </c>
      <c r="C202" t="inlineStr">
        <is>
          <t>DS 2013</t>
        </is>
      </c>
      <c r="D202" t="inlineStr">
        <is>
          <t>January</t>
        </is>
      </c>
      <c r="E202" t="inlineStr">
        <is>
          <t>2013</t>
        </is>
      </c>
      <c r="F202" t="inlineStr">
        <is>
          <t>May</t>
        </is>
      </c>
      <c r="G202" t="inlineStr">
        <is>
          <t>2013</t>
        </is>
      </c>
      <c r="H202" t="n">
        <v>0.58</v>
      </c>
      <c r="I202" t="n">
        <v>24.32</v>
      </c>
      <c r="J202" t="n">
        <v>16.94</v>
      </c>
      <c r="K202" t="n">
        <v>31.93</v>
      </c>
      <c r="L202" t="n">
        <v>74.94</v>
      </c>
      <c r="M202" t="n">
        <v>98.59999999999999</v>
      </c>
      <c r="N202" t="n">
        <v>16.43</v>
      </c>
      <c r="O202" t="n">
        <v>5.24</v>
      </c>
      <c r="P202" t="n">
        <v>28.82</v>
      </c>
      <c r="Q202" t="n">
        <v>22.25</v>
      </c>
      <c r="R202" t="n">
        <v>36.86</v>
      </c>
      <c r="S202" t="n">
        <v>72.27</v>
      </c>
      <c r="T202" t="n">
        <v>98.33</v>
      </c>
      <c r="U202" t="n">
        <v>23.05</v>
      </c>
      <c r="V202" t="inlineStr">
        <is>
          <t>Type I – Tropical Monsoon (PAGASA)</t>
        </is>
      </c>
      <c r="W202" t="inlineStr">
        <is>
          <t>Dry (Cool)</t>
        </is>
      </c>
      <c r="X202" t="inlineStr">
        <is>
          <t>Wet</t>
        </is>
      </c>
      <c r="Y202" t="inlineStr">
        <is>
          <t>Sandy Loam</t>
        </is>
      </c>
      <c r="Z202" t="inlineStr">
        <is>
          <t>Flat / Lowland</t>
        </is>
      </c>
      <c r="AA202" t="n">
        <v>30</v>
      </c>
      <c r="AB202" t="inlineStr">
        <is>
          <t>—</t>
        </is>
      </c>
      <c r="AC202" t="n">
        <v>377.16</v>
      </c>
      <c r="AD202" t="n">
        <v>4</v>
      </c>
      <c r="AE202" t="n">
        <v>67.04000000000001</v>
      </c>
      <c r="AF202" t="n">
        <v>179</v>
      </c>
      <c r="AG202" t="inlineStr">
        <is>
          <t>Transplanting (Pindot) or Direct Seeding (Pinaghandaan)</t>
        </is>
      </c>
      <c r="AH202" t="inlineStr">
        <is>
          <t>Conventional Tillage: 2 plowings + 2 harrowings; soil workable when moist</t>
        </is>
      </c>
      <c r="AI202" t="inlineStr">
        <is>
          <t>Intermittent irrigation (Alternate Wetting and Drying — AWD); moderate retention</t>
        </is>
      </c>
      <c r="AJ202" t="n">
        <v>6.2</v>
      </c>
      <c r="AK202" t="n">
        <v>30.22</v>
      </c>
      <c r="AL202" t="n">
        <v>4.87</v>
      </c>
      <c r="AM202" t="inlineStr">
        <is>
          <t>No</t>
        </is>
      </c>
      <c r="AN202" t="inlineStr">
        <is>
          <t>Observed harvest</t>
        </is>
      </c>
    </row>
    <row r="203">
      <c r="A203" t="inlineStr">
        <is>
          <t>Palay</t>
        </is>
      </c>
      <c r="B203" t="inlineStr">
        <is>
          <t>Mangkasuy</t>
        </is>
      </c>
      <c r="C203" t="inlineStr">
        <is>
          <t>DS 2013</t>
        </is>
      </c>
      <c r="D203" t="inlineStr">
        <is>
          <t>January</t>
        </is>
      </c>
      <c r="E203" t="inlineStr">
        <is>
          <t>2013</t>
        </is>
      </c>
      <c r="F203" t="inlineStr">
        <is>
          <t>May</t>
        </is>
      </c>
      <c r="G203" t="inlineStr">
        <is>
          <t>2013</t>
        </is>
      </c>
      <c r="H203" t="n">
        <v>0.58</v>
      </c>
      <c r="I203" t="n">
        <v>24.32</v>
      </c>
      <c r="J203" t="n">
        <v>16.94</v>
      </c>
      <c r="K203" t="n">
        <v>31.93</v>
      </c>
      <c r="L203" t="n">
        <v>74.94</v>
      </c>
      <c r="M203" t="n">
        <v>98.59999999999999</v>
      </c>
      <c r="N203" t="n">
        <v>16.43</v>
      </c>
      <c r="O203" t="n">
        <v>5.24</v>
      </c>
      <c r="P203" t="n">
        <v>28.82</v>
      </c>
      <c r="Q203" t="n">
        <v>22.25</v>
      </c>
      <c r="R203" t="n">
        <v>36.86</v>
      </c>
      <c r="S203" t="n">
        <v>72.27</v>
      </c>
      <c r="T203" t="n">
        <v>98.33</v>
      </c>
      <c r="U203" t="n">
        <v>23.05</v>
      </c>
      <c r="V203" t="inlineStr">
        <is>
          <t>Type I – Tropical Monsoon (PAGASA)</t>
        </is>
      </c>
      <c r="W203" t="inlineStr">
        <is>
          <t>Dry (Cool)</t>
        </is>
      </c>
      <c r="X203" t="inlineStr">
        <is>
          <t>Wet</t>
        </is>
      </c>
      <c r="Y203" t="inlineStr">
        <is>
          <t>Sandy Loam</t>
        </is>
      </c>
      <c r="Z203" t="inlineStr">
        <is>
          <t>Flat / Lowland</t>
        </is>
      </c>
      <c r="AA203" t="n">
        <v>30</v>
      </c>
      <c r="AB203" t="inlineStr">
        <is>
          <t>Tagamusing River</t>
        </is>
      </c>
      <c r="AC203" t="n">
        <v>802.2</v>
      </c>
      <c r="AD203" t="n">
        <v>1</v>
      </c>
      <c r="AE203" t="n">
        <v>110.1</v>
      </c>
      <c r="AF203" t="n">
        <v>14</v>
      </c>
      <c r="AG203" t="inlineStr">
        <is>
          <t>Transplanting (Pindot) or Direct Seeding (Pinaghandaan)</t>
        </is>
      </c>
      <c r="AH203" t="inlineStr">
        <is>
          <t>Conventional Tillage: 2 plowings + 2 harrowings; soil workable when moist</t>
        </is>
      </c>
      <c r="AI203" t="inlineStr">
        <is>
          <t>Intermittent irrigation (Alternate Wetting and Drying — AWD); moderate retention</t>
        </is>
      </c>
      <c r="AJ203" t="n">
        <v>22.9</v>
      </c>
      <c r="AK203" t="n">
        <v>113.01</v>
      </c>
      <c r="AL203" t="n">
        <v>4.93</v>
      </c>
      <c r="AM203" t="inlineStr">
        <is>
          <t>No</t>
        </is>
      </c>
      <c r="AN203" t="inlineStr">
        <is>
          <t>Observed harvest</t>
        </is>
      </c>
    </row>
    <row r="204">
      <c r="A204" t="inlineStr">
        <is>
          <t>Palay</t>
        </is>
      </c>
      <c r="B204" t="inlineStr">
        <is>
          <t>Pasileng Norte</t>
        </is>
      </c>
      <c r="C204" t="inlineStr">
        <is>
          <t>DS 2013</t>
        </is>
      </c>
      <c r="D204" t="inlineStr">
        <is>
          <t>January</t>
        </is>
      </c>
      <c r="E204" t="inlineStr">
        <is>
          <t>2013</t>
        </is>
      </c>
      <c r="F204" t="inlineStr">
        <is>
          <t>May</t>
        </is>
      </c>
      <c r="G204" t="inlineStr">
        <is>
          <t>2013</t>
        </is>
      </c>
      <c r="H204" t="n">
        <v>0.58</v>
      </c>
      <c r="I204" t="n">
        <v>24.32</v>
      </c>
      <c r="J204" t="n">
        <v>16.94</v>
      </c>
      <c r="K204" t="n">
        <v>31.93</v>
      </c>
      <c r="L204" t="n">
        <v>74.94</v>
      </c>
      <c r="M204" t="n">
        <v>98.59999999999999</v>
      </c>
      <c r="N204" t="n">
        <v>16.43</v>
      </c>
      <c r="O204" t="n">
        <v>5.24</v>
      </c>
      <c r="P204" t="n">
        <v>28.82</v>
      </c>
      <c r="Q204" t="n">
        <v>22.25</v>
      </c>
      <c r="R204" t="n">
        <v>36.86</v>
      </c>
      <c r="S204" t="n">
        <v>72.27</v>
      </c>
      <c r="T204" t="n">
        <v>98.33</v>
      </c>
      <c r="U204" t="n">
        <v>23.05</v>
      </c>
      <c r="V204" t="inlineStr">
        <is>
          <t>Type I – Tropical Monsoon (PAGASA)</t>
        </is>
      </c>
      <c r="W204" t="inlineStr">
        <is>
          <t>Dry (Cool)</t>
        </is>
      </c>
      <c r="X204" t="inlineStr">
        <is>
          <t>Wet</t>
        </is>
      </c>
      <c r="Y204" t="inlineStr">
        <is>
          <t>Sandy Loam</t>
        </is>
      </c>
      <c r="Z204" t="inlineStr">
        <is>
          <t>Flat / Lowland</t>
        </is>
      </c>
      <c r="AA204" t="n">
        <v>30</v>
      </c>
      <c r="AB204" t="inlineStr">
        <is>
          <t>Tagamusing River</t>
        </is>
      </c>
      <c r="AC204" t="n">
        <v>140.28</v>
      </c>
      <c r="AD204" t="n">
        <v>5</v>
      </c>
      <c r="AE204" t="n">
        <v>26.4</v>
      </c>
      <c r="AF204" t="n">
        <v>75</v>
      </c>
      <c r="AG204" t="inlineStr">
        <is>
          <t>Transplanting (Pindot) or Direct Seeding (Pinaghandaan)</t>
        </is>
      </c>
      <c r="AH204" t="inlineStr">
        <is>
          <t>Conventional Tillage: 2 plowings + 2 harrowings; soil workable when moist</t>
        </is>
      </c>
      <c r="AI204" t="inlineStr">
        <is>
          <t>Intermittent irrigation (Alternate Wetting and Drying — AWD); moderate retention</t>
        </is>
      </c>
      <c r="AJ204" t="n">
        <v>6.85</v>
      </c>
      <c r="AK204" t="n">
        <v>36.02</v>
      </c>
      <c r="AL204" t="n">
        <v>5.26</v>
      </c>
      <c r="AM204" t="inlineStr">
        <is>
          <t>No</t>
        </is>
      </c>
      <c r="AN204" t="inlineStr">
        <is>
          <t>Observed harvest</t>
        </is>
      </c>
    </row>
    <row r="205">
      <c r="A205" t="inlineStr">
        <is>
          <t>Palay</t>
        </is>
      </c>
      <c r="B205" t="inlineStr">
        <is>
          <t>Pasileng Sur</t>
        </is>
      </c>
      <c r="C205" t="inlineStr">
        <is>
          <t>DS 2013</t>
        </is>
      </c>
      <c r="D205" t="inlineStr">
        <is>
          <t>January</t>
        </is>
      </c>
      <c r="E205" t="inlineStr">
        <is>
          <t>2013</t>
        </is>
      </c>
      <c r="F205" t="inlineStr">
        <is>
          <t>May</t>
        </is>
      </c>
      <c r="G205" t="inlineStr">
        <is>
          <t>2013</t>
        </is>
      </c>
      <c r="H205" t="n">
        <v>0.58</v>
      </c>
      <c r="I205" t="n">
        <v>24.32</v>
      </c>
      <c r="J205" t="n">
        <v>16.94</v>
      </c>
      <c r="K205" t="n">
        <v>31.93</v>
      </c>
      <c r="L205" t="n">
        <v>74.94</v>
      </c>
      <c r="M205" t="n">
        <v>98.59999999999999</v>
      </c>
      <c r="N205" t="n">
        <v>16.43</v>
      </c>
      <c r="O205" t="n">
        <v>5.24</v>
      </c>
      <c r="P205" t="n">
        <v>28.82</v>
      </c>
      <c r="Q205" t="n">
        <v>22.25</v>
      </c>
      <c r="R205" t="n">
        <v>36.86</v>
      </c>
      <c r="S205" t="n">
        <v>72.27</v>
      </c>
      <c r="T205" t="n">
        <v>98.33</v>
      </c>
      <c r="U205" t="n">
        <v>23.05</v>
      </c>
      <c r="V205" t="inlineStr">
        <is>
          <t>Type I – Tropical Monsoon (PAGASA)</t>
        </is>
      </c>
      <c r="W205" t="inlineStr">
        <is>
          <t>Dry (Cool)</t>
        </is>
      </c>
      <c r="X205" t="inlineStr">
        <is>
          <t>Wet</t>
        </is>
      </c>
      <c r="Y205" t="inlineStr">
        <is>
          <t>Sandy Loam</t>
        </is>
      </c>
      <c r="Z205" t="inlineStr">
        <is>
          <t>Flat / Lowland</t>
        </is>
      </c>
      <c r="AA205" t="n">
        <v>30</v>
      </c>
      <c r="AB205" t="inlineStr">
        <is>
          <t>Tagamusing River</t>
        </is>
      </c>
      <c r="AC205" t="n">
        <v>414.96</v>
      </c>
      <c r="AD205" t="n">
        <v>1.5</v>
      </c>
      <c r="AE205" t="n">
        <v>26.4</v>
      </c>
      <c r="AF205" t="n">
        <v>160</v>
      </c>
      <c r="AG205" t="inlineStr">
        <is>
          <t>Transplanting (Pindot) or Direct Seeding (Pinaghandaan)</t>
        </is>
      </c>
      <c r="AH205" t="inlineStr">
        <is>
          <t>Conventional Tillage: 2 plowings + 2 harrowings; soil workable when moist</t>
        </is>
      </c>
      <c r="AI205" t="inlineStr">
        <is>
          <t>Intermittent irrigation (Alternate Wetting and Drying — AWD); moderate retention</t>
        </is>
      </c>
      <c r="AJ205" t="n">
        <v>4.36</v>
      </c>
      <c r="AK205" t="n">
        <v>34.88</v>
      </c>
      <c r="AL205" t="n">
        <v>8</v>
      </c>
      <c r="AM205" t="inlineStr">
        <is>
          <t>No</t>
        </is>
      </c>
      <c r="AN205" t="inlineStr">
        <is>
          <t>Observed harvest</t>
        </is>
      </c>
    </row>
    <row r="206">
      <c r="A206" t="inlineStr">
        <is>
          <t>Palay</t>
        </is>
      </c>
      <c r="B206" t="inlineStr">
        <is>
          <t>San Felipe Sur</t>
        </is>
      </c>
      <c r="C206" t="inlineStr">
        <is>
          <t>DS 2013</t>
        </is>
      </c>
      <c r="D206" t="inlineStr">
        <is>
          <t>January</t>
        </is>
      </c>
      <c r="E206" t="inlineStr">
        <is>
          <t>2013</t>
        </is>
      </c>
      <c r="F206" t="inlineStr">
        <is>
          <t>May</t>
        </is>
      </c>
      <c r="G206" t="inlineStr">
        <is>
          <t>2013</t>
        </is>
      </c>
      <c r="H206" t="n">
        <v>0.58</v>
      </c>
      <c r="I206" t="n">
        <v>24.32</v>
      </c>
      <c r="J206" t="n">
        <v>16.94</v>
      </c>
      <c r="K206" t="n">
        <v>31.93</v>
      </c>
      <c r="L206" t="n">
        <v>74.94</v>
      </c>
      <c r="M206" t="n">
        <v>98.59999999999999</v>
      </c>
      <c r="N206" t="n">
        <v>16.43</v>
      </c>
      <c r="O206" t="n">
        <v>5.24</v>
      </c>
      <c r="P206" t="n">
        <v>28.82</v>
      </c>
      <c r="Q206" t="n">
        <v>22.25</v>
      </c>
      <c r="R206" t="n">
        <v>36.86</v>
      </c>
      <c r="S206" t="n">
        <v>72.27</v>
      </c>
      <c r="T206" t="n">
        <v>98.33</v>
      </c>
      <c r="U206" t="n">
        <v>23.05</v>
      </c>
      <c r="V206" t="inlineStr">
        <is>
          <t>Type I – Tropical Monsoon (PAGASA)</t>
        </is>
      </c>
      <c r="W206" t="inlineStr">
        <is>
          <t>Dry (Cool)</t>
        </is>
      </c>
      <c r="X206" t="inlineStr">
        <is>
          <t>Wet</t>
        </is>
      </c>
      <c r="Y206" t="inlineStr">
        <is>
          <t>Sandy Loam</t>
        </is>
      </c>
      <c r="Z206" t="inlineStr">
        <is>
          <t>Flat / Lowland</t>
        </is>
      </c>
      <c r="AA206" t="n">
        <v>30</v>
      </c>
      <c r="AB206" t="inlineStr">
        <is>
          <t>Tagamusing River</t>
        </is>
      </c>
      <c r="AC206" t="n">
        <v>504</v>
      </c>
      <c r="AD206" t="n">
        <v>1.5</v>
      </c>
      <c r="AE206" t="n">
        <v>32.1</v>
      </c>
      <c r="AF206" t="n">
        <v>125</v>
      </c>
      <c r="AG206" t="inlineStr">
        <is>
          <t>Transplanting (Pindot) or Direct Seeding (Pinaghandaan)</t>
        </is>
      </c>
      <c r="AH206" t="inlineStr">
        <is>
          <t>Conventional Tillage: 2 plowings + 2 harrowings; soil workable when moist</t>
        </is>
      </c>
      <c r="AI206" t="inlineStr">
        <is>
          <t>Intermittent irrigation (Alternate Wetting and Drying — AWD); moderate retention</t>
        </is>
      </c>
      <c r="AJ206" t="n">
        <v>4.3</v>
      </c>
      <c r="AK206" t="n">
        <v>34.4</v>
      </c>
      <c r="AL206" t="n">
        <v>8</v>
      </c>
      <c r="AM206" t="inlineStr">
        <is>
          <t>No</t>
        </is>
      </c>
      <c r="AN206" t="inlineStr">
        <is>
          <t>Observed harvest</t>
        </is>
      </c>
    </row>
    <row r="207">
      <c r="A207" t="inlineStr">
        <is>
          <t>Palay</t>
        </is>
      </c>
      <c r="B207" t="inlineStr">
        <is>
          <t>San Pablo</t>
        </is>
      </c>
      <c r="C207" t="inlineStr">
        <is>
          <t>DS 2013</t>
        </is>
      </c>
      <c r="D207" t="inlineStr">
        <is>
          <t>January</t>
        </is>
      </c>
      <c r="E207" t="inlineStr">
        <is>
          <t>2013</t>
        </is>
      </c>
      <c r="F207" t="inlineStr">
        <is>
          <t>May</t>
        </is>
      </c>
      <c r="G207" t="inlineStr">
        <is>
          <t>2013</t>
        </is>
      </c>
      <c r="H207" t="n">
        <v>0.58</v>
      </c>
      <c r="I207" t="n">
        <v>24.32</v>
      </c>
      <c r="J207" t="n">
        <v>16.94</v>
      </c>
      <c r="K207" t="n">
        <v>31.93</v>
      </c>
      <c r="L207" t="n">
        <v>74.94</v>
      </c>
      <c r="M207" t="n">
        <v>98.59999999999999</v>
      </c>
      <c r="N207" t="n">
        <v>16.43</v>
      </c>
      <c r="O207" t="n">
        <v>5.24</v>
      </c>
      <c r="P207" t="n">
        <v>28.82</v>
      </c>
      <c r="Q207" t="n">
        <v>22.25</v>
      </c>
      <c r="R207" t="n">
        <v>36.86</v>
      </c>
      <c r="S207" t="n">
        <v>72.27</v>
      </c>
      <c r="T207" t="n">
        <v>98.33</v>
      </c>
      <c r="U207" t="n">
        <v>23.05</v>
      </c>
      <c r="V207" t="inlineStr">
        <is>
          <t>Type I – Tropical Monsoon (PAGASA)</t>
        </is>
      </c>
      <c r="W207" t="inlineStr">
        <is>
          <t>Dry (Cool)</t>
        </is>
      </c>
      <c r="X207" t="inlineStr">
        <is>
          <t>Wet</t>
        </is>
      </c>
      <c r="Y207" t="inlineStr">
        <is>
          <t>Sandy Loam</t>
        </is>
      </c>
      <c r="Z207" t="inlineStr">
        <is>
          <t>Flat / Lowland</t>
        </is>
      </c>
      <c r="AA207" t="n">
        <v>30</v>
      </c>
      <c r="AB207" t="inlineStr">
        <is>
          <t>San Pablo Creek</t>
        </is>
      </c>
      <c r="AC207" t="n">
        <v>215.04</v>
      </c>
      <c r="AD207" t="n">
        <v>10.5</v>
      </c>
      <c r="AE207" t="n">
        <v>26.4</v>
      </c>
      <c r="AF207" t="n">
        <v>120</v>
      </c>
      <c r="AG207" t="inlineStr">
        <is>
          <t>Transplanting (Pindot) or Direct Seeding (Pinaghandaan)</t>
        </is>
      </c>
      <c r="AH207" t="inlineStr">
        <is>
          <t>Conventional Tillage: 2 plowings + 2 harrowings; soil workable when moist</t>
        </is>
      </c>
      <c r="AI207" t="inlineStr">
        <is>
          <t>Intermittent irrigation (Alternate Wetting and Drying — AWD); moderate retention</t>
        </is>
      </c>
      <c r="AJ207" t="n">
        <v>8.970000000000001</v>
      </c>
      <c r="AK207" t="n">
        <v>36.81</v>
      </c>
      <c r="AL207" t="n">
        <v>4.1</v>
      </c>
      <c r="AM207" t="inlineStr">
        <is>
          <t>No</t>
        </is>
      </c>
      <c r="AN207" t="inlineStr">
        <is>
          <t>Observed harvest</t>
        </is>
      </c>
    </row>
    <row r="208">
      <c r="A208" t="inlineStr">
        <is>
          <t>Palay</t>
        </is>
      </c>
      <c r="B208" t="inlineStr">
        <is>
          <t>Santiago</t>
        </is>
      </c>
      <c r="C208" t="inlineStr">
        <is>
          <t>DS 2013</t>
        </is>
      </c>
      <c r="D208" t="inlineStr">
        <is>
          <t>January</t>
        </is>
      </c>
      <c r="E208" t="inlineStr">
        <is>
          <t>2013</t>
        </is>
      </c>
      <c r="F208" t="inlineStr">
        <is>
          <t>May</t>
        </is>
      </c>
      <c r="G208" t="inlineStr">
        <is>
          <t>2013</t>
        </is>
      </c>
      <c r="H208" t="n">
        <v>0.58</v>
      </c>
      <c r="I208" t="n">
        <v>24.32</v>
      </c>
      <c r="J208" t="n">
        <v>16.94</v>
      </c>
      <c r="K208" t="n">
        <v>31.93</v>
      </c>
      <c r="L208" t="n">
        <v>74.94</v>
      </c>
      <c r="M208" t="n">
        <v>98.59999999999999</v>
      </c>
      <c r="N208" t="n">
        <v>16.43</v>
      </c>
      <c r="O208" t="n">
        <v>5.24</v>
      </c>
      <c r="P208" t="n">
        <v>28.82</v>
      </c>
      <c r="Q208" t="n">
        <v>22.25</v>
      </c>
      <c r="R208" t="n">
        <v>36.86</v>
      </c>
      <c r="S208" t="n">
        <v>72.27</v>
      </c>
      <c r="T208" t="n">
        <v>98.33</v>
      </c>
      <c r="U208" t="n">
        <v>23.05</v>
      </c>
      <c r="V208" t="inlineStr">
        <is>
          <t>Type I – Tropical Monsoon (PAGASA)</t>
        </is>
      </c>
      <c r="W208" t="inlineStr">
        <is>
          <t>Dry (Cool)</t>
        </is>
      </c>
      <c r="X208" t="inlineStr">
        <is>
          <t>Wet</t>
        </is>
      </c>
      <c r="Y208" t="inlineStr">
        <is>
          <t>Silty Clay Loam</t>
        </is>
      </c>
      <c r="Z208" t="inlineStr">
        <is>
          <t>Flat / Lowland</t>
        </is>
      </c>
      <c r="AA208" t="n">
        <v>30</v>
      </c>
      <c r="AB208" t="inlineStr">
        <is>
          <t>—</t>
        </is>
      </c>
      <c r="AC208" t="n">
        <v>283.08</v>
      </c>
      <c r="AD208" t="n">
        <v>2</v>
      </c>
      <c r="AE208" t="n">
        <v>81.66</v>
      </c>
      <c r="AF208" t="n">
        <v>13</v>
      </c>
      <c r="AG208" t="inlineStr">
        <is>
          <t>Transplanting (Pindot) — optimal for clay-loam paddy fields</t>
        </is>
      </c>
      <c r="AH208" t="inlineStr">
        <is>
          <t>Wet Tillage (Puddling): 2 plowings + thorough harrowing under flooded condition</t>
        </is>
      </c>
      <c r="AI208" t="inlineStr">
        <is>
          <t>Continuous flooding 2–5 cm depth during vegetative stage; drain 2 weeks before harvest</t>
        </is>
      </c>
      <c r="AJ208" t="n">
        <v>6.59</v>
      </c>
      <c r="AK208" t="n">
        <v>35.52</v>
      </c>
      <c r="AL208" t="n">
        <v>5.39</v>
      </c>
      <c r="AM208" t="inlineStr">
        <is>
          <t>No</t>
        </is>
      </c>
      <c r="AN208" t="inlineStr">
        <is>
          <t>Observed harvest</t>
        </is>
      </c>
    </row>
    <row r="209">
      <c r="A209" t="inlineStr">
        <is>
          <t>Palay</t>
        </is>
      </c>
      <c r="B209" t="inlineStr">
        <is>
          <t>Sta. Maria Norte</t>
        </is>
      </c>
      <c r="C209" t="inlineStr">
        <is>
          <t>DS 2013</t>
        </is>
      </c>
      <c r="D209" t="inlineStr">
        <is>
          <t>January</t>
        </is>
      </c>
      <c r="E209" t="inlineStr">
        <is>
          <t>2013</t>
        </is>
      </c>
      <c r="F209" t="inlineStr">
        <is>
          <t>May</t>
        </is>
      </c>
      <c r="G209" t="inlineStr">
        <is>
          <t>2013</t>
        </is>
      </c>
      <c r="H209" t="n">
        <v>0.58</v>
      </c>
      <c r="I209" t="n">
        <v>24.32</v>
      </c>
      <c r="J209" t="n">
        <v>16.94</v>
      </c>
      <c r="K209" t="n">
        <v>31.93</v>
      </c>
      <c r="L209" t="n">
        <v>74.94</v>
      </c>
      <c r="M209" t="n">
        <v>98.59999999999999</v>
      </c>
      <c r="N209" t="n">
        <v>16.43</v>
      </c>
      <c r="O209" t="n">
        <v>5.24</v>
      </c>
      <c r="P209" t="n">
        <v>28.82</v>
      </c>
      <c r="Q209" t="n">
        <v>22.25</v>
      </c>
      <c r="R209" t="n">
        <v>36.86</v>
      </c>
      <c r="S209" t="n">
        <v>72.27</v>
      </c>
      <c r="T209" t="n">
        <v>98.33</v>
      </c>
      <c r="U209" t="n">
        <v>23.05</v>
      </c>
      <c r="V209" t="inlineStr">
        <is>
          <t>Type I – Tropical Monsoon (PAGASA)</t>
        </is>
      </c>
      <c r="W209" t="inlineStr">
        <is>
          <t>Dry (Cool)</t>
        </is>
      </c>
      <c r="X209" t="inlineStr">
        <is>
          <t>Wet</t>
        </is>
      </c>
      <c r="Y209" t="inlineStr">
        <is>
          <t>Sandy Loam</t>
        </is>
      </c>
      <c r="Z209" t="inlineStr">
        <is>
          <t>Flat / Lowland</t>
        </is>
      </c>
      <c r="AA209" t="n">
        <v>30</v>
      </c>
      <c r="AB209" t="inlineStr">
        <is>
          <t>Tagamusing River</t>
        </is>
      </c>
      <c r="AC209" t="n">
        <v>157.08</v>
      </c>
      <c r="AD209" t="n">
        <v>8.19</v>
      </c>
      <c r="AE209" t="n">
        <v>26.4</v>
      </c>
      <c r="AF209" t="n">
        <v>12</v>
      </c>
      <c r="AG209" t="inlineStr">
        <is>
          <t>Transplanting (Pindot) or Direct Seeding (Pinaghandaan)</t>
        </is>
      </c>
      <c r="AH209" t="inlineStr">
        <is>
          <t>Conventional Tillage: 2 plowings + 2 harrowings; soil workable when moist</t>
        </is>
      </c>
      <c r="AI209" t="inlineStr">
        <is>
          <t>Intermittent irrigation (Alternate Wetting and Drying — AWD); moderate retention</t>
        </is>
      </c>
      <c r="AJ209" t="n">
        <v>6.28</v>
      </c>
      <c r="AK209" t="n">
        <v>31.75</v>
      </c>
      <c r="AL209" t="n">
        <v>5.06</v>
      </c>
      <c r="AM209" t="inlineStr">
        <is>
          <t>No</t>
        </is>
      </c>
      <c r="AN209" t="inlineStr">
        <is>
          <t>Observed harvest</t>
        </is>
      </c>
    </row>
    <row r="210">
      <c r="A210" t="inlineStr">
        <is>
          <t>Palay</t>
        </is>
      </c>
      <c r="B210" t="inlineStr">
        <is>
          <t>Sumabnit</t>
        </is>
      </c>
      <c r="C210" t="inlineStr">
        <is>
          <t>DS 2013</t>
        </is>
      </c>
      <c r="D210" t="inlineStr">
        <is>
          <t>January</t>
        </is>
      </c>
      <c r="E210" t="inlineStr">
        <is>
          <t>2013</t>
        </is>
      </c>
      <c r="F210" t="inlineStr">
        <is>
          <t>May</t>
        </is>
      </c>
      <c r="G210" t="inlineStr">
        <is>
          <t>2013</t>
        </is>
      </c>
      <c r="H210" t="n">
        <v>0.58</v>
      </c>
      <c r="I210" t="n">
        <v>24.32</v>
      </c>
      <c r="J210" t="n">
        <v>16.94</v>
      </c>
      <c r="K210" t="n">
        <v>31.93</v>
      </c>
      <c r="L210" t="n">
        <v>74.94</v>
      </c>
      <c r="M210" t="n">
        <v>98.59999999999999</v>
      </c>
      <c r="N210" t="n">
        <v>16.43</v>
      </c>
      <c r="O210" t="n">
        <v>5.24</v>
      </c>
      <c r="P210" t="n">
        <v>28.82</v>
      </c>
      <c r="Q210" t="n">
        <v>22.25</v>
      </c>
      <c r="R210" t="n">
        <v>36.86</v>
      </c>
      <c r="S210" t="n">
        <v>72.27</v>
      </c>
      <c r="T210" t="n">
        <v>98.33</v>
      </c>
      <c r="U210" t="n">
        <v>23.05</v>
      </c>
      <c r="V210" t="inlineStr">
        <is>
          <t>Type I – Tropical Monsoon (PAGASA)</t>
        </is>
      </c>
      <c r="W210" t="inlineStr">
        <is>
          <t>Dry (Cool)</t>
        </is>
      </c>
      <c r="X210" t="inlineStr">
        <is>
          <t>Wet</t>
        </is>
      </c>
      <c r="Y210" t="inlineStr">
        <is>
          <t>Silty Clay Loam / Fine Sandy Loam</t>
        </is>
      </c>
      <c r="Z210" t="inlineStr">
        <is>
          <t>Flat / Lowland</t>
        </is>
      </c>
      <c r="AA210" t="n">
        <v>30</v>
      </c>
      <c r="AB210" t="inlineStr">
        <is>
          <t>Tagamusing River</t>
        </is>
      </c>
      <c r="AC210" t="n">
        <v>406.56</v>
      </c>
      <c r="AD210" t="n">
        <v>3</v>
      </c>
      <c r="AE210" t="n">
        <v>81.66</v>
      </c>
      <c r="AF210" t="n">
        <v>60</v>
      </c>
      <c r="AG210" t="inlineStr">
        <is>
          <t>Transplanting (Pindot)</t>
        </is>
      </c>
      <c r="AH210" t="inlineStr">
        <is>
          <t>Minimum Tillage (avoid compaction; sandy structure fragile)</t>
        </is>
      </c>
      <c r="AI210" t="inlineStr">
        <is>
          <t>Continuous flooding or frequent irrigation; high percolation risk</t>
        </is>
      </c>
      <c r="AJ210" t="n">
        <v>6.37</v>
      </c>
      <c r="AK210" t="n">
        <v>35.79</v>
      </c>
      <c r="AL210" t="n">
        <v>5.62</v>
      </c>
      <c r="AM210" t="inlineStr">
        <is>
          <t>No</t>
        </is>
      </c>
      <c r="AN210" t="inlineStr">
        <is>
          <t>Observed harvest</t>
        </is>
      </c>
    </row>
    <row r="211">
      <c r="A211" t="inlineStr">
        <is>
          <t>Palay</t>
        </is>
      </c>
      <c r="B211" t="inlineStr">
        <is>
          <t>Tabuyoc</t>
        </is>
      </c>
      <c r="C211" t="inlineStr">
        <is>
          <t>DS 2013</t>
        </is>
      </c>
      <c r="D211" t="inlineStr">
        <is>
          <t>January</t>
        </is>
      </c>
      <c r="E211" t="inlineStr">
        <is>
          <t>2013</t>
        </is>
      </c>
      <c r="F211" t="inlineStr">
        <is>
          <t>May</t>
        </is>
      </c>
      <c r="G211" t="inlineStr">
        <is>
          <t>2013</t>
        </is>
      </c>
      <c r="H211" t="n">
        <v>0.58</v>
      </c>
      <c r="I211" t="n">
        <v>24.32</v>
      </c>
      <c r="J211" t="n">
        <v>16.94</v>
      </c>
      <c r="K211" t="n">
        <v>31.93</v>
      </c>
      <c r="L211" t="n">
        <v>74.94</v>
      </c>
      <c r="M211" t="n">
        <v>98.59999999999999</v>
      </c>
      <c r="N211" t="n">
        <v>16.43</v>
      </c>
      <c r="O211" t="n">
        <v>5.24</v>
      </c>
      <c r="P211" t="n">
        <v>28.82</v>
      </c>
      <c r="Q211" t="n">
        <v>22.25</v>
      </c>
      <c r="R211" t="n">
        <v>36.86</v>
      </c>
      <c r="S211" t="n">
        <v>72.27</v>
      </c>
      <c r="T211" t="n">
        <v>98.33</v>
      </c>
      <c r="U211" t="n">
        <v>23.05</v>
      </c>
      <c r="V211" t="inlineStr">
        <is>
          <t>Type I – Tropical Monsoon (PAGASA)</t>
        </is>
      </c>
      <c r="W211" t="inlineStr">
        <is>
          <t>Dry (Cool)</t>
        </is>
      </c>
      <c r="X211" t="inlineStr">
        <is>
          <t>Wet</t>
        </is>
      </c>
      <c r="Y211" t="inlineStr">
        <is>
          <t>Silty Clay Loam</t>
        </is>
      </c>
      <c r="Z211" t="inlineStr">
        <is>
          <t>Flat / Lowland</t>
        </is>
      </c>
      <c r="AA211" t="n">
        <v>30</v>
      </c>
      <c r="AB211" t="inlineStr">
        <is>
          <t>—</t>
        </is>
      </c>
      <c r="AC211" t="n">
        <v>277.2</v>
      </c>
      <c r="AD211" t="n">
        <v>2</v>
      </c>
      <c r="AE211" t="n">
        <v>81.66</v>
      </c>
      <c r="AF211" t="n">
        <v>125</v>
      </c>
      <c r="AG211" t="inlineStr">
        <is>
          <t>Transplanting (Pindot) — optimal for clay-loam paddy fields</t>
        </is>
      </c>
      <c r="AH211" t="inlineStr">
        <is>
          <t>Wet Tillage (Puddling): 2 plowings + thorough harrowing under flooded condition</t>
        </is>
      </c>
      <c r="AI211" t="inlineStr">
        <is>
          <t>Continuous flooding 2–5 cm depth during vegetative stage; drain 2 weeks before harvest</t>
        </is>
      </c>
      <c r="AJ211" t="n">
        <v>6.75</v>
      </c>
      <c r="AK211" t="n">
        <v>35.53</v>
      </c>
      <c r="AL211" t="n">
        <v>5.26</v>
      </c>
      <c r="AM211" t="inlineStr">
        <is>
          <t>No</t>
        </is>
      </c>
      <c r="AN211" t="inlineStr">
        <is>
          <t>Observed harvest</t>
        </is>
      </c>
    </row>
    <row r="212">
      <c r="A212" t="inlineStr">
        <is>
          <t>Palay</t>
        </is>
      </c>
      <c r="B212" t="inlineStr">
        <is>
          <t>Balangobong</t>
        </is>
      </c>
      <c r="C212" t="inlineStr">
        <is>
          <t>DS 2018</t>
        </is>
      </c>
      <c r="D212" t="inlineStr">
        <is>
          <t>January</t>
        </is>
      </c>
      <c r="E212" t="inlineStr">
        <is>
          <t>2018</t>
        </is>
      </c>
      <c r="F212" t="inlineStr">
        <is>
          <t>May</t>
        </is>
      </c>
      <c r="G212" t="inlineStr">
        <is>
          <t>2018</t>
        </is>
      </c>
      <c r="H212" t="n">
        <v>1.05</v>
      </c>
      <c r="I212" t="n">
        <v>24.53</v>
      </c>
      <c r="J212" t="n">
        <v>17.85</v>
      </c>
      <c r="K212" t="n">
        <v>31.12</v>
      </c>
      <c r="L212" t="n">
        <v>80.86</v>
      </c>
      <c r="M212" t="n">
        <v>98.43000000000001</v>
      </c>
      <c r="N212" t="n">
        <v>15.71</v>
      </c>
      <c r="V212" t="inlineStr">
        <is>
          <t>Type I – Tropical Monsoon (PAGASA)</t>
        </is>
      </c>
      <c r="W212" t="inlineStr">
        <is>
          <t>Dry (Cool)</t>
        </is>
      </c>
      <c r="Y212" t="inlineStr">
        <is>
          <t>Silty Clay Loam</t>
        </is>
      </c>
      <c r="Z212" t="inlineStr">
        <is>
          <t>Flat / Lowland</t>
        </is>
      </c>
      <c r="AA212" t="n">
        <v>30</v>
      </c>
      <c r="AB212" t="inlineStr">
        <is>
          <t>—</t>
        </is>
      </c>
      <c r="AC212" t="n">
        <v>281.4</v>
      </c>
      <c r="AD212" t="n">
        <v>7.44</v>
      </c>
      <c r="AE212" t="n">
        <v>35.32</v>
      </c>
      <c r="AF212" t="n">
        <v>110</v>
      </c>
      <c r="AG212" t="inlineStr">
        <is>
          <t>Transplanting (Pindot) — optimal for clay-loam paddy fields</t>
        </is>
      </c>
      <c r="AH212" t="inlineStr">
        <is>
          <t>Wet Tillage (Puddling): 2 plowings + thorough harrowing under flooded condition</t>
        </is>
      </c>
      <c r="AI212" t="inlineStr">
        <is>
          <t>Continuous flooding 2–5 cm depth during vegetative stage; drain 2 weeks before harvest</t>
        </is>
      </c>
      <c r="AL212" t="n">
        <v>4.6375</v>
      </c>
      <c r="AM212" t="inlineStr">
        <is>
          <t>Yes</t>
        </is>
      </c>
      <c r="AN212" t="inlineStr">
        <is>
          <t>Crop + Barangay historical mean</t>
        </is>
      </c>
    </row>
    <row r="213">
      <c r="A213" t="inlineStr">
        <is>
          <t>Palay</t>
        </is>
      </c>
      <c r="B213" t="inlineStr">
        <is>
          <t>Bugayong</t>
        </is>
      </c>
      <c r="C213" t="inlineStr">
        <is>
          <t>DS 2018</t>
        </is>
      </c>
      <c r="D213" t="inlineStr">
        <is>
          <t>January</t>
        </is>
      </c>
      <c r="E213" t="inlineStr">
        <is>
          <t>2018</t>
        </is>
      </c>
      <c r="F213" t="inlineStr">
        <is>
          <t>May</t>
        </is>
      </c>
      <c r="G213" t="inlineStr">
        <is>
          <t>2018</t>
        </is>
      </c>
      <c r="H213" t="n">
        <v>1.05</v>
      </c>
      <c r="I213" t="n">
        <v>24.53</v>
      </c>
      <c r="J213" t="n">
        <v>17.85</v>
      </c>
      <c r="K213" t="n">
        <v>31.12</v>
      </c>
      <c r="L213" t="n">
        <v>80.86</v>
      </c>
      <c r="M213" t="n">
        <v>98.43000000000001</v>
      </c>
      <c r="N213" t="n">
        <v>15.71</v>
      </c>
      <c r="V213" t="inlineStr">
        <is>
          <t>Type I – Tropical Monsoon (PAGASA)</t>
        </is>
      </c>
      <c r="W213" t="inlineStr">
        <is>
          <t>Dry (Cool)</t>
        </is>
      </c>
      <c r="Y213" t="inlineStr">
        <is>
          <t>Sandy Loam / Silty Clay Loam</t>
        </is>
      </c>
      <c r="Z213" t="inlineStr">
        <is>
          <t>Flat / Lowland</t>
        </is>
      </c>
      <c r="AA213" t="n">
        <v>30</v>
      </c>
      <c r="AB213" t="inlineStr">
        <is>
          <t>Aloragat River</t>
        </is>
      </c>
      <c r="AC213" t="n">
        <v>346.08</v>
      </c>
      <c r="AD213" t="n">
        <v>2</v>
      </c>
      <c r="AE213" t="n">
        <v>41.02</v>
      </c>
      <c r="AF213" t="n">
        <v>12.25</v>
      </c>
      <c r="AG213" t="inlineStr">
        <is>
          <t>Transplanting (Pindot) — recommended; Direct Seeding possible in dry season</t>
        </is>
      </c>
      <c r="AH213" t="inlineStr">
        <is>
          <t>Conventional Tillage: 2 plowings + harrowing; puddle thoroughly for transplanting</t>
        </is>
      </c>
      <c r="AI213" t="inlineStr">
        <is>
          <t>Intermittent to continuous flooding; manage according to drainage section present</t>
        </is>
      </c>
      <c r="AL213" t="n">
        <v>4.94</v>
      </c>
      <c r="AM213" t="inlineStr">
        <is>
          <t>Yes</t>
        </is>
      </c>
      <c r="AN213" t="inlineStr">
        <is>
          <t>Crop + Barangay historical mean</t>
        </is>
      </c>
    </row>
    <row r="214">
      <c r="A214" t="inlineStr">
        <is>
          <t>Palay</t>
        </is>
      </c>
      <c r="B214" t="inlineStr">
        <is>
          <t>Camanggaan</t>
        </is>
      </c>
      <c r="C214" t="inlineStr">
        <is>
          <t>DS 2018</t>
        </is>
      </c>
      <c r="D214" t="inlineStr">
        <is>
          <t>January</t>
        </is>
      </c>
      <c r="E214" t="inlineStr">
        <is>
          <t>2018</t>
        </is>
      </c>
      <c r="F214" t="inlineStr">
        <is>
          <t>May</t>
        </is>
      </c>
      <c r="G214" t="inlineStr">
        <is>
          <t>2018</t>
        </is>
      </c>
      <c r="H214" t="n">
        <v>1.05</v>
      </c>
      <c r="I214" t="n">
        <v>24.53</v>
      </c>
      <c r="J214" t="n">
        <v>17.85</v>
      </c>
      <c r="K214" t="n">
        <v>31.12</v>
      </c>
      <c r="L214" t="n">
        <v>80.86</v>
      </c>
      <c r="M214" t="n">
        <v>98.43000000000001</v>
      </c>
      <c r="N214" t="n">
        <v>15.71</v>
      </c>
      <c r="V214" t="inlineStr">
        <is>
          <t>Type I – Tropical Monsoon (PAGASA)</t>
        </is>
      </c>
      <c r="W214" t="inlineStr">
        <is>
          <t>Dry (Cool)</t>
        </is>
      </c>
      <c r="Y214" t="inlineStr">
        <is>
          <t>Sandy Loam</t>
        </is>
      </c>
      <c r="Z214" t="inlineStr">
        <is>
          <t>Flat / Lowland</t>
        </is>
      </c>
      <c r="AA214" t="n">
        <v>30</v>
      </c>
      <c r="AB214" t="inlineStr">
        <is>
          <t>—</t>
        </is>
      </c>
      <c r="AC214" t="n">
        <v>244.44</v>
      </c>
      <c r="AD214" t="n">
        <v>2</v>
      </c>
      <c r="AE214" t="n">
        <v>87.36</v>
      </c>
      <c r="AF214" t="n">
        <v>22.63</v>
      </c>
      <c r="AG214" t="inlineStr">
        <is>
          <t>Transplanting (Pindot) or Direct Seeding (Pinaghandaan)</t>
        </is>
      </c>
      <c r="AH214" t="inlineStr">
        <is>
          <t>Conventional Tillage: 2 plowings + 2 harrowings; soil workable when moist</t>
        </is>
      </c>
      <c r="AI214" t="inlineStr">
        <is>
          <t>Intermittent irrigation (Alternate Wetting and Drying — AWD); moderate retention</t>
        </is>
      </c>
      <c r="AL214" t="n">
        <v>4.913125</v>
      </c>
      <c r="AM214" t="inlineStr">
        <is>
          <t>Yes</t>
        </is>
      </c>
      <c r="AN214" t="inlineStr">
        <is>
          <t>Crop + Barangay historical mean</t>
        </is>
      </c>
    </row>
    <row r="215">
      <c r="A215" t="inlineStr">
        <is>
          <t>Palay</t>
        </is>
      </c>
      <c r="B215" t="inlineStr">
        <is>
          <t>Capas</t>
        </is>
      </c>
      <c r="C215" t="inlineStr">
        <is>
          <t>DS 2018</t>
        </is>
      </c>
      <c r="D215" t="inlineStr">
        <is>
          <t>January</t>
        </is>
      </c>
      <c r="E215" t="inlineStr">
        <is>
          <t>2018</t>
        </is>
      </c>
      <c r="F215" t="inlineStr">
        <is>
          <t>May</t>
        </is>
      </c>
      <c r="G215" t="inlineStr">
        <is>
          <t>2018</t>
        </is>
      </c>
      <c r="H215" t="n">
        <v>1.05</v>
      </c>
      <c r="I215" t="n">
        <v>24.53</v>
      </c>
      <c r="J215" t="n">
        <v>17.85</v>
      </c>
      <c r="K215" t="n">
        <v>31.12</v>
      </c>
      <c r="L215" t="n">
        <v>80.86</v>
      </c>
      <c r="M215" t="n">
        <v>98.43000000000001</v>
      </c>
      <c r="N215" t="n">
        <v>15.71</v>
      </c>
      <c r="V215" t="inlineStr">
        <is>
          <t>Type I – Tropical Monsoon (PAGASA)</t>
        </is>
      </c>
      <c r="W215" t="inlineStr">
        <is>
          <t>Dry (Cool)</t>
        </is>
      </c>
      <c r="Y215" t="inlineStr">
        <is>
          <t>Sandy Loam</t>
        </is>
      </c>
      <c r="Z215" t="inlineStr">
        <is>
          <t>Flat / Lowland</t>
        </is>
      </c>
      <c r="AA215" t="n">
        <v>30</v>
      </c>
      <c r="AB215" t="inlineStr">
        <is>
          <t>—</t>
        </is>
      </c>
      <c r="AC215" t="n">
        <v>377.16</v>
      </c>
      <c r="AD215" t="n">
        <v>6.17</v>
      </c>
      <c r="AE215" t="n">
        <v>67.04000000000001</v>
      </c>
      <c r="AF215" t="n">
        <v>105</v>
      </c>
      <c r="AG215" t="inlineStr">
        <is>
          <t>Transplanting (Pindot) or Direct Seeding (Pinaghandaan)</t>
        </is>
      </c>
      <c r="AH215" t="inlineStr">
        <is>
          <t>Conventional Tillage: 2 plowings + 2 harrowings; soil workable when moist</t>
        </is>
      </c>
      <c r="AI215" t="inlineStr">
        <is>
          <t>Intermittent irrigation (Alternate Wetting and Drying — AWD); moderate retention</t>
        </is>
      </c>
      <c r="AL215" t="n">
        <v>5.768750000000001</v>
      </c>
      <c r="AM215" t="inlineStr">
        <is>
          <t>Yes</t>
        </is>
      </c>
      <c r="AN215" t="inlineStr">
        <is>
          <t>Crop + Barangay historical mean</t>
        </is>
      </c>
    </row>
    <row r="216">
      <c r="A216" t="inlineStr">
        <is>
          <t>Palay</t>
        </is>
      </c>
      <c r="B216" t="inlineStr">
        <is>
          <t>Mangkasuy</t>
        </is>
      </c>
      <c r="C216" t="inlineStr">
        <is>
          <t>DS 2018</t>
        </is>
      </c>
      <c r="D216" t="inlineStr">
        <is>
          <t>January</t>
        </is>
      </c>
      <c r="E216" t="inlineStr">
        <is>
          <t>2018</t>
        </is>
      </c>
      <c r="F216" t="inlineStr">
        <is>
          <t>May</t>
        </is>
      </c>
      <c r="G216" t="inlineStr">
        <is>
          <t>2018</t>
        </is>
      </c>
      <c r="H216" t="n">
        <v>1.05</v>
      </c>
      <c r="I216" t="n">
        <v>24.53</v>
      </c>
      <c r="J216" t="n">
        <v>17.85</v>
      </c>
      <c r="K216" t="n">
        <v>31.12</v>
      </c>
      <c r="L216" t="n">
        <v>80.86</v>
      </c>
      <c r="M216" t="n">
        <v>98.43000000000001</v>
      </c>
      <c r="N216" t="n">
        <v>15.71</v>
      </c>
      <c r="V216" t="inlineStr">
        <is>
          <t>Type I – Tropical Monsoon (PAGASA)</t>
        </is>
      </c>
      <c r="W216" t="inlineStr">
        <is>
          <t>Dry (Cool)</t>
        </is>
      </c>
      <c r="Y216" t="inlineStr">
        <is>
          <t>Sandy Loam</t>
        </is>
      </c>
      <c r="Z216" t="inlineStr">
        <is>
          <t>Flat / Lowland</t>
        </is>
      </c>
      <c r="AA216" t="n">
        <v>30</v>
      </c>
      <c r="AB216" t="inlineStr">
        <is>
          <t>Tagamusing River</t>
        </is>
      </c>
      <c r="AC216" t="n">
        <v>802.2</v>
      </c>
      <c r="AD216" t="n">
        <v>2</v>
      </c>
      <c r="AE216" t="n">
        <v>134.2</v>
      </c>
      <c r="AF216" t="n">
        <v>50</v>
      </c>
      <c r="AG216" t="inlineStr">
        <is>
          <t>Transplanting (Pindot) or Direct Seeding (Pinaghandaan)</t>
        </is>
      </c>
      <c r="AH216" t="inlineStr">
        <is>
          <t>Conventional Tillage: 2 plowings + 2 harrowings; soil workable when moist</t>
        </is>
      </c>
      <c r="AI216" t="inlineStr">
        <is>
          <t>Intermittent irrigation (Alternate Wetting and Drying — AWD); moderate retention</t>
        </is>
      </c>
      <c r="AL216" t="n">
        <v>4.494375</v>
      </c>
      <c r="AM216" t="inlineStr">
        <is>
          <t>Yes</t>
        </is>
      </c>
      <c r="AN216" t="inlineStr">
        <is>
          <t>Crop + Barangay historical mean</t>
        </is>
      </c>
    </row>
    <row r="217">
      <c r="A217" t="inlineStr">
        <is>
          <t>Palay</t>
        </is>
      </c>
      <c r="B217" t="inlineStr">
        <is>
          <t>Moreno</t>
        </is>
      </c>
      <c r="C217" t="inlineStr">
        <is>
          <t>DS 2018</t>
        </is>
      </c>
      <c r="D217" t="inlineStr">
        <is>
          <t>January</t>
        </is>
      </c>
      <c r="E217" t="inlineStr">
        <is>
          <t>2018</t>
        </is>
      </c>
      <c r="F217" t="inlineStr">
        <is>
          <t>May</t>
        </is>
      </c>
      <c r="G217" t="inlineStr">
        <is>
          <t>2018</t>
        </is>
      </c>
      <c r="H217" t="n">
        <v>1.05</v>
      </c>
      <c r="I217" t="n">
        <v>24.53</v>
      </c>
      <c r="J217" t="n">
        <v>17.85</v>
      </c>
      <c r="K217" t="n">
        <v>31.12</v>
      </c>
      <c r="L217" t="n">
        <v>80.86</v>
      </c>
      <c r="M217" t="n">
        <v>98.43000000000001</v>
      </c>
      <c r="N217" t="n">
        <v>15.71</v>
      </c>
      <c r="V217" t="inlineStr">
        <is>
          <t>Type I – Tropical Monsoon (PAGASA)</t>
        </is>
      </c>
      <c r="W217" t="inlineStr">
        <is>
          <t>Dry (Cool)</t>
        </is>
      </c>
      <c r="Y217" t="inlineStr">
        <is>
          <t>Sandy Loam</t>
        </is>
      </c>
      <c r="Z217" t="inlineStr">
        <is>
          <t>Moderately Sloping / Highland</t>
        </is>
      </c>
      <c r="AA217" t="n">
        <v>90</v>
      </c>
      <c r="AB217" t="inlineStr">
        <is>
          <t>Alibeng River</t>
        </is>
      </c>
      <c r="AC217" t="n">
        <v>641.76</v>
      </c>
      <c r="AD217" t="n">
        <v>26.19</v>
      </c>
      <c r="AE217" t="n">
        <v>135.56</v>
      </c>
      <c r="AF217" t="n">
        <v>16.56</v>
      </c>
      <c r="AG217" t="inlineStr">
        <is>
          <t>Transplanting (Pindot) or Direct Seeding (Pinaghandaan)</t>
        </is>
      </c>
      <c r="AH217" t="inlineStr">
        <is>
          <t>Conventional Tillage: 2 plowings + 2 harrowings; soil workable when moist</t>
        </is>
      </c>
      <c r="AI217" t="inlineStr">
        <is>
          <t>Intermittent irrigation (Alternate Wetting and Drying — AWD); moderate retention; terrace or bund-assisted water retention essential on slopes</t>
        </is>
      </c>
      <c r="AL217" t="n">
        <v>4.684545454545455</v>
      </c>
      <c r="AM217" t="inlineStr">
        <is>
          <t>Yes</t>
        </is>
      </c>
      <c r="AN217" t="inlineStr">
        <is>
          <t>Crop + Barangay historical mean</t>
        </is>
      </c>
    </row>
    <row r="218">
      <c r="A218" t="inlineStr">
        <is>
          <t>Palay</t>
        </is>
      </c>
      <c r="B218" t="inlineStr">
        <is>
          <t>Pasileng Norte</t>
        </is>
      </c>
      <c r="C218" t="inlineStr">
        <is>
          <t>DS 2018</t>
        </is>
      </c>
      <c r="D218" t="inlineStr">
        <is>
          <t>January</t>
        </is>
      </c>
      <c r="E218" t="inlineStr">
        <is>
          <t>2018</t>
        </is>
      </c>
      <c r="F218" t="inlineStr">
        <is>
          <t>May</t>
        </is>
      </c>
      <c r="G218" t="inlineStr">
        <is>
          <t>2018</t>
        </is>
      </c>
      <c r="H218" t="n">
        <v>1.05</v>
      </c>
      <c r="I218" t="n">
        <v>24.53</v>
      </c>
      <c r="J218" t="n">
        <v>17.85</v>
      </c>
      <c r="K218" t="n">
        <v>31.12</v>
      </c>
      <c r="L218" t="n">
        <v>80.86</v>
      </c>
      <c r="M218" t="n">
        <v>98.43000000000001</v>
      </c>
      <c r="N218" t="n">
        <v>15.71</v>
      </c>
      <c r="V218" t="inlineStr">
        <is>
          <t>Type I – Tropical Monsoon (PAGASA)</t>
        </is>
      </c>
      <c r="W218" t="inlineStr">
        <is>
          <t>Dry (Cool)</t>
        </is>
      </c>
      <c r="Y218" t="inlineStr">
        <is>
          <t>Sandy Loam</t>
        </is>
      </c>
      <c r="Z218" t="inlineStr">
        <is>
          <t>Flat / Lowland</t>
        </is>
      </c>
      <c r="AA218" t="n">
        <v>30</v>
      </c>
      <c r="AB218" t="inlineStr">
        <is>
          <t>Tagamusing River</t>
        </is>
      </c>
      <c r="AC218" t="n">
        <v>140.28</v>
      </c>
      <c r="AD218" t="n">
        <v>2</v>
      </c>
      <c r="AE218" t="n">
        <v>26.4</v>
      </c>
      <c r="AF218" t="n">
        <v>65</v>
      </c>
      <c r="AG218" t="inlineStr">
        <is>
          <t>Transplanting (Pindot) or Direct Seeding (Pinaghandaan)</t>
        </is>
      </c>
      <c r="AH218" t="inlineStr">
        <is>
          <t>Conventional Tillage: 2 plowings + 2 harrowings; soil workable when moist</t>
        </is>
      </c>
      <c r="AI218" t="inlineStr">
        <is>
          <t>Intermittent irrigation (Alternate Wetting and Drying — AWD); moderate retention</t>
        </is>
      </c>
      <c r="AL218" t="n">
        <v>5.75125</v>
      </c>
      <c r="AM218" t="inlineStr">
        <is>
          <t>Yes</t>
        </is>
      </c>
      <c r="AN218" t="inlineStr">
        <is>
          <t>Crop + Barangay historical mean</t>
        </is>
      </c>
    </row>
    <row r="219">
      <c r="A219" t="inlineStr">
        <is>
          <t>Palay</t>
        </is>
      </c>
      <c r="B219" t="inlineStr">
        <is>
          <t>Pasileng Sur</t>
        </is>
      </c>
      <c r="C219" t="inlineStr">
        <is>
          <t>DS 2018</t>
        </is>
      </c>
      <c r="D219" t="inlineStr">
        <is>
          <t>January</t>
        </is>
      </c>
      <c r="E219" t="inlineStr">
        <is>
          <t>2018</t>
        </is>
      </c>
      <c r="F219" t="inlineStr">
        <is>
          <t>May</t>
        </is>
      </c>
      <c r="G219" t="inlineStr">
        <is>
          <t>2018</t>
        </is>
      </c>
      <c r="H219" t="n">
        <v>1.05</v>
      </c>
      <c r="I219" t="n">
        <v>24.53</v>
      </c>
      <c r="J219" t="n">
        <v>17.85</v>
      </c>
      <c r="K219" t="n">
        <v>31.12</v>
      </c>
      <c r="L219" t="n">
        <v>80.86</v>
      </c>
      <c r="M219" t="n">
        <v>98.43000000000001</v>
      </c>
      <c r="N219" t="n">
        <v>15.71</v>
      </c>
      <c r="V219" t="inlineStr">
        <is>
          <t>Type I – Tropical Monsoon (PAGASA)</t>
        </is>
      </c>
      <c r="W219" t="inlineStr">
        <is>
          <t>Dry (Cool)</t>
        </is>
      </c>
      <c r="Y219" t="inlineStr">
        <is>
          <t>Sandy Loam</t>
        </is>
      </c>
      <c r="Z219" t="inlineStr">
        <is>
          <t>Flat / Lowland</t>
        </is>
      </c>
      <c r="AA219" t="n">
        <v>30</v>
      </c>
      <c r="AB219" t="inlineStr">
        <is>
          <t>Tagamusing River</t>
        </is>
      </c>
      <c r="AC219" t="n">
        <v>414.96</v>
      </c>
      <c r="AD219" t="n">
        <v>2</v>
      </c>
      <c r="AE219" t="n">
        <v>32.1</v>
      </c>
      <c r="AF219" t="n">
        <v>119</v>
      </c>
      <c r="AG219" t="inlineStr">
        <is>
          <t>Transplanting (Pindot) or Direct Seeding (Pinaghandaan)</t>
        </is>
      </c>
      <c r="AH219" t="inlineStr">
        <is>
          <t>Conventional Tillage: 2 plowings + 2 harrowings; soil workable when moist</t>
        </is>
      </c>
      <c r="AI219" t="inlineStr">
        <is>
          <t>Intermittent irrigation (Alternate Wetting and Drying — AWD); moderate retention</t>
        </is>
      </c>
      <c r="AL219" t="n">
        <v>5.21</v>
      </c>
      <c r="AM219" t="inlineStr">
        <is>
          <t>Yes</t>
        </is>
      </c>
      <c r="AN219" t="inlineStr">
        <is>
          <t>Crop + Barangay historical mean</t>
        </is>
      </c>
    </row>
    <row r="220">
      <c r="A220" t="inlineStr">
        <is>
          <t>Palay</t>
        </is>
      </c>
      <c r="B220" t="inlineStr">
        <is>
          <t>San Felipe Central</t>
        </is>
      </c>
      <c r="C220" t="inlineStr">
        <is>
          <t>DS 2018</t>
        </is>
      </c>
      <c r="D220" t="inlineStr">
        <is>
          <t>January</t>
        </is>
      </c>
      <c r="E220" t="inlineStr">
        <is>
          <t>2018</t>
        </is>
      </c>
      <c r="F220" t="inlineStr">
        <is>
          <t>May</t>
        </is>
      </c>
      <c r="G220" t="inlineStr">
        <is>
          <t>2018</t>
        </is>
      </c>
      <c r="H220" t="n">
        <v>1.05</v>
      </c>
      <c r="I220" t="n">
        <v>24.53</v>
      </c>
      <c r="J220" t="n">
        <v>17.85</v>
      </c>
      <c r="K220" t="n">
        <v>31.12</v>
      </c>
      <c r="L220" t="n">
        <v>80.86</v>
      </c>
      <c r="M220" t="n">
        <v>98.43000000000001</v>
      </c>
      <c r="N220" t="n">
        <v>15.71</v>
      </c>
      <c r="V220" t="inlineStr">
        <is>
          <t>Type I – Tropical Monsoon (PAGASA)</t>
        </is>
      </c>
      <c r="W220" t="inlineStr">
        <is>
          <t>Dry (Cool)</t>
        </is>
      </c>
      <c r="Y220" t="inlineStr">
        <is>
          <t>Sandy Loam</t>
        </is>
      </c>
      <c r="Z220" t="inlineStr">
        <is>
          <t>Flat / Lowland</t>
        </is>
      </c>
      <c r="AA220" t="n">
        <v>30</v>
      </c>
      <c r="AB220" t="inlineStr">
        <is>
          <t>—</t>
        </is>
      </c>
      <c r="AC220" t="n">
        <v>452.76</v>
      </c>
      <c r="AD220" t="n">
        <v>2</v>
      </c>
      <c r="AE220" t="n">
        <v>32.1</v>
      </c>
      <c r="AF220" t="n">
        <v>98</v>
      </c>
      <c r="AG220" t="inlineStr">
        <is>
          <t>Transplanting (Pindot) or Direct Seeding (Pinaghandaan)</t>
        </is>
      </c>
      <c r="AH220" t="inlineStr">
        <is>
          <t>Conventional Tillage: 2 plowings + 2 harrowings; soil workable when moist</t>
        </is>
      </c>
      <c r="AI220" t="inlineStr">
        <is>
          <t>Intermittent irrigation (Alternate Wetting and Drying — AWD); moderate retention</t>
        </is>
      </c>
      <c r="AL220" t="n">
        <v>4.781999999999999</v>
      </c>
      <c r="AM220" t="inlineStr">
        <is>
          <t>Yes</t>
        </is>
      </c>
      <c r="AN220" t="inlineStr">
        <is>
          <t>Crop + Barangay historical mean</t>
        </is>
      </c>
    </row>
    <row r="221">
      <c r="A221" t="inlineStr">
        <is>
          <t>Palay</t>
        </is>
      </c>
      <c r="B221" t="inlineStr">
        <is>
          <t>San Felipe Sur</t>
        </is>
      </c>
      <c r="C221" t="inlineStr">
        <is>
          <t>DS 2018</t>
        </is>
      </c>
      <c r="D221" t="inlineStr">
        <is>
          <t>January</t>
        </is>
      </c>
      <c r="E221" t="inlineStr">
        <is>
          <t>2018</t>
        </is>
      </c>
      <c r="F221" t="inlineStr">
        <is>
          <t>May</t>
        </is>
      </c>
      <c r="G221" t="inlineStr">
        <is>
          <t>2018</t>
        </is>
      </c>
      <c r="H221" t="n">
        <v>1.05</v>
      </c>
      <c r="I221" t="n">
        <v>24.53</v>
      </c>
      <c r="J221" t="n">
        <v>17.85</v>
      </c>
      <c r="K221" t="n">
        <v>31.12</v>
      </c>
      <c r="L221" t="n">
        <v>80.86</v>
      </c>
      <c r="M221" t="n">
        <v>98.43000000000001</v>
      </c>
      <c r="N221" t="n">
        <v>15.71</v>
      </c>
      <c r="V221" t="inlineStr">
        <is>
          <t>Type I – Tropical Monsoon (PAGASA)</t>
        </is>
      </c>
      <c r="W221" t="inlineStr">
        <is>
          <t>Dry (Cool)</t>
        </is>
      </c>
      <c r="Y221" t="inlineStr">
        <is>
          <t>Sandy Loam</t>
        </is>
      </c>
      <c r="Z221" t="inlineStr">
        <is>
          <t>Flat / Lowland</t>
        </is>
      </c>
      <c r="AA221" t="n">
        <v>30</v>
      </c>
      <c r="AB221" t="inlineStr">
        <is>
          <t>Tagamusing River</t>
        </is>
      </c>
      <c r="AC221" t="n">
        <v>504</v>
      </c>
      <c r="AD221" t="n">
        <v>2</v>
      </c>
      <c r="AE221" t="n">
        <v>32.1</v>
      </c>
      <c r="AF221" t="n">
        <v>115</v>
      </c>
      <c r="AG221" t="inlineStr">
        <is>
          <t>Transplanting (Pindot) or Direct Seeding (Pinaghandaan)</t>
        </is>
      </c>
      <c r="AH221" t="inlineStr">
        <is>
          <t>Conventional Tillage: 2 plowings + 2 harrowings; soil workable when moist</t>
        </is>
      </c>
      <c r="AI221" t="inlineStr">
        <is>
          <t>Intermittent irrigation (Alternate Wetting and Drying — AWD); moderate retention</t>
        </is>
      </c>
      <c r="AL221" t="n">
        <v>4.83375</v>
      </c>
      <c r="AM221" t="inlineStr">
        <is>
          <t>Yes</t>
        </is>
      </c>
      <c r="AN221" t="inlineStr">
        <is>
          <t>Crop + Barangay historical mean</t>
        </is>
      </c>
    </row>
    <row r="222">
      <c r="A222" t="inlineStr">
        <is>
          <t>Palay</t>
        </is>
      </c>
      <c r="B222" t="inlineStr">
        <is>
          <t>San Pablo</t>
        </is>
      </c>
      <c r="C222" t="inlineStr">
        <is>
          <t>DS 2018</t>
        </is>
      </c>
      <c r="D222" t="inlineStr">
        <is>
          <t>January</t>
        </is>
      </c>
      <c r="E222" t="inlineStr">
        <is>
          <t>2018</t>
        </is>
      </c>
      <c r="F222" t="inlineStr">
        <is>
          <t>May</t>
        </is>
      </c>
      <c r="G222" t="inlineStr">
        <is>
          <t>2018</t>
        </is>
      </c>
      <c r="H222" t="n">
        <v>1.05</v>
      </c>
      <c r="I222" t="n">
        <v>24.53</v>
      </c>
      <c r="J222" t="n">
        <v>17.85</v>
      </c>
      <c r="K222" t="n">
        <v>31.12</v>
      </c>
      <c r="L222" t="n">
        <v>80.86</v>
      </c>
      <c r="M222" t="n">
        <v>98.43000000000001</v>
      </c>
      <c r="N222" t="n">
        <v>15.71</v>
      </c>
      <c r="V222" t="inlineStr">
        <is>
          <t>Type I – Tropical Monsoon (PAGASA)</t>
        </is>
      </c>
      <c r="W222" t="inlineStr">
        <is>
          <t>Dry (Cool)</t>
        </is>
      </c>
      <c r="Y222" t="inlineStr">
        <is>
          <t>Sandy Loam</t>
        </is>
      </c>
      <c r="Z222" t="inlineStr">
        <is>
          <t>Flat / Lowland</t>
        </is>
      </c>
      <c r="AA222" t="n">
        <v>30</v>
      </c>
      <c r="AB222" t="inlineStr">
        <is>
          <t>San Pablo Creek</t>
        </is>
      </c>
      <c r="AC222" t="n">
        <v>215.04</v>
      </c>
      <c r="AD222" t="n">
        <v>2</v>
      </c>
      <c r="AE222" t="n">
        <v>26.4</v>
      </c>
      <c r="AF222" t="n">
        <v>90</v>
      </c>
      <c r="AG222" t="inlineStr">
        <is>
          <t>Transplanting (Pindot) or Direct Seeding (Pinaghandaan)</t>
        </is>
      </c>
      <c r="AH222" t="inlineStr">
        <is>
          <t>Conventional Tillage: 2 plowings + 2 harrowings; soil workable when moist</t>
        </is>
      </c>
      <c r="AI222" t="inlineStr">
        <is>
          <t>Intermittent irrigation (Alternate Wetting and Drying — AWD); moderate retention</t>
        </is>
      </c>
      <c r="AL222" t="n">
        <v>5.113125</v>
      </c>
      <c r="AM222" t="inlineStr">
        <is>
          <t>Yes</t>
        </is>
      </c>
      <c r="AN222" t="inlineStr">
        <is>
          <t>Crop + Barangay historical mean</t>
        </is>
      </c>
    </row>
    <row r="223">
      <c r="A223" t="inlineStr">
        <is>
          <t>Palay</t>
        </is>
      </c>
      <c r="B223" t="inlineStr">
        <is>
          <t>Santiago</t>
        </is>
      </c>
      <c r="C223" t="inlineStr">
        <is>
          <t>DS 2018</t>
        </is>
      </c>
      <c r="D223" t="inlineStr">
        <is>
          <t>January</t>
        </is>
      </c>
      <c r="E223" t="inlineStr">
        <is>
          <t>2018</t>
        </is>
      </c>
      <c r="F223" t="inlineStr">
        <is>
          <t>May</t>
        </is>
      </c>
      <c r="G223" t="inlineStr">
        <is>
          <t>2018</t>
        </is>
      </c>
      <c r="H223" t="n">
        <v>1.05</v>
      </c>
      <c r="I223" t="n">
        <v>24.53</v>
      </c>
      <c r="J223" t="n">
        <v>17.85</v>
      </c>
      <c r="K223" t="n">
        <v>31.12</v>
      </c>
      <c r="L223" t="n">
        <v>80.86</v>
      </c>
      <c r="M223" t="n">
        <v>98.43000000000001</v>
      </c>
      <c r="N223" t="n">
        <v>15.71</v>
      </c>
      <c r="V223" t="inlineStr">
        <is>
          <t>Type I – Tropical Monsoon (PAGASA)</t>
        </is>
      </c>
      <c r="W223" t="inlineStr">
        <is>
          <t>Dry (Cool)</t>
        </is>
      </c>
      <c r="Y223" t="inlineStr">
        <is>
          <t>Silty Clay Loam</t>
        </is>
      </c>
      <c r="Z223" t="inlineStr">
        <is>
          <t>Flat / Lowland</t>
        </is>
      </c>
      <c r="AA223" t="n">
        <v>30</v>
      </c>
      <c r="AB223" t="inlineStr">
        <is>
          <t>—</t>
        </is>
      </c>
      <c r="AC223" t="n">
        <v>283.08</v>
      </c>
      <c r="AD223" t="n">
        <v>2</v>
      </c>
      <c r="AE223" t="n">
        <v>105.76</v>
      </c>
      <c r="AF223" t="n">
        <v>18</v>
      </c>
      <c r="AG223" t="inlineStr">
        <is>
          <t>Transplanting (Pindot) — optimal for clay-loam paddy fields</t>
        </is>
      </c>
      <c r="AH223" t="inlineStr">
        <is>
          <t>Wet Tillage (Puddling): 2 plowings + thorough harrowing under flooded condition</t>
        </is>
      </c>
      <c r="AI223" t="inlineStr">
        <is>
          <t>Continuous flooding 2–5 cm depth during vegetative stage; drain 2 weeks before harvest</t>
        </is>
      </c>
      <c r="AL223" t="n">
        <v>5.240625</v>
      </c>
      <c r="AM223" t="inlineStr">
        <is>
          <t>Yes</t>
        </is>
      </c>
      <c r="AN223" t="inlineStr">
        <is>
          <t>Crop + Barangay historical mean</t>
        </is>
      </c>
    </row>
    <row r="224">
      <c r="A224" t="inlineStr">
        <is>
          <t>Palay</t>
        </is>
      </c>
      <c r="B224" t="inlineStr">
        <is>
          <t>Sta. Maria Norte</t>
        </is>
      </c>
      <c r="C224" t="inlineStr">
        <is>
          <t>DS 2018</t>
        </is>
      </c>
      <c r="D224" t="inlineStr">
        <is>
          <t>January</t>
        </is>
      </c>
      <c r="E224" t="inlineStr">
        <is>
          <t>2018</t>
        </is>
      </c>
      <c r="F224" t="inlineStr">
        <is>
          <t>May</t>
        </is>
      </c>
      <c r="G224" t="inlineStr">
        <is>
          <t>2018</t>
        </is>
      </c>
      <c r="H224" t="n">
        <v>1.05</v>
      </c>
      <c r="I224" t="n">
        <v>24.53</v>
      </c>
      <c r="J224" t="n">
        <v>17.85</v>
      </c>
      <c r="K224" t="n">
        <v>31.12</v>
      </c>
      <c r="L224" t="n">
        <v>80.86</v>
      </c>
      <c r="M224" t="n">
        <v>98.43000000000001</v>
      </c>
      <c r="N224" t="n">
        <v>15.71</v>
      </c>
      <c r="V224" t="inlineStr">
        <is>
          <t>Type I – Tropical Monsoon (PAGASA)</t>
        </is>
      </c>
      <c r="W224" t="inlineStr">
        <is>
          <t>Dry (Cool)</t>
        </is>
      </c>
      <c r="Y224" t="inlineStr">
        <is>
          <t>Sandy Loam</t>
        </is>
      </c>
      <c r="Z224" t="inlineStr">
        <is>
          <t>Flat / Lowland</t>
        </is>
      </c>
      <c r="AA224" t="n">
        <v>30</v>
      </c>
      <c r="AB224" t="inlineStr">
        <is>
          <t>Tagamusing River</t>
        </is>
      </c>
      <c r="AC224" t="n">
        <v>157.08</v>
      </c>
      <c r="AD224" t="n">
        <v>2</v>
      </c>
      <c r="AE224" t="n">
        <v>32.1</v>
      </c>
      <c r="AF224" t="n">
        <v>40.47</v>
      </c>
      <c r="AG224" t="inlineStr">
        <is>
          <t>Transplanting (Pindot) or Direct Seeding (Pinaghandaan)</t>
        </is>
      </c>
      <c r="AH224" t="inlineStr">
        <is>
          <t>Conventional Tillage: 2 plowings + 2 harrowings; soil workable when moist</t>
        </is>
      </c>
      <c r="AI224" t="inlineStr">
        <is>
          <t>Intermittent irrigation (Alternate Wetting and Drying — AWD); moderate retention</t>
        </is>
      </c>
      <c r="AL224" t="n">
        <v>3.915</v>
      </c>
      <c r="AM224" t="inlineStr">
        <is>
          <t>Yes</t>
        </is>
      </c>
      <c r="AN224" t="inlineStr">
        <is>
          <t>Crop + Barangay historical mean</t>
        </is>
      </c>
    </row>
    <row r="225">
      <c r="A225" t="inlineStr">
        <is>
          <t>Palay</t>
        </is>
      </c>
      <c r="B225" t="inlineStr">
        <is>
          <t>Sumabnit</t>
        </is>
      </c>
      <c r="C225" t="inlineStr">
        <is>
          <t>DS 2018</t>
        </is>
      </c>
      <c r="D225" t="inlineStr">
        <is>
          <t>January</t>
        </is>
      </c>
      <c r="E225" t="inlineStr">
        <is>
          <t>2018</t>
        </is>
      </c>
      <c r="F225" t="inlineStr">
        <is>
          <t>May</t>
        </is>
      </c>
      <c r="G225" t="inlineStr">
        <is>
          <t>2018</t>
        </is>
      </c>
      <c r="H225" t="n">
        <v>1.05</v>
      </c>
      <c r="I225" t="n">
        <v>24.53</v>
      </c>
      <c r="J225" t="n">
        <v>17.85</v>
      </c>
      <c r="K225" t="n">
        <v>31.12</v>
      </c>
      <c r="L225" t="n">
        <v>80.86</v>
      </c>
      <c r="M225" t="n">
        <v>98.43000000000001</v>
      </c>
      <c r="N225" t="n">
        <v>15.71</v>
      </c>
      <c r="V225" t="inlineStr">
        <is>
          <t>Type I – Tropical Monsoon (PAGASA)</t>
        </is>
      </c>
      <c r="W225" t="inlineStr">
        <is>
          <t>Dry (Cool)</t>
        </is>
      </c>
      <c r="Y225" t="inlineStr">
        <is>
          <t>Silty Clay Loam / Fine Sandy Loam</t>
        </is>
      </c>
      <c r="Z225" t="inlineStr">
        <is>
          <t>Flat / Lowland</t>
        </is>
      </c>
      <c r="AA225" t="n">
        <v>30</v>
      </c>
      <c r="AB225" t="inlineStr">
        <is>
          <t>Tagamusing River</t>
        </is>
      </c>
      <c r="AC225" t="n">
        <v>406.56</v>
      </c>
      <c r="AD225" t="n">
        <v>2</v>
      </c>
      <c r="AE225" t="n">
        <v>81.66</v>
      </c>
      <c r="AF225" t="n">
        <v>60</v>
      </c>
      <c r="AG225" t="inlineStr">
        <is>
          <t>Transplanting (Pindot)</t>
        </is>
      </c>
      <c r="AH225" t="inlineStr">
        <is>
          <t>Minimum Tillage (avoid compaction; sandy structure fragile)</t>
        </is>
      </c>
      <c r="AI225" t="inlineStr">
        <is>
          <t>Continuous flooding or frequent irrigation; high percolation risk</t>
        </is>
      </c>
      <c r="AL225" t="n">
        <v>4.894375</v>
      </c>
      <c r="AM225" t="inlineStr">
        <is>
          <t>Yes</t>
        </is>
      </c>
      <c r="AN225" t="inlineStr">
        <is>
          <t>Crop + Barangay historical mean</t>
        </is>
      </c>
    </row>
    <row r="226">
      <c r="A226" t="inlineStr">
        <is>
          <t>Palay</t>
        </is>
      </c>
      <c r="B226" t="inlineStr">
        <is>
          <t>Tabuyoc</t>
        </is>
      </c>
      <c r="C226" t="inlineStr">
        <is>
          <t>DS 2018</t>
        </is>
      </c>
      <c r="D226" t="inlineStr">
        <is>
          <t>January</t>
        </is>
      </c>
      <c r="E226" t="inlineStr">
        <is>
          <t>2018</t>
        </is>
      </c>
      <c r="F226" t="inlineStr">
        <is>
          <t>May</t>
        </is>
      </c>
      <c r="G226" t="inlineStr">
        <is>
          <t>2018</t>
        </is>
      </c>
      <c r="H226" t="n">
        <v>1.05</v>
      </c>
      <c r="I226" t="n">
        <v>24.53</v>
      </c>
      <c r="J226" t="n">
        <v>17.85</v>
      </c>
      <c r="K226" t="n">
        <v>31.12</v>
      </c>
      <c r="L226" t="n">
        <v>80.86</v>
      </c>
      <c r="M226" t="n">
        <v>98.43000000000001</v>
      </c>
      <c r="N226" t="n">
        <v>15.71</v>
      </c>
      <c r="V226" t="inlineStr">
        <is>
          <t>Type I – Tropical Monsoon (PAGASA)</t>
        </is>
      </c>
      <c r="W226" t="inlineStr">
        <is>
          <t>Dry (Cool)</t>
        </is>
      </c>
      <c r="Y226" t="inlineStr">
        <is>
          <t>Silty Clay Loam</t>
        </is>
      </c>
      <c r="Z226" t="inlineStr">
        <is>
          <t>Flat / Lowland</t>
        </is>
      </c>
      <c r="AA226" t="n">
        <v>30</v>
      </c>
      <c r="AB226" t="inlineStr">
        <is>
          <t>—</t>
        </is>
      </c>
      <c r="AC226" t="n">
        <v>277.2</v>
      </c>
      <c r="AD226" t="n">
        <v>2</v>
      </c>
      <c r="AE226" t="n">
        <v>61.34</v>
      </c>
      <c r="AF226" t="n">
        <v>110</v>
      </c>
      <c r="AG226" t="inlineStr">
        <is>
          <t>Transplanting (Pindot) — optimal for clay-loam paddy fields</t>
        </is>
      </c>
      <c r="AH226" t="inlineStr">
        <is>
          <t>Wet Tillage (Puddling): 2 plowings + thorough harrowing under flooded condition</t>
        </is>
      </c>
      <c r="AI226" t="inlineStr">
        <is>
          <t>Continuous flooding 2–5 cm depth during vegetative stage; drain 2 weeks before harvest</t>
        </is>
      </c>
      <c r="AL226" t="n">
        <v>4.3925</v>
      </c>
      <c r="AM226" t="inlineStr">
        <is>
          <t>Yes</t>
        </is>
      </c>
      <c r="AN226" t="inlineStr">
        <is>
          <t>Crop + Barangay historical mean</t>
        </is>
      </c>
    </row>
    <row r="227">
      <c r="A227" t="inlineStr">
        <is>
          <t>Palay</t>
        </is>
      </c>
      <c r="B227" t="inlineStr">
        <is>
          <t>Balangobong</t>
        </is>
      </c>
      <c r="C227" t="inlineStr">
        <is>
          <t>DS 2019</t>
        </is>
      </c>
      <c r="D227" t="inlineStr">
        <is>
          <t>January</t>
        </is>
      </c>
      <c r="E227" t="inlineStr">
        <is>
          <t>2019</t>
        </is>
      </c>
      <c r="F227" t="inlineStr">
        <is>
          <t>May</t>
        </is>
      </c>
      <c r="G227" t="inlineStr">
        <is>
          <t>2019</t>
        </is>
      </c>
      <c r="H227" t="n">
        <v>1.35</v>
      </c>
      <c r="I227" t="n">
        <v>24.09</v>
      </c>
      <c r="J227" t="n">
        <v>15.4</v>
      </c>
      <c r="K227" t="n">
        <v>31.54</v>
      </c>
      <c r="L227" t="n">
        <v>75.31</v>
      </c>
      <c r="M227" t="n">
        <v>98.76000000000001</v>
      </c>
      <c r="N227" t="n">
        <v>18.07</v>
      </c>
      <c r="O227" t="n">
        <v>6.19</v>
      </c>
      <c r="P227" t="n">
        <v>28.48</v>
      </c>
      <c r="Q227" t="n">
        <v>23.26</v>
      </c>
      <c r="R227" t="n">
        <v>36.04</v>
      </c>
      <c r="S227" t="n">
        <v>77.87</v>
      </c>
      <c r="T227" t="n">
        <v>98.3</v>
      </c>
      <c r="U227" t="n">
        <v>21.17</v>
      </c>
      <c r="V227" t="inlineStr">
        <is>
          <t>Type I – Tropical Monsoon (PAGASA)</t>
        </is>
      </c>
      <c r="W227" t="inlineStr">
        <is>
          <t>Dry (Cool)</t>
        </is>
      </c>
      <c r="X227" t="inlineStr">
        <is>
          <t>Wet</t>
        </is>
      </c>
      <c r="Y227" t="inlineStr">
        <is>
          <t>Silty Clay Loam</t>
        </is>
      </c>
      <c r="Z227" t="inlineStr">
        <is>
          <t>Flat / Lowland</t>
        </is>
      </c>
      <c r="AA227" t="n">
        <v>30</v>
      </c>
      <c r="AB227" t="inlineStr">
        <is>
          <t>—</t>
        </is>
      </c>
      <c r="AC227" t="n">
        <v>281.4</v>
      </c>
      <c r="AD227" t="n">
        <v>1</v>
      </c>
      <c r="AE227" t="n">
        <v>15</v>
      </c>
      <c r="AF227" t="n">
        <v>110</v>
      </c>
      <c r="AG227" t="inlineStr">
        <is>
          <t>Transplanting (Pindot) — optimal for clay-loam paddy fields</t>
        </is>
      </c>
      <c r="AH227" t="inlineStr">
        <is>
          <t>Wet Tillage (Puddling): 2 plowings + thorough harrowing under flooded condition</t>
        </is>
      </c>
      <c r="AI227" t="inlineStr">
        <is>
          <t>Continuous flooding 2–5 cm depth during vegetative stage; drain 2 weeks before harvest</t>
        </is>
      </c>
      <c r="AJ227" t="n">
        <v>14</v>
      </c>
      <c r="AK227" t="n">
        <v>82.01000000000001</v>
      </c>
      <c r="AL227" t="n">
        <v>5.86</v>
      </c>
      <c r="AM227" t="inlineStr">
        <is>
          <t>No</t>
        </is>
      </c>
      <c r="AN227" t="inlineStr">
        <is>
          <t>Observed harvest</t>
        </is>
      </c>
    </row>
    <row r="228">
      <c r="A228" t="inlineStr">
        <is>
          <t>Palay</t>
        </is>
      </c>
      <c r="B228" t="inlineStr">
        <is>
          <t>Bugayong</t>
        </is>
      </c>
      <c r="C228" t="inlineStr">
        <is>
          <t>DS 2019</t>
        </is>
      </c>
      <c r="D228" t="inlineStr">
        <is>
          <t>January</t>
        </is>
      </c>
      <c r="E228" t="inlineStr">
        <is>
          <t>2019</t>
        </is>
      </c>
      <c r="F228" t="inlineStr">
        <is>
          <t>May</t>
        </is>
      </c>
      <c r="G228" t="inlineStr">
        <is>
          <t>2019</t>
        </is>
      </c>
      <c r="H228" t="n">
        <v>1.35</v>
      </c>
      <c r="I228" t="n">
        <v>24.09</v>
      </c>
      <c r="J228" t="n">
        <v>15.4</v>
      </c>
      <c r="K228" t="n">
        <v>31.54</v>
      </c>
      <c r="L228" t="n">
        <v>75.31</v>
      </c>
      <c r="M228" t="n">
        <v>98.76000000000001</v>
      </c>
      <c r="N228" t="n">
        <v>18.07</v>
      </c>
      <c r="O228" t="n">
        <v>6.19</v>
      </c>
      <c r="P228" t="n">
        <v>28.48</v>
      </c>
      <c r="Q228" t="n">
        <v>23.26</v>
      </c>
      <c r="R228" t="n">
        <v>36.04</v>
      </c>
      <c r="S228" t="n">
        <v>77.87</v>
      </c>
      <c r="T228" t="n">
        <v>98.3</v>
      </c>
      <c r="U228" t="n">
        <v>21.17</v>
      </c>
      <c r="V228" t="inlineStr">
        <is>
          <t>Type I – Tropical Monsoon (PAGASA)</t>
        </is>
      </c>
      <c r="W228" t="inlineStr">
        <is>
          <t>Dry (Cool)</t>
        </is>
      </c>
      <c r="X228" t="inlineStr">
        <is>
          <t>Wet</t>
        </is>
      </c>
      <c r="Y228" t="inlineStr">
        <is>
          <t>Sandy Loam / Silty Clay Loam</t>
        </is>
      </c>
      <c r="Z228" t="inlineStr">
        <is>
          <t>Flat / Lowland</t>
        </is>
      </c>
      <c r="AA228" t="n">
        <v>30</v>
      </c>
      <c r="AB228" t="inlineStr">
        <is>
          <t>Aloragat River</t>
        </is>
      </c>
      <c r="AC228" t="n">
        <v>346.08</v>
      </c>
      <c r="AD228" t="n">
        <v>10.81</v>
      </c>
      <c r="AE228" t="n">
        <v>41.02</v>
      </c>
      <c r="AF228" t="n">
        <v>1.36</v>
      </c>
      <c r="AG228" t="inlineStr">
        <is>
          <t>Transplanting (Pindot) — recommended; Direct Seeding possible in dry season</t>
        </is>
      </c>
      <c r="AH228" t="inlineStr">
        <is>
          <t>Conventional Tillage: 2 plowings + harrowing; puddle thoroughly for transplanting</t>
        </is>
      </c>
      <c r="AI228" t="inlineStr">
        <is>
          <t>Intermittent to continuous flooding; manage according to drainage section present</t>
        </is>
      </c>
      <c r="AJ228" t="n">
        <v>7.58</v>
      </c>
      <c r="AK228" t="n">
        <v>21.83</v>
      </c>
      <c r="AL228" t="n">
        <v>2.88</v>
      </c>
      <c r="AM228" t="inlineStr">
        <is>
          <t>No</t>
        </is>
      </c>
      <c r="AN228" t="inlineStr">
        <is>
          <t>Observed harvest</t>
        </is>
      </c>
    </row>
    <row r="229">
      <c r="A229" t="inlineStr">
        <is>
          <t>Palay</t>
        </is>
      </c>
      <c r="B229" t="inlineStr">
        <is>
          <t>Camanggaan</t>
        </is>
      </c>
      <c r="C229" t="inlineStr">
        <is>
          <t>DS 2019</t>
        </is>
      </c>
      <c r="D229" t="inlineStr">
        <is>
          <t>January</t>
        </is>
      </c>
      <c r="E229" t="inlineStr">
        <is>
          <t>2019</t>
        </is>
      </c>
      <c r="F229" t="inlineStr">
        <is>
          <t>May</t>
        </is>
      </c>
      <c r="G229" t="inlineStr">
        <is>
          <t>2019</t>
        </is>
      </c>
      <c r="H229" t="n">
        <v>1.35</v>
      </c>
      <c r="I229" t="n">
        <v>24.09</v>
      </c>
      <c r="J229" t="n">
        <v>15.4</v>
      </c>
      <c r="K229" t="n">
        <v>31.54</v>
      </c>
      <c r="L229" t="n">
        <v>75.31</v>
      </c>
      <c r="M229" t="n">
        <v>98.76000000000001</v>
      </c>
      <c r="N229" t="n">
        <v>18.07</v>
      </c>
      <c r="O229" t="n">
        <v>6.19</v>
      </c>
      <c r="P229" t="n">
        <v>28.48</v>
      </c>
      <c r="Q229" t="n">
        <v>23.26</v>
      </c>
      <c r="R229" t="n">
        <v>36.04</v>
      </c>
      <c r="S229" t="n">
        <v>77.87</v>
      </c>
      <c r="T229" t="n">
        <v>98.3</v>
      </c>
      <c r="U229" t="n">
        <v>21.17</v>
      </c>
      <c r="V229" t="inlineStr">
        <is>
          <t>Type I – Tropical Monsoon (PAGASA)</t>
        </is>
      </c>
      <c r="W229" t="inlineStr">
        <is>
          <t>Dry (Cool)</t>
        </is>
      </c>
      <c r="X229" t="inlineStr">
        <is>
          <t>Wet</t>
        </is>
      </c>
      <c r="Y229" t="inlineStr">
        <is>
          <t>Sandy Loam</t>
        </is>
      </c>
      <c r="Z229" t="inlineStr">
        <is>
          <t>Flat / Lowland</t>
        </is>
      </c>
      <c r="AA229" t="n">
        <v>30</v>
      </c>
      <c r="AB229" t="inlineStr">
        <is>
          <t>—</t>
        </is>
      </c>
      <c r="AC229" t="n">
        <v>244.44</v>
      </c>
      <c r="AD229" t="n">
        <v>4.78</v>
      </c>
      <c r="AE229" t="n">
        <v>87.36</v>
      </c>
      <c r="AF229" t="n">
        <v>7.25</v>
      </c>
      <c r="AG229" t="inlineStr">
        <is>
          <t>Transplanting (Pindot) or Direct Seeding (Pinaghandaan)</t>
        </is>
      </c>
      <c r="AH229" t="inlineStr">
        <is>
          <t>Conventional Tillage: 2 plowings + 2 harrowings; soil workable when moist</t>
        </is>
      </c>
      <c r="AI229" t="inlineStr">
        <is>
          <t>Intermittent irrigation (Alternate Wetting and Drying — AWD); moderate retention</t>
        </is>
      </c>
      <c r="AJ229" t="n">
        <v>7.15</v>
      </c>
      <c r="AK229" t="n">
        <v>18.64</v>
      </c>
      <c r="AL229" t="n">
        <v>2.61</v>
      </c>
      <c r="AM229" t="inlineStr">
        <is>
          <t>No</t>
        </is>
      </c>
      <c r="AN229" t="inlineStr">
        <is>
          <t>Observed harvest</t>
        </is>
      </c>
    </row>
    <row r="230">
      <c r="A230" t="inlineStr">
        <is>
          <t>Palay</t>
        </is>
      </c>
      <c r="B230" t="inlineStr">
        <is>
          <t>Capas</t>
        </is>
      </c>
      <c r="C230" t="inlineStr">
        <is>
          <t>DS 2019</t>
        </is>
      </c>
      <c r="D230" t="inlineStr">
        <is>
          <t>January</t>
        </is>
      </c>
      <c r="E230" t="inlineStr">
        <is>
          <t>2019</t>
        </is>
      </c>
      <c r="F230" t="inlineStr">
        <is>
          <t>May</t>
        </is>
      </c>
      <c r="G230" t="inlineStr">
        <is>
          <t>2019</t>
        </is>
      </c>
      <c r="H230" t="n">
        <v>1.35</v>
      </c>
      <c r="I230" t="n">
        <v>24.09</v>
      </c>
      <c r="J230" t="n">
        <v>15.4</v>
      </c>
      <c r="K230" t="n">
        <v>31.54</v>
      </c>
      <c r="L230" t="n">
        <v>75.31</v>
      </c>
      <c r="M230" t="n">
        <v>98.76000000000001</v>
      </c>
      <c r="N230" t="n">
        <v>18.07</v>
      </c>
      <c r="O230" t="n">
        <v>6.19</v>
      </c>
      <c r="P230" t="n">
        <v>28.48</v>
      </c>
      <c r="Q230" t="n">
        <v>23.26</v>
      </c>
      <c r="R230" t="n">
        <v>36.04</v>
      </c>
      <c r="S230" t="n">
        <v>77.87</v>
      </c>
      <c r="T230" t="n">
        <v>98.3</v>
      </c>
      <c r="U230" t="n">
        <v>21.17</v>
      </c>
      <c r="V230" t="inlineStr">
        <is>
          <t>Type I – Tropical Monsoon (PAGASA)</t>
        </is>
      </c>
      <c r="W230" t="inlineStr">
        <is>
          <t>Dry (Cool)</t>
        </is>
      </c>
      <c r="X230" t="inlineStr">
        <is>
          <t>Wet</t>
        </is>
      </c>
      <c r="Y230" t="inlineStr">
        <is>
          <t>Sandy Loam</t>
        </is>
      </c>
      <c r="Z230" t="inlineStr">
        <is>
          <t>Flat / Lowland</t>
        </is>
      </c>
      <c r="AA230" t="n">
        <v>30</v>
      </c>
      <c r="AB230" t="inlineStr">
        <is>
          <t>—</t>
        </is>
      </c>
      <c r="AC230" t="n">
        <v>377.16</v>
      </c>
      <c r="AD230" t="n">
        <v>6.28</v>
      </c>
      <c r="AE230" t="n">
        <v>96.84</v>
      </c>
      <c r="AF230" t="n">
        <v>105</v>
      </c>
      <c r="AG230" t="inlineStr">
        <is>
          <t>Transplanting (Pindot) or Direct Seeding (Pinaghandaan)</t>
        </is>
      </c>
      <c r="AH230" t="inlineStr">
        <is>
          <t>Conventional Tillage: 2 plowings + 2 harrowings; soil workable when moist</t>
        </is>
      </c>
      <c r="AI230" t="inlineStr">
        <is>
          <t>Intermittent irrigation (Alternate Wetting and Drying — AWD); moderate retention</t>
        </is>
      </c>
      <c r="AJ230" t="n">
        <v>15</v>
      </c>
      <c r="AK230" t="n">
        <v>74.25</v>
      </c>
      <c r="AL230" t="n">
        <v>4.95</v>
      </c>
      <c r="AM230" t="inlineStr">
        <is>
          <t>No</t>
        </is>
      </c>
      <c r="AN230" t="inlineStr">
        <is>
          <t>Observed harvest</t>
        </is>
      </c>
    </row>
    <row r="231">
      <c r="A231" t="inlineStr">
        <is>
          <t>Palay</t>
        </is>
      </c>
      <c r="B231" t="inlineStr">
        <is>
          <t>Cili</t>
        </is>
      </c>
      <c r="C231" t="inlineStr">
        <is>
          <t>DS 2019</t>
        </is>
      </c>
      <c r="D231" t="inlineStr">
        <is>
          <t>January</t>
        </is>
      </c>
      <c r="E231" t="inlineStr">
        <is>
          <t>2019</t>
        </is>
      </c>
      <c r="F231" t="inlineStr">
        <is>
          <t>May</t>
        </is>
      </c>
      <c r="G231" t="inlineStr">
        <is>
          <t>2019</t>
        </is>
      </c>
      <c r="H231" t="n">
        <v>1.35</v>
      </c>
      <c r="I231" t="n">
        <v>24.09</v>
      </c>
      <c r="J231" t="n">
        <v>15.4</v>
      </c>
      <c r="K231" t="n">
        <v>31.54</v>
      </c>
      <c r="L231" t="n">
        <v>75.31</v>
      </c>
      <c r="M231" t="n">
        <v>98.76000000000001</v>
      </c>
      <c r="N231" t="n">
        <v>18.07</v>
      </c>
      <c r="O231" t="n">
        <v>6.19</v>
      </c>
      <c r="P231" t="n">
        <v>28.48</v>
      </c>
      <c r="Q231" t="n">
        <v>23.26</v>
      </c>
      <c r="R231" t="n">
        <v>36.04</v>
      </c>
      <c r="S231" t="n">
        <v>77.87</v>
      </c>
      <c r="T231" t="n">
        <v>98.3</v>
      </c>
      <c r="U231" t="n">
        <v>21.17</v>
      </c>
      <c r="V231" t="inlineStr">
        <is>
          <t>Type I – Tropical Monsoon (PAGASA)</t>
        </is>
      </c>
      <c r="W231" t="inlineStr">
        <is>
          <t>Dry (Cool)</t>
        </is>
      </c>
      <c r="X231" t="inlineStr">
        <is>
          <t>Wet</t>
        </is>
      </c>
      <c r="Y231" t="inlineStr">
        <is>
          <t>Silty Clay Loam</t>
        </is>
      </c>
      <c r="Z231" t="inlineStr">
        <is>
          <t>Flat / Lowland</t>
        </is>
      </c>
      <c r="AA231" t="n">
        <v>30</v>
      </c>
      <c r="AB231" t="inlineStr">
        <is>
          <t>Alibeng River</t>
        </is>
      </c>
      <c r="AC231" t="n">
        <v>264.6</v>
      </c>
      <c r="AD231" t="n">
        <v>12.07</v>
      </c>
      <c r="AE231" t="n">
        <v>35.32</v>
      </c>
      <c r="AF231" t="n">
        <v>4.75</v>
      </c>
      <c r="AG231" t="inlineStr">
        <is>
          <t>Transplanting (Pindot) — optimal for clay-loam paddy fields</t>
        </is>
      </c>
      <c r="AH231" t="inlineStr">
        <is>
          <t>Wet Tillage (Puddling): 2 plowings + thorough harrowing under flooded condition</t>
        </is>
      </c>
      <c r="AI231" t="inlineStr">
        <is>
          <t>Continuous flooding 2–5 cm depth during vegetative stage; drain 2 weeks before harvest</t>
        </is>
      </c>
      <c r="AJ231" t="n">
        <v>8.81</v>
      </c>
      <c r="AK231" t="n">
        <v>23.95</v>
      </c>
      <c r="AL231" t="n">
        <v>2.72</v>
      </c>
      <c r="AM231" t="inlineStr">
        <is>
          <t>No</t>
        </is>
      </c>
      <c r="AN231" t="inlineStr">
        <is>
          <t>Observed harvest</t>
        </is>
      </c>
    </row>
    <row r="232">
      <c r="A232" t="inlineStr">
        <is>
          <t>Palay</t>
        </is>
      </c>
      <c r="B232" t="inlineStr">
        <is>
          <t>Mangkasuy</t>
        </is>
      </c>
      <c r="C232" t="inlineStr">
        <is>
          <t>DS 2019</t>
        </is>
      </c>
      <c r="D232" t="inlineStr">
        <is>
          <t>January</t>
        </is>
      </c>
      <c r="E232" t="inlineStr">
        <is>
          <t>2019</t>
        </is>
      </c>
      <c r="F232" t="inlineStr">
        <is>
          <t>May</t>
        </is>
      </c>
      <c r="G232" t="inlineStr">
        <is>
          <t>2019</t>
        </is>
      </c>
      <c r="H232" t="n">
        <v>1.35</v>
      </c>
      <c r="I232" t="n">
        <v>24.09</v>
      </c>
      <c r="J232" t="n">
        <v>15.4</v>
      </c>
      <c r="K232" t="n">
        <v>31.54</v>
      </c>
      <c r="L232" t="n">
        <v>75.31</v>
      </c>
      <c r="M232" t="n">
        <v>98.76000000000001</v>
      </c>
      <c r="N232" t="n">
        <v>18.07</v>
      </c>
      <c r="O232" t="n">
        <v>6.19</v>
      </c>
      <c r="P232" t="n">
        <v>28.48</v>
      </c>
      <c r="Q232" t="n">
        <v>23.26</v>
      </c>
      <c r="R232" t="n">
        <v>36.04</v>
      </c>
      <c r="S232" t="n">
        <v>77.87</v>
      </c>
      <c r="T232" t="n">
        <v>98.3</v>
      </c>
      <c r="U232" t="n">
        <v>21.17</v>
      </c>
      <c r="V232" t="inlineStr">
        <is>
          <t>Type I – Tropical Monsoon (PAGASA)</t>
        </is>
      </c>
      <c r="W232" t="inlineStr">
        <is>
          <t>Dry (Cool)</t>
        </is>
      </c>
      <c r="X232" t="inlineStr">
        <is>
          <t>Wet</t>
        </is>
      </c>
      <c r="Y232" t="inlineStr">
        <is>
          <t>Sandy Loam</t>
        </is>
      </c>
      <c r="Z232" t="inlineStr">
        <is>
          <t>Flat / Lowland</t>
        </is>
      </c>
      <c r="AA232" t="n">
        <v>30</v>
      </c>
      <c r="AB232" t="inlineStr">
        <is>
          <t>Tagamusing River</t>
        </is>
      </c>
      <c r="AC232" t="n">
        <v>802.2</v>
      </c>
      <c r="AD232" t="n">
        <v>1.4</v>
      </c>
      <c r="AE232" t="n">
        <v>164</v>
      </c>
      <c r="AF232" t="n">
        <v>50</v>
      </c>
      <c r="AG232" t="inlineStr">
        <is>
          <t>Transplanting (Pindot) or Direct Seeding (Pinaghandaan)</t>
        </is>
      </c>
      <c r="AH232" t="inlineStr">
        <is>
          <t>Conventional Tillage: 2 plowings + 2 harrowings; soil workable when moist</t>
        </is>
      </c>
      <c r="AI232" t="inlineStr">
        <is>
          <t>Intermittent irrigation (Alternate Wetting and Drying — AWD); moderate retention</t>
        </is>
      </c>
      <c r="AJ232" t="n">
        <v>6.4</v>
      </c>
      <c r="AK232" t="n">
        <v>34.79</v>
      </c>
      <c r="AL232" t="n">
        <v>5.44</v>
      </c>
      <c r="AM232" t="inlineStr">
        <is>
          <t>No</t>
        </is>
      </c>
      <c r="AN232" t="inlineStr">
        <is>
          <t>Observed harvest</t>
        </is>
      </c>
    </row>
    <row r="233">
      <c r="A233" t="inlineStr">
        <is>
          <t>Palay</t>
        </is>
      </c>
      <c r="B233" t="inlineStr">
        <is>
          <t>Moreno</t>
        </is>
      </c>
      <c r="C233" t="inlineStr">
        <is>
          <t>DS 2019</t>
        </is>
      </c>
      <c r="D233" t="inlineStr">
        <is>
          <t>January</t>
        </is>
      </c>
      <c r="E233" t="inlineStr">
        <is>
          <t>2019</t>
        </is>
      </c>
      <c r="F233" t="inlineStr">
        <is>
          <t>May</t>
        </is>
      </c>
      <c r="G233" t="inlineStr">
        <is>
          <t>2019</t>
        </is>
      </c>
      <c r="H233" t="n">
        <v>1.35</v>
      </c>
      <c r="I233" t="n">
        <v>24.09</v>
      </c>
      <c r="J233" t="n">
        <v>15.4</v>
      </c>
      <c r="K233" t="n">
        <v>31.54</v>
      </c>
      <c r="L233" t="n">
        <v>75.31</v>
      </c>
      <c r="M233" t="n">
        <v>98.76000000000001</v>
      </c>
      <c r="N233" t="n">
        <v>18.07</v>
      </c>
      <c r="O233" t="n">
        <v>6.19</v>
      </c>
      <c r="P233" t="n">
        <v>28.48</v>
      </c>
      <c r="Q233" t="n">
        <v>23.26</v>
      </c>
      <c r="R233" t="n">
        <v>36.04</v>
      </c>
      <c r="S233" t="n">
        <v>77.87</v>
      </c>
      <c r="T233" t="n">
        <v>98.3</v>
      </c>
      <c r="U233" t="n">
        <v>21.17</v>
      </c>
      <c r="V233" t="inlineStr">
        <is>
          <t>Type I – Tropical Monsoon (PAGASA)</t>
        </is>
      </c>
      <c r="W233" t="inlineStr">
        <is>
          <t>Dry (Cool)</t>
        </is>
      </c>
      <c r="X233" t="inlineStr">
        <is>
          <t>Wet</t>
        </is>
      </c>
      <c r="Y233" t="inlineStr">
        <is>
          <t>Sandy Loam</t>
        </is>
      </c>
      <c r="Z233" t="inlineStr">
        <is>
          <t>Moderately Sloping / Highland</t>
        </is>
      </c>
      <c r="AA233" t="n">
        <v>90</v>
      </c>
      <c r="AB233" t="inlineStr">
        <is>
          <t>Alibeng River</t>
        </is>
      </c>
      <c r="AC233" t="n">
        <v>641.76</v>
      </c>
      <c r="AD233" t="n">
        <v>25.35</v>
      </c>
      <c r="AE233" t="n">
        <v>135.56</v>
      </c>
      <c r="AF233" t="n">
        <v>4.78</v>
      </c>
      <c r="AG233" t="inlineStr">
        <is>
          <t>Transplanting (Pindot) or Direct Seeding (Pinaghandaan)</t>
        </is>
      </c>
      <c r="AH233" t="inlineStr">
        <is>
          <t>Conventional Tillage: 2 plowings + 2 harrowings; soil workable when moist</t>
        </is>
      </c>
      <c r="AI233" t="inlineStr">
        <is>
          <t>Intermittent irrigation (Alternate Wetting and Drying — AWD); moderate retention; terrace or bund-assisted water retention essential on slopes</t>
        </is>
      </c>
      <c r="AJ233" t="n">
        <v>3.55</v>
      </c>
      <c r="AK233" t="n">
        <v>28.4</v>
      </c>
      <c r="AL233" t="n">
        <v>8</v>
      </c>
      <c r="AM233" t="inlineStr">
        <is>
          <t>No</t>
        </is>
      </c>
      <c r="AN233" t="inlineStr">
        <is>
          <t>Observed harvest</t>
        </is>
      </c>
    </row>
    <row r="234">
      <c r="A234" t="inlineStr">
        <is>
          <t>Palay</t>
        </is>
      </c>
      <c r="B234" t="inlineStr">
        <is>
          <t>Pasileng Norte</t>
        </is>
      </c>
      <c r="C234" t="inlineStr">
        <is>
          <t>DS 2019</t>
        </is>
      </c>
      <c r="D234" t="inlineStr">
        <is>
          <t>January</t>
        </is>
      </c>
      <c r="E234" t="inlineStr">
        <is>
          <t>2019</t>
        </is>
      </c>
      <c r="F234" t="inlineStr">
        <is>
          <t>May</t>
        </is>
      </c>
      <c r="G234" t="inlineStr">
        <is>
          <t>2019</t>
        </is>
      </c>
      <c r="H234" t="n">
        <v>1.35</v>
      </c>
      <c r="I234" t="n">
        <v>24.09</v>
      </c>
      <c r="J234" t="n">
        <v>15.4</v>
      </c>
      <c r="K234" t="n">
        <v>31.54</v>
      </c>
      <c r="L234" t="n">
        <v>75.31</v>
      </c>
      <c r="M234" t="n">
        <v>98.76000000000001</v>
      </c>
      <c r="N234" t="n">
        <v>18.07</v>
      </c>
      <c r="O234" t="n">
        <v>6.19</v>
      </c>
      <c r="P234" t="n">
        <v>28.48</v>
      </c>
      <c r="Q234" t="n">
        <v>23.26</v>
      </c>
      <c r="R234" t="n">
        <v>36.04</v>
      </c>
      <c r="S234" t="n">
        <v>77.87</v>
      </c>
      <c r="T234" t="n">
        <v>98.3</v>
      </c>
      <c r="U234" t="n">
        <v>21.17</v>
      </c>
      <c r="V234" t="inlineStr">
        <is>
          <t>Type I – Tropical Monsoon (PAGASA)</t>
        </is>
      </c>
      <c r="W234" t="inlineStr">
        <is>
          <t>Dry (Cool)</t>
        </is>
      </c>
      <c r="X234" t="inlineStr">
        <is>
          <t>Wet</t>
        </is>
      </c>
      <c r="Y234" t="inlineStr">
        <is>
          <t>Sandy Loam</t>
        </is>
      </c>
      <c r="Z234" t="inlineStr">
        <is>
          <t>Flat / Lowland</t>
        </is>
      </c>
      <c r="AA234" t="n">
        <v>30</v>
      </c>
      <c r="AB234" t="inlineStr">
        <is>
          <t>Tagamusing River</t>
        </is>
      </c>
      <c r="AC234" t="n">
        <v>140.28</v>
      </c>
      <c r="AD234" t="n">
        <v>1.85</v>
      </c>
      <c r="AE234" t="n">
        <v>20.7</v>
      </c>
      <c r="AF234" t="n">
        <v>65</v>
      </c>
      <c r="AG234" t="inlineStr">
        <is>
          <t>Transplanting (Pindot) or Direct Seeding (Pinaghandaan)</t>
        </is>
      </c>
      <c r="AH234" t="inlineStr">
        <is>
          <t>Conventional Tillage: 2 plowings + 2 harrowings; soil workable when moist</t>
        </is>
      </c>
      <c r="AI234" t="inlineStr">
        <is>
          <t>Intermittent irrigation (Alternate Wetting and Drying — AWD); moderate retention</t>
        </is>
      </c>
      <c r="AJ234" t="n">
        <v>4.85</v>
      </c>
      <c r="AK234" t="n">
        <v>29.41</v>
      </c>
      <c r="AL234" t="n">
        <v>6.06</v>
      </c>
      <c r="AM234" t="inlineStr">
        <is>
          <t>No</t>
        </is>
      </c>
      <c r="AN234" t="inlineStr">
        <is>
          <t>Observed harvest</t>
        </is>
      </c>
    </row>
    <row r="235">
      <c r="A235" t="inlineStr">
        <is>
          <t>Palay</t>
        </is>
      </c>
      <c r="B235" t="inlineStr">
        <is>
          <t>Pasileng Sur</t>
        </is>
      </c>
      <c r="C235" t="inlineStr">
        <is>
          <t>DS 2019</t>
        </is>
      </c>
      <c r="D235" t="inlineStr">
        <is>
          <t>January</t>
        </is>
      </c>
      <c r="E235" t="inlineStr">
        <is>
          <t>2019</t>
        </is>
      </c>
      <c r="F235" t="inlineStr">
        <is>
          <t>May</t>
        </is>
      </c>
      <c r="G235" t="inlineStr">
        <is>
          <t>2019</t>
        </is>
      </c>
      <c r="H235" t="n">
        <v>1.35</v>
      </c>
      <c r="I235" t="n">
        <v>24.09</v>
      </c>
      <c r="J235" t="n">
        <v>15.4</v>
      </c>
      <c r="K235" t="n">
        <v>31.54</v>
      </c>
      <c r="L235" t="n">
        <v>75.31</v>
      </c>
      <c r="M235" t="n">
        <v>98.76000000000001</v>
      </c>
      <c r="N235" t="n">
        <v>18.07</v>
      </c>
      <c r="O235" t="n">
        <v>6.19</v>
      </c>
      <c r="P235" t="n">
        <v>28.48</v>
      </c>
      <c r="Q235" t="n">
        <v>23.26</v>
      </c>
      <c r="R235" t="n">
        <v>36.04</v>
      </c>
      <c r="S235" t="n">
        <v>77.87</v>
      </c>
      <c r="T235" t="n">
        <v>98.3</v>
      </c>
      <c r="U235" t="n">
        <v>21.17</v>
      </c>
      <c r="V235" t="inlineStr">
        <is>
          <t>Type I – Tropical Monsoon (PAGASA)</t>
        </is>
      </c>
      <c r="W235" t="inlineStr">
        <is>
          <t>Dry (Cool)</t>
        </is>
      </c>
      <c r="X235" t="inlineStr">
        <is>
          <t>Wet</t>
        </is>
      </c>
      <c r="Y235" t="inlineStr">
        <is>
          <t>Sandy Loam</t>
        </is>
      </c>
      <c r="Z235" t="inlineStr">
        <is>
          <t>Flat / Lowland</t>
        </is>
      </c>
      <c r="AA235" t="n">
        <v>30</v>
      </c>
      <c r="AB235" t="inlineStr">
        <is>
          <t>Tagamusing River</t>
        </is>
      </c>
      <c r="AC235" t="n">
        <v>414.96</v>
      </c>
      <c r="AD235" t="n">
        <v>3</v>
      </c>
      <c r="AE235" t="n">
        <v>32.1</v>
      </c>
      <c r="AF235" t="n">
        <v>119</v>
      </c>
      <c r="AG235" t="inlineStr">
        <is>
          <t>Transplanting (Pindot) or Direct Seeding (Pinaghandaan)</t>
        </is>
      </c>
      <c r="AH235" t="inlineStr">
        <is>
          <t>Conventional Tillage: 2 plowings + 2 harrowings; soil workable when moist</t>
        </is>
      </c>
      <c r="AI235" t="inlineStr">
        <is>
          <t>Intermittent irrigation (Alternate Wetting and Drying — AWD); moderate retention</t>
        </is>
      </c>
      <c r="AJ235" t="n">
        <v>15</v>
      </c>
      <c r="AK235" t="n">
        <v>100.38</v>
      </c>
      <c r="AL235" t="n">
        <v>6.69</v>
      </c>
      <c r="AM235" t="inlineStr">
        <is>
          <t>No</t>
        </is>
      </c>
      <c r="AN235" t="inlineStr">
        <is>
          <t>Observed harvest</t>
        </is>
      </c>
    </row>
    <row r="236">
      <c r="A236" t="inlineStr">
        <is>
          <t>Palay</t>
        </is>
      </c>
      <c r="B236" t="inlineStr">
        <is>
          <t>San Felipe Central</t>
        </is>
      </c>
      <c r="C236" t="inlineStr">
        <is>
          <t>DS 2019</t>
        </is>
      </c>
      <c r="D236" t="inlineStr">
        <is>
          <t>January</t>
        </is>
      </c>
      <c r="E236" t="inlineStr">
        <is>
          <t>2019</t>
        </is>
      </c>
      <c r="F236" t="inlineStr">
        <is>
          <t>May</t>
        </is>
      </c>
      <c r="G236" t="inlineStr">
        <is>
          <t>2019</t>
        </is>
      </c>
      <c r="H236" t="n">
        <v>1.35</v>
      </c>
      <c r="I236" t="n">
        <v>24.09</v>
      </c>
      <c r="J236" t="n">
        <v>15.4</v>
      </c>
      <c r="K236" t="n">
        <v>31.54</v>
      </c>
      <c r="L236" t="n">
        <v>75.31</v>
      </c>
      <c r="M236" t="n">
        <v>98.76000000000001</v>
      </c>
      <c r="N236" t="n">
        <v>18.07</v>
      </c>
      <c r="O236" t="n">
        <v>6.19</v>
      </c>
      <c r="P236" t="n">
        <v>28.48</v>
      </c>
      <c r="Q236" t="n">
        <v>23.26</v>
      </c>
      <c r="R236" t="n">
        <v>36.04</v>
      </c>
      <c r="S236" t="n">
        <v>77.87</v>
      </c>
      <c r="T236" t="n">
        <v>98.3</v>
      </c>
      <c r="U236" t="n">
        <v>21.17</v>
      </c>
      <c r="V236" t="inlineStr">
        <is>
          <t>Type I – Tropical Monsoon (PAGASA)</t>
        </is>
      </c>
      <c r="W236" t="inlineStr">
        <is>
          <t>Dry (Cool)</t>
        </is>
      </c>
      <c r="X236" t="inlineStr">
        <is>
          <t>Wet</t>
        </is>
      </c>
      <c r="Y236" t="inlineStr">
        <is>
          <t>Sandy Loam</t>
        </is>
      </c>
      <c r="Z236" t="inlineStr">
        <is>
          <t>Flat / Lowland</t>
        </is>
      </c>
      <c r="AA236" t="n">
        <v>30</v>
      </c>
      <c r="AB236" t="inlineStr">
        <is>
          <t>—</t>
        </is>
      </c>
      <c r="AC236" t="n">
        <v>452.76</v>
      </c>
      <c r="AD236" t="n">
        <v>2</v>
      </c>
      <c r="AE236" t="n">
        <v>32.1</v>
      </c>
      <c r="AF236" t="n">
        <v>98</v>
      </c>
      <c r="AG236" t="inlineStr">
        <is>
          <t>Transplanting (Pindot) or Direct Seeding (Pinaghandaan)</t>
        </is>
      </c>
      <c r="AH236" t="inlineStr">
        <is>
          <t>Conventional Tillage: 2 plowings + 2 harrowings; soil workable when moist</t>
        </is>
      </c>
      <c r="AI236" t="inlineStr">
        <is>
          <t>Intermittent irrigation (Alternate Wetting and Drying — AWD); moderate retention</t>
        </is>
      </c>
      <c r="AJ236" t="n">
        <v>5</v>
      </c>
      <c r="AK236" t="n">
        <v>25</v>
      </c>
      <c r="AL236" t="n">
        <v>5</v>
      </c>
      <c r="AM236" t="inlineStr">
        <is>
          <t>No</t>
        </is>
      </c>
      <c r="AN236" t="inlineStr">
        <is>
          <t>Observed harvest</t>
        </is>
      </c>
    </row>
    <row r="237">
      <c r="A237" t="inlineStr">
        <is>
          <t>Palay</t>
        </is>
      </c>
      <c r="B237" t="inlineStr">
        <is>
          <t>San Felipe Sur</t>
        </is>
      </c>
      <c r="C237" t="inlineStr">
        <is>
          <t>DS 2019</t>
        </is>
      </c>
      <c r="D237" t="inlineStr">
        <is>
          <t>January</t>
        </is>
      </c>
      <c r="E237" t="inlineStr">
        <is>
          <t>2019</t>
        </is>
      </c>
      <c r="F237" t="inlineStr">
        <is>
          <t>May</t>
        </is>
      </c>
      <c r="G237" t="inlineStr">
        <is>
          <t>2019</t>
        </is>
      </c>
      <c r="H237" t="n">
        <v>1.35</v>
      </c>
      <c r="I237" t="n">
        <v>24.09</v>
      </c>
      <c r="J237" t="n">
        <v>15.4</v>
      </c>
      <c r="K237" t="n">
        <v>31.54</v>
      </c>
      <c r="L237" t="n">
        <v>75.31</v>
      </c>
      <c r="M237" t="n">
        <v>98.76000000000001</v>
      </c>
      <c r="N237" t="n">
        <v>18.07</v>
      </c>
      <c r="O237" t="n">
        <v>6.19</v>
      </c>
      <c r="P237" t="n">
        <v>28.48</v>
      </c>
      <c r="Q237" t="n">
        <v>23.26</v>
      </c>
      <c r="R237" t="n">
        <v>36.04</v>
      </c>
      <c r="S237" t="n">
        <v>77.87</v>
      </c>
      <c r="T237" t="n">
        <v>98.3</v>
      </c>
      <c r="U237" t="n">
        <v>21.17</v>
      </c>
      <c r="V237" t="inlineStr">
        <is>
          <t>Type I – Tropical Monsoon (PAGASA)</t>
        </is>
      </c>
      <c r="W237" t="inlineStr">
        <is>
          <t>Dry (Cool)</t>
        </is>
      </c>
      <c r="X237" t="inlineStr">
        <is>
          <t>Wet</t>
        </is>
      </c>
      <c r="Y237" t="inlineStr">
        <is>
          <t>Sandy Loam</t>
        </is>
      </c>
      <c r="Z237" t="inlineStr">
        <is>
          <t>Flat / Lowland</t>
        </is>
      </c>
      <c r="AA237" t="n">
        <v>30</v>
      </c>
      <c r="AB237" t="inlineStr">
        <is>
          <t>Tagamusing River</t>
        </is>
      </c>
      <c r="AC237" t="n">
        <v>504</v>
      </c>
      <c r="AD237" t="n">
        <v>3.4</v>
      </c>
      <c r="AE237" t="n">
        <v>32.1</v>
      </c>
      <c r="AF237" t="n">
        <v>115</v>
      </c>
      <c r="AG237" t="inlineStr">
        <is>
          <t>Transplanting (Pindot) or Direct Seeding (Pinaghandaan)</t>
        </is>
      </c>
      <c r="AH237" t="inlineStr">
        <is>
          <t>Conventional Tillage: 2 plowings + 2 harrowings; soil workable when moist</t>
        </is>
      </c>
      <c r="AI237" t="inlineStr">
        <is>
          <t>Intermittent irrigation (Alternate Wetting and Drying — AWD); moderate retention</t>
        </is>
      </c>
      <c r="AJ237" t="n">
        <v>26.4</v>
      </c>
      <c r="AK237" t="n">
        <v>131.1</v>
      </c>
      <c r="AL237" t="n">
        <v>4.97</v>
      </c>
      <c r="AM237" t="inlineStr">
        <is>
          <t>No</t>
        </is>
      </c>
      <c r="AN237" t="inlineStr">
        <is>
          <t>Observed harvest</t>
        </is>
      </c>
    </row>
    <row r="238">
      <c r="A238" t="inlineStr">
        <is>
          <t>Palay</t>
        </is>
      </c>
      <c r="B238" t="inlineStr">
        <is>
          <t>San Pablo</t>
        </is>
      </c>
      <c r="C238" t="inlineStr">
        <is>
          <t>DS 2019</t>
        </is>
      </c>
      <c r="D238" t="inlineStr">
        <is>
          <t>January</t>
        </is>
      </c>
      <c r="E238" t="inlineStr">
        <is>
          <t>2019</t>
        </is>
      </c>
      <c r="F238" t="inlineStr">
        <is>
          <t>May</t>
        </is>
      </c>
      <c r="G238" t="inlineStr">
        <is>
          <t>2019</t>
        </is>
      </c>
      <c r="H238" t="n">
        <v>1.35</v>
      </c>
      <c r="I238" t="n">
        <v>24.09</v>
      </c>
      <c r="J238" t="n">
        <v>15.4</v>
      </c>
      <c r="K238" t="n">
        <v>31.54</v>
      </c>
      <c r="L238" t="n">
        <v>75.31</v>
      </c>
      <c r="M238" t="n">
        <v>98.76000000000001</v>
      </c>
      <c r="N238" t="n">
        <v>18.07</v>
      </c>
      <c r="O238" t="n">
        <v>6.19</v>
      </c>
      <c r="P238" t="n">
        <v>28.48</v>
      </c>
      <c r="Q238" t="n">
        <v>23.26</v>
      </c>
      <c r="R238" t="n">
        <v>36.04</v>
      </c>
      <c r="S238" t="n">
        <v>77.87</v>
      </c>
      <c r="T238" t="n">
        <v>98.3</v>
      </c>
      <c r="U238" t="n">
        <v>21.17</v>
      </c>
      <c r="V238" t="inlineStr">
        <is>
          <t>Type I – Tropical Monsoon (PAGASA)</t>
        </is>
      </c>
      <c r="W238" t="inlineStr">
        <is>
          <t>Dry (Cool)</t>
        </is>
      </c>
      <c r="X238" t="inlineStr">
        <is>
          <t>Wet</t>
        </is>
      </c>
      <c r="Y238" t="inlineStr">
        <is>
          <t>Sandy Loam</t>
        </is>
      </c>
      <c r="Z238" t="inlineStr">
        <is>
          <t>Flat / Lowland</t>
        </is>
      </c>
      <c r="AA238" t="n">
        <v>30</v>
      </c>
      <c r="AB238" t="inlineStr">
        <is>
          <t>San Pablo Creek</t>
        </is>
      </c>
      <c r="AC238" t="n">
        <v>215.04</v>
      </c>
      <c r="AD238" t="n">
        <v>2</v>
      </c>
      <c r="AE238" t="n">
        <v>32.1</v>
      </c>
      <c r="AF238" t="n">
        <v>90</v>
      </c>
      <c r="AG238" t="inlineStr">
        <is>
          <t>Transplanting (Pindot) or Direct Seeding (Pinaghandaan)</t>
        </is>
      </c>
      <c r="AH238" t="inlineStr">
        <is>
          <t>Conventional Tillage: 2 plowings + 2 harrowings; soil workable when moist</t>
        </is>
      </c>
      <c r="AI238" t="inlineStr">
        <is>
          <t>Intermittent irrigation (Alternate Wetting and Drying — AWD); moderate retention</t>
        </is>
      </c>
      <c r="AJ238" t="n">
        <v>7</v>
      </c>
      <c r="AK238" t="n">
        <v>31.99</v>
      </c>
      <c r="AL238" t="n">
        <v>4.57</v>
      </c>
      <c r="AM238" t="inlineStr">
        <is>
          <t>No</t>
        </is>
      </c>
      <c r="AN238" t="inlineStr">
        <is>
          <t>Observed harvest</t>
        </is>
      </c>
    </row>
    <row r="239">
      <c r="A239" t="inlineStr">
        <is>
          <t>Palay</t>
        </is>
      </c>
      <c r="B239" t="inlineStr">
        <is>
          <t>Santiago</t>
        </is>
      </c>
      <c r="C239" t="inlineStr">
        <is>
          <t>DS 2019</t>
        </is>
      </c>
      <c r="D239" t="inlineStr">
        <is>
          <t>January</t>
        </is>
      </c>
      <c r="E239" t="inlineStr">
        <is>
          <t>2019</t>
        </is>
      </c>
      <c r="F239" t="inlineStr">
        <is>
          <t>May</t>
        </is>
      </c>
      <c r="G239" t="inlineStr">
        <is>
          <t>2019</t>
        </is>
      </c>
      <c r="H239" t="n">
        <v>1.35</v>
      </c>
      <c r="I239" t="n">
        <v>24.09</v>
      </c>
      <c r="J239" t="n">
        <v>15.4</v>
      </c>
      <c r="K239" t="n">
        <v>31.54</v>
      </c>
      <c r="L239" t="n">
        <v>75.31</v>
      </c>
      <c r="M239" t="n">
        <v>98.76000000000001</v>
      </c>
      <c r="N239" t="n">
        <v>18.07</v>
      </c>
      <c r="O239" t="n">
        <v>6.19</v>
      </c>
      <c r="P239" t="n">
        <v>28.48</v>
      </c>
      <c r="Q239" t="n">
        <v>23.26</v>
      </c>
      <c r="R239" t="n">
        <v>36.04</v>
      </c>
      <c r="S239" t="n">
        <v>77.87</v>
      </c>
      <c r="T239" t="n">
        <v>98.3</v>
      </c>
      <c r="U239" t="n">
        <v>21.17</v>
      </c>
      <c r="V239" t="inlineStr">
        <is>
          <t>Type I – Tropical Monsoon (PAGASA)</t>
        </is>
      </c>
      <c r="W239" t="inlineStr">
        <is>
          <t>Dry (Cool)</t>
        </is>
      </c>
      <c r="X239" t="inlineStr">
        <is>
          <t>Wet</t>
        </is>
      </c>
      <c r="Y239" t="inlineStr">
        <is>
          <t>Silty Clay Loam</t>
        </is>
      </c>
      <c r="Z239" t="inlineStr">
        <is>
          <t>Flat / Lowland</t>
        </is>
      </c>
      <c r="AA239" t="n">
        <v>30</v>
      </c>
      <c r="AB239" t="inlineStr">
        <is>
          <t>—</t>
        </is>
      </c>
      <c r="AC239" t="n">
        <v>283.08</v>
      </c>
      <c r="AD239" t="n">
        <v>2</v>
      </c>
      <c r="AE239" t="n">
        <v>85.44</v>
      </c>
      <c r="AF239" t="n">
        <v>18</v>
      </c>
      <c r="AG239" t="inlineStr">
        <is>
          <t>Transplanting (Pindot) — optimal for clay-loam paddy fields</t>
        </is>
      </c>
      <c r="AH239" t="inlineStr">
        <is>
          <t>Wet Tillage (Puddling): 2 plowings + thorough harrowing under flooded condition</t>
        </is>
      </c>
      <c r="AI239" t="inlineStr">
        <is>
          <t>Continuous flooding 2–5 cm depth during vegetative stage; drain 2 weeks before harvest</t>
        </is>
      </c>
      <c r="AJ239" t="n">
        <v>5.57</v>
      </c>
      <c r="AK239" t="n">
        <v>34.76</v>
      </c>
      <c r="AL239" t="n">
        <v>6.24</v>
      </c>
      <c r="AM239" t="inlineStr">
        <is>
          <t>No</t>
        </is>
      </c>
      <c r="AN239" t="inlineStr">
        <is>
          <t>Observed harvest</t>
        </is>
      </c>
    </row>
    <row r="240">
      <c r="A240" t="inlineStr">
        <is>
          <t>Palay</t>
        </is>
      </c>
      <c r="B240" t="inlineStr">
        <is>
          <t>Sta. Maria Norte</t>
        </is>
      </c>
      <c r="C240" t="inlineStr">
        <is>
          <t>DS 2019</t>
        </is>
      </c>
      <c r="D240" t="inlineStr">
        <is>
          <t>January</t>
        </is>
      </c>
      <c r="E240" t="inlineStr">
        <is>
          <t>2019</t>
        </is>
      </c>
      <c r="F240" t="inlineStr">
        <is>
          <t>May</t>
        </is>
      </c>
      <c r="G240" t="inlineStr">
        <is>
          <t>2019</t>
        </is>
      </c>
      <c r="H240" t="n">
        <v>1.35</v>
      </c>
      <c r="I240" t="n">
        <v>24.09</v>
      </c>
      <c r="J240" t="n">
        <v>15.4</v>
      </c>
      <c r="K240" t="n">
        <v>31.54</v>
      </c>
      <c r="L240" t="n">
        <v>75.31</v>
      </c>
      <c r="M240" t="n">
        <v>98.76000000000001</v>
      </c>
      <c r="N240" t="n">
        <v>18.07</v>
      </c>
      <c r="O240" t="n">
        <v>6.19</v>
      </c>
      <c r="P240" t="n">
        <v>28.48</v>
      </c>
      <c r="Q240" t="n">
        <v>23.26</v>
      </c>
      <c r="R240" t="n">
        <v>36.04</v>
      </c>
      <c r="S240" t="n">
        <v>77.87</v>
      </c>
      <c r="T240" t="n">
        <v>98.3</v>
      </c>
      <c r="U240" t="n">
        <v>21.17</v>
      </c>
      <c r="V240" t="inlineStr">
        <is>
          <t>Type I – Tropical Monsoon (PAGASA)</t>
        </is>
      </c>
      <c r="W240" t="inlineStr">
        <is>
          <t>Dry (Cool)</t>
        </is>
      </c>
      <c r="X240" t="inlineStr">
        <is>
          <t>Wet</t>
        </is>
      </c>
      <c r="Y240" t="inlineStr">
        <is>
          <t>Sandy Loam</t>
        </is>
      </c>
      <c r="Z240" t="inlineStr">
        <is>
          <t>Flat / Lowland</t>
        </is>
      </c>
      <c r="AA240" t="n">
        <v>30</v>
      </c>
      <c r="AB240" t="inlineStr">
        <is>
          <t>Tagamusing River</t>
        </is>
      </c>
      <c r="AC240" t="n">
        <v>157.08</v>
      </c>
      <c r="AD240" t="n">
        <v>2</v>
      </c>
      <c r="AE240" t="n">
        <v>32.1</v>
      </c>
      <c r="AF240" t="n">
        <v>2.57</v>
      </c>
      <c r="AG240" t="inlineStr">
        <is>
          <t>Transplanting (Pindot) or Direct Seeding (Pinaghandaan)</t>
        </is>
      </c>
      <c r="AH240" t="inlineStr">
        <is>
          <t>Conventional Tillage: 2 plowings + 2 harrowings; soil workable when moist</t>
        </is>
      </c>
      <c r="AI240" t="inlineStr">
        <is>
          <t>Intermittent irrigation (Alternate Wetting and Drying — AWD); moderate retention</t>
        </is>
      </c>
      <c r="AJ240" t="n">
        <v>0.5</v>
      </c>
      <c r="AK240" t="n">
        <v>4</v>
      </c>
      <c r="AL240" t="n">
        <v>8</v>
      </c>
      <c r="AM240" t="inlineStr">
        <is>
          <t>No</t>
        </is>
      </c>
      <c r="AN240" t="inlineStr">
        <is>
          <t>Observed harvest</t>
        </is>
      </c>
    </row>
    <row r="241">
      <c r="A241" t="inlineStr">
        <is>
          <t>Palay</t>
        </is>
      </c>
      <c r="B241" t="inlineStr">
        <is>
          <t>Sumabnit</t>
        </is>
      </c>
      <c r="C241" t="inlineStr">
        <is>
          <t>DS 2019</t>
        </is>
      </c>
      <c r="D241" t="inlineStr">
        <is>
          <t>January</t>
        </is>
      </c>
      <c r="E241" t="inlineStr">
        <is>
          <t>2019</t>
        </is>
      </c>
      <c r="F241" t="inlineStr">
        <is>
          <t>May</t>
        </is>
      </c>
      <c r="G241" t="inlineStr">
        <is>
          <t>2019</t>
        </is>
      </c>
      <c r="H241" t="n">
        <v>1.35</v>
      </c>
      <c r="I241" t="n">
        <v>24.09</v>
      </c>
      <c r="J241" t="n">
        <v>15.4</v>
      </c>
      <c r="K241" t="n">
        <v>31.54</v>
      </c>
      <c r="L241" t="n">
        <v>75.31</v>
      </c>
      <c r="M241" t="n">
        <v>98.76000000000001</v>
      </c>
      <c r="N241" t="n">
        <v>18.07</v>
      </c>
      <c r="O241" t="n">
        <v>6.19</v>
      </c>
      <c r="P241" t="n">
        <v>28.48</v>
      </c>
      <c r="Q241" t="n">
        <v>23.26</v>
      </c>
      <c r="R241" t="n">
        <v>36.04</v>
      </c>
      <c r="S241" t="n">
        <v>77.87</v>
      </c>
      <c r="T241" t="n">
        <v>98.3</v>
      </c>
      <c r="U241" t="n">
        <v>21.17</v>
      </c>
      <c r="V241" t="inlineStr">
        <is>
          <t>Type I – Tropical Monsoon (PAGASA)</t>
        </is>
      </c>
      <c r="W241" t="inlineStr">
        <is>
          <t>Dry (Cool)</t>
        </is>
      </c>
      <c r="X241" t="inlineStr">
        <is>
          <t>Wet</t>
        </is>
      </c>
      <c r="Y241" t="inlineStr">
        <is>
          <t>Silty Clay Loam / Fine Sandy Loam</t>
        </is>
      </c>
      <c r="Z241" t="inlineStr">
        <is>
          <t>Flat / Lowland</t>
        </is>
      </c>
      <c r="AA241" t="n">
        <v>30</v>
      </c>
      <c r="AB241" t="inlineStr">
        <is>
          <t>Tagamusing River</t>
        </is>
      </c>
      <c r="AC241" t="n">
        <v>406.56</v>
      </c>
      <c r="AD241" t="n">
        <v>1.45</v>
      </c>
      <c r="AE241" t="n">
        <v>81.66</v>
      </c>
      <c r="AF241" t="n">
        <v>60</v>
      </c>
      <c r="AG241" t="inlineStr">
        <is>
          <t>Transplanting (Pindot)</t>
        </is>
      </c>
      <c r="AH241" t="inlineStr">
        <is>
          <t>Minimum Tillage (avoid compaction; sandy structure fragile)</t>
        </is>
      </c>
      <c r="AI241" t="inlineStr">
        <is>
          <t>Continuous flooding or frequent irrigation; high percolation risk</t>
        </is>
      </c>
      <c r="AJ241" t="n">
        <v>5.45</v>
      </c>
      <c r="AK241" t="n">
        <v>28.38</v>
      </c>
      <c r="AL241" t="n">
        <v>5.21</v>
      </c>
      <c r="AM241" t="inlineStr">
        <is>
          <t>No</t>
        </is>
      </c>
      <c r="AN241" t="inlineStr">
        <is>
          <t>Observed harvest</t>
        </is>
      </c>
    </row>
    <row r="242">
      <c r="A242" t="inlineStr">
        <is>
          <t>Palay</t>
        </is>
      </c>
      <c r="B242" t="inlineStr">
        <is>
          <t>Tabuyoc</t>
        </is>
      </c>
      <c r="C242" t="inlineStr">
        <is>
          <t>DS 2019</t>
        </is>
      </c>
      <c r="D242" t="inlineStr">
        <is>
          <t>January</t>
        </is>
      </c>
      <c r="E242" t="inlineStr">
        <is>
          <t>2019</t>
        </is>
      </c>
      <c r="F242" t="inlineStr">
        <is>
          <t>May</t>
        </is>
      </c>
      <c r="G242" t="inlineStr">
        <is>
          <t>2019</t>
        </is>
      </c>
      <c r="H242" t="n">
        <v>1.35</v>
      </c>
      <c r="I242" t="n">
        <v>24.09</v>
      </c>
      <c r="J242" t="n">
        <v>15.4</v>
      </c>
      <c r="K242" t="n">
        <v>31.54</v>
      </c>
      <c r="L242" t="n">
        <v>75.31</v>
      </c>
      <c r="M242" t="n">
        <v>98.76000000000001</v>
      </c>
      <c r="N242" t="n">
        <v>18.07</v>
      </c>
      <c r="O242" t="n">
        <v>6.19</v>
      </c>
      <c r="P242" t="n">
        <v>28.48</v>
      </c>
      <c r="Q242" t="n">
        <v>23.26</v>
      </c>
      <c r="R242" t="n">
        <v>36.04</v>
      </c>
      <c r="S242" t="n">
        <v>77.87</v>
      </c>
      <c r="T242" t="n">
        <v>98.3</v>
      </c>
      <c r="U242" t="n">
        <v>21.17</v>
      </c>
      <c r="V242" t="inlineStr">
        <is>
          <t>Type I – Tropical Monsoon (PAGASA)</t>
        </is>
      </c>
      <c r="W242" t="inlineStr">
        <is>
          <t>Dry (Cool)</t>
        </is>
      </c>
      <c r="X242" t="inlineStr">
        <is>
          <t>Wet</t>
        </is>
      </c>
      <c r="Y242" t="inlineStr">
        <is>
          <t>Silty Clay Loam</t>
        </is>
      </c>
      <c r="Z242" t="inlineStr">
        <is>
          <t>Flat / Lowland</t>
        </is>
      </c>
      <c r="AA242" t="n">
        <v>30</v>
      </c>
      <c r="AB242" t="inlineStr">
        <is>
          <t>—</t>
        </is>
      </c>
      <c r="AC242" t="n">
        <v>277.2</v>
      </c>
      <c r="AD242" t="n">
        <v>1.55</v>
      </c>
      <c r="AE242" t="n">
        <v>55.64</v>
      </c>
      <c r="AF242" t="n">
        <v>110</v>
      </c>
      <c r="AG242" t="inlineStr">
        <is>
          <t>Transplanting (Pindot) — optimal for clay-loam paddy fields</t>
        </is>
      </c>
      <c r="AH242" t="inlineStr">
        <is>
          <t>Wet Tillage (Puddling): 2 plowings + thorough harrowing under flooded condition</t>
        </is>
      </c>
      <c r="AI242" t="inlineStr">
        <is>
          <t>Continuous flooding 2–5 cm depth during vegetative stage; drain 2 weeks before harvest</t>
        </is>
      </c>
      <c r="AJ242" t="n">
        <v>12.55</v>
      </c>
      <c r="AK242" t="n">
        <v>68.22</v>
      </c>
      <c r="AL242" t="n">
        <v>5.44</v>
      </c>
      <c r="AM242" t="inlineStr">
        <is>
          <t>No</t>
        </is>
      </c>
      <c r="AN242" t="inlineStr">
        <is>
          <t>Observed harvest</t>
        </is>
      </c>
    </row>
    <row r="243">
      <c r="A243" t="inlineStr">
        <is>
          <t>Palay</t>
        </is>
      </c>
      <c r="B243" t="inlineStr">
        <is>
          <t>Balangobong</t>
        </is>
      </c>
      <c r="C243" t="inlineStr">
        <is>
          <t>DS 2021</t>
        </is>
      </c>
      <c r="D243" t="inlineStr">
        <is>
          <t>January</t>
        </is>
      </c>
      <c r="E243" t="inlineStr">
        <is>
          <t>2021</t>
        </is>
      </c>
      <c r="F243" t="inlineStr">
        <is>
          <t>May</t>
        </is>
      </c>
      <c r="G243" t="inlineStr">
        <is>
          <t>2021</t>
        </is>
      </c>
      <c r="H243" t="n">
        <v>3.08</v>
      </c>
      <c r="I243" t="n">
        <v>23.98</v>
      </c>
      <c r="J243" t="n">
        <v>16.07</v>
      </c>
      <c r="K243" t="n">
        <v>30.79</v>
      </c>
      <c r="L243" t="n">
        <v>82.79000000000001</v>
      </c>
      <c r="M243" t="n">
        <v>98.45</v>
      </c>
      <c r="N243" t="n">
        <v>15.82</v>
      </c>
      <c r="O243" t="n">
        <v>9.140000000000001</v>
      </c>
      <c r="P243" t="n">
        <v>27.33</v>
      </c>
      <c r="Q243" t="n">
        <v>22.66</v>
      </c>
      <c r="R243" t="n">
        <v>35.01</v>
      </c>
      <c r="S243" t="n">
        <v>80.26000000000001</v>
      </c>
      <c r="T243" t="n">
        <v>98.27</v>
      </c>
      <c r="U243" t="n">
        <v>20.46</v>
      </c>
      <c r="V243" t="inlineStr">
        <is>
          <t>Type I – Tropical Monsoon (PAGASA)</t>
        </is>
      </c>
      <c r="W243" t="inlineStr">
        <is>
          <t>Dry (Cool)</t>
        </is>
      </c>
      <c r="X243" t="inlineStr">
        <is>
          <t>Wet</t>
        </is>
      </c>
      <c r="Y243" t="inlineStr">
        <is>
          <t>Silty Clay Loam</t>
        </is>
      </c>
      <c r="Z243" t="inlineStr">
        <is>
          <t>Flat / Lowland</t>
        </is>
      </c>
      <c r="AA243" t="n">
        <v>30</v>
      </c>
      <c r="AB243" t="inlineStr">
        <is>
          <t>—</t>
        </is>
      </c>
      <c r="AC243" t="n">
        <v>281.4</v>
      </c>
      <c r="AD243" t="n">
        <v>1.6</v>
      </c>
      <c r="AE243" t="n">
        <v>26.4</v>
      </c>
      <c r="AF243" t="n">
        <v>1.6</v>
      </c>
      <c r="AG243" t="inlineStr">
        <is>
          <t>Transplanting (Pindot) — optimal for clay-loam paddy fields</t>
        </is>
      </c>
      <c r="AH243" t="inlineStr">
        <is>
          <t>Wet Tillage (Puddling): 2 plowings + thorough harrowing under flooded condition</t>
        </is>
      </c>
      <c r="AI243" t="inlineStr">
        <is>
          <t>Continuous flooding 2–5 cm depth during vegetative stage; drain 2 weeks before harvest</t>
        </is>
      </c>
      <c r="AJ243" t="n">
        <v>1.6</v>
      </c>
      <c r="AK243" t="n">
        <v>8.24</v>
      </c>
      <c r="AL243" t="n">
        <v>5.15</v>
      </c>
      <c r="AM243" t="inlineStr">
        <is>
          <t>No</t>
        </is>
      </c>
      <c r="AN243" t="inlineStr">
        <is>
          <t>Observed harvest</t>
        </is>
      </c>
    </row>
    <row r="244">
      <c r="A244" t="inlineStr">
        <is>
          <t>Palay</t>
        </is>
      </c>
      <c r="B244" t="inlineStr">
        <is>
          <t>Bugayong</t>
        </is>
      </c>
      <c r="C244" t="inlineStr">
        <is>
          <t>DS 2021</t>
        </is>
      </c>
      <c r="D244" t="inlineStr">
        <is>
          <t>January</t>
        </is>
      </c>
      <c r="E244" t="inlineStr">
        <is>
          <t>2021</t>
        </is>
      </c>
      <c r="F244" t="inlineStr">
        <is>
          <t>May</t>
        </is>
      </c>
      <c r="G244" t="inlineStr">
        <is>
          <t>2021</t>
        </is>
      </c>
      <c r="H244" t="n">
        <v>3.08</v>
      </c>
      <c r="I244" t="n">
        <v>23.98</v>
      </c>
      <c r="J244" t="n">
        <v>16.07</v>
      </c>
      <c r="K244" t="n">
        <v>30.79</v>
      </c>
      <c r="L244" t="n">
        <v>82.79000000000001</v>
      </c>
      <c r="M244" t="n">
        <v>98.45</v>
      </c>
      <c r="N244" t="n">
        <v>15.82</v>
      </c>
      <c r="O244" t="n">
        <v>9.140000000000001</v>
      </c>
      <c r="P244" t="n">
        <v>27.33</v>
      </c>
      <c r="Q244" t="n">
        <v>22.66</v>
      </c>
      <c r="R244" t="n">
        <v>35.01</v>
      </c>
      <c r="S244" t="n">
        <v>80.26000000000001</v>
      </c>
      <c r="T244" t="n">
        <v>98.27</v>
      </c>
      <c r="U244" t="n">
        <v>20.46</v>
      </c>
      <c r="V244" t="inlineStr">
        <is>
          <t>Type I – Tropical Monsoon (PAGASA)</t>
        </is>
      </c>
      <c r="W244" t="inlineStr">
        <is>
          <t>Dry (Cool)</t>
        </is>
      </c>
      <c r="X244" t="inlineStr">
        <is>
          <t>Wet</t>
        </is>
      </c>
      <c r="Y244" t="inlineStr">
        <is>
          <t>Sandy Loam / Silty Clay Loam</t>
        </is>
      </c>
      <c r="Z244" t="inlineStr">
        <is>
          <t>Flat / Lowland</t>
        </is>
      </c>
      <c r="AA244" t="n">
        <v>30</v>
      </c>
      <c r="AB244" t="inlineStr">
        <is>
          <t>Aloragat River</t>
        </is>
      </c>
      <c r="AC244" t="n">
        <v>346.08</v>
      </c>
      <c r="AD244" t="n">
        <v>1</v>
      </c>
      <c r="AE244" t="n">
        <v>37.8</v>
      </c>
      <c r="AF244" t="n">
        <v>1</v>
      </c>
      <c r="AG244" t="inlineStr">
        <is>
          <t>Transplanting (Pindot) — recommended; Direct Seeding possible in dry season</t>
        </is>
      </c>
      <c r="AH244" t="inlineStr">
        <is>
          <t>Conventional Tillage: 2 plowings + harrowing; puddle thoroughly for transplanting</t>
        </is>
      </c>
      <c r="AI244" t="inlineStr">
        <is>
          <t>Intermittent to continuous flooding; manage according to drainage section present</t>
        </is>
      </c>
      <c r="AJ244" t="n">
        <v>1</v>
      </c>
      <c r="AK244" t="n">
        <v>4.5</v>
      </c>
      <c r="AL244" t="n">
        <v>4.5</v>
      </c>
      <c r="AM244" t="inlineStr">
        <is>
          <t>No</t>
        </is>
      </c>
      <c r="AN244" t="inlineStr">
        <is>
          <t>Observed harvest</t>
        </is>
      </c>
    </row>
    <row r="245">
      <c r="A245" t="inlineStr">
        <is>
          <t>Palay</t>
        </is>
      </c>
      <c r="B245" t="inlineStr">
        <is>
          <t>Camanggaan</t>
        </is>
      </c>
      <c r="C245" t="inlineStr">
        <is>
          <t>DS 2021</t>
        </is>
      </c>
      <c r="D245" t="inlineStr">
        <is>
          <t>January</t>
        </is>
      </c>
      <c r="E245" t="inlineStr">
        <is>
          <t>2021</t>
        </is>
      </c>
      <c r="F245" t="inlineStr">
        <is>
          <t>May</t>
        </is>
      </c>
      <c r="G245" t="inlineStr">
        <is>
          <t>2021</t>
        </is>
      </c>
      <c r="H245" t="n">
        <v>3.08</v>
      </c>
      <c r="I245" t="n">
        <v>23.98</v>
      </c>
      <c r="J245" t="n">
        <v>16.07</v>
      </c>
      <c r="K245" t="n">
        <v>30.79</v>
      </c>
      <c r="L245" t="n">
        <v>82.79000000000001</v>
      </c>
      <c r="M245" t="n">
        <v>98.45</v>
      </c>
      <c r="N245" t="n">
        <v>15.82</v>
      </c>
      <c r="O245" t="n">
        <v>9.140000000000001</v>
      </c>
      <c r="P245" t="n">
        <v>27.33</v>
      </c>
      <c r="Q245" t="n">
        <v>22.66</v>
      </c>
      <c r="R245" t="n">
        <v>35.01</v>
      </c>
      <c r="S245" t="n">
        <v>80.26000000000001</v>
      </c>
      <c r="T245" t="n">
        <v>98.27</v>
      </c>
      <c r="U245" t="n">
        <v>20.46</v>
      </c>
      <c r="V245" t="inlineStr">
        <is>
          <t>Type I – Tropical Monsoon (PAGASA)</t>
        </is>
      </c>
      <c r="W245" t="inlineStr">
        <is>
          <t>Dry (Cool)</t>
        </is>
      </c>
      <c r="X245" t="inlineStr">
        <is>
          <t>Wet</t>
        </is>
      </c>
      <c r="Y245" t="inlineStr">
        <is>
          <t>Sandy Loam</t>
        </is>
      </c>
      <c r="Z245" t="inlineStr">
        <is>
          <t>Flat / Lowland</t>
        </is>
      </c>
      <c r="AA245" t="n">
        <v>30</v>
      </c>
      <c r="AB245" t="inlineStr">
        <is>
          <t>—</t>
        </is>
      </c>
      <c r="AC245" t="n">
        <v>244.44</v>
      </c>
      <c r="AD245" t="n">
        <v>2.85</v>
      </c>
      <c r="AE245" t="n">
        <v>101.98</v>
      </c>
      <c r="AF245" t="n">
        <v>2.85</v>
      </c>
      <c r="AG245" t="inlineStr">
        <is>
          <t>Transplanting (Pindot) or Direct Seeding (Pinaghandaan)</t>
        </is>
      </c>
      <c r="AH245" t="inlineStr">
        <is>
          <t>Conventional Tillage: 2 plowings + 2 harrowings; soil workable when moist</t>
        </is>
      </c>
      <c r="AI245" t="inlineStr">
        <is>
          <t>Intermittent irrigation (Alternate Wetting and Drying — AWD); moderate retention</t>
        </is>
      </c>
      <c r="AJ245" t="n">
        <v>2.85</v>
      </c>
      <c r="AK245" t="n">
        <v>16.13</v>
      </c>
      <c r="AL245" t="n">
        <v>5.66</v>
      </c>
      <c r="AM245" t="inlineStr">
        <is>
          <t>No</t>
        </is>
      </c>
      <c r="AN245" t="inlineStr">
        <is>
          <t>Observed harvest</t>
        </is>
      </c>
    </row>
    <row r="246">
      <c r="A246" t="inlineStr">
        <is>
          <t>Palay</t>
        </is>
      </c>
      <c r="B246" t="inlineStr">
        <is>
          <t>Capas</t>
        </is>
      </c>
      <c r="C246" t="inlineStr">
        <is>
          <t>DS 2021</t>
        </is>
      </c>
      <c r="D246" t="inlineStr">
        <is>
          <t>January</t>
        </is>
      </c>
      <c r="E246" t="inlineStr">
        <is>
          <t>2021</t>
        </is>
      </c>
      <c r="F246" t="inlineStr">
        <is>
          <t>May</t>
        </is>
      </c>
      <c r="G246" t="inlineStr">
        <is>
          <t>2021</t>
        </is>
      </c>
      <c r="H246" t="n">
        <v>3.08</v>
      </c>
      <c r="I246" t="n">
        <v>23.98</v>
      </c>
      <c r="J246" t="n">
        <v>16.07</v>
      </c>
      <c r="K246" t="n">
        <v>30.79</v>
      </c>
      <c r="L246" t="n">
        <v>82.79000000000001</v>
      </c>
      <c r="M246" t="n">
        <v>98.45</v>
      </c>
      <c r="N246" t="n">
        <v>15.82</v>
      </c>
      <c r="O246" t="n">
        <v>9.140000000000001</v>
      </c>
      <c r="P246" t="n">
        <v>27.33</v>
      </c>
      <c r="Q246" t="n">
        <v>22.66</v>
      </c>
      <c r="R246" t="n">
        <v>35.01</v>
      </c>
      <c r="S246" t="n">
        <v>80.26000000000001</v>
      </c>
      <c r="T246" t="n">
        <v>98.27</v>
      </c>
      <c r="U246" t="n">
        <v>20.46</v>
      </c>
      <c r="V246" t="inlineStr">
        <is>
          <t>Type I – Tropical Monsoon (PAGASA)</t>
        </is>
      </c>
      <c r="W246" t="inlineStr">
        <is>
          <t>Dry (Cool)</t>
        </is>
      </c>
      <c r="X246" t="inlineStr">
        <is>
          <t>Wet</t>
        </is>
      </c>
      <c r="Y246" t="inlineStr">
        <is>
          <t>Sandy Loam</t>
        </is>
      </c>
      <c r="Z246" t="inlineStr">
        <is>
          <t>Flat / Lowland</t>
        </is>
      </c>
      <c r="AA246" t="n">
        <v>30</v>
      </c>
      <c r="AB246" t="inlineStr">
        <is>
          <t>—</t>
        </is>
      </c>
      <c r="AC246" t="n">
        <v>377.16</v>
      </c>
      <c r="AD246" t="n">
        <v>3.8</v>
      </c>
      <c r="AE246" t="n">
        <v>154.52</v>
      </c>
      <c r="AF246" t="n">
        <v>3.8</v>
      </c>
      <c r="AG246" t="inlineStr">
        <is>
          <t>Transplanting (Pindot) or Direct Seeding (Pinaghandaan)</t>
        </is>
      </c>
      <c r="AH246" t="inlineStr">
        <is>
          <t>Conventional Tillage: 2 plowings + 2 harrowings; soil workable when moist</t>
        </is>
      </c>
      <c r="AI246" t="inlineStr">
        <is>
          <t>Intermittent irrigation (Alternate Wetting and Drying — AWD); moderate retention</t>
        </is>
      </c>
      <c r="AJ246" t="n">
        <v>3.8</v>
      </c>
      <c r="AK246" t="n">
        <v>19.77</v>
      </c>
      <c r="AL246" t="n">
        <v>5.2</v>
      </c>
      <c r="AM246" t="inlineStr">
        <is>
          <t>No</t>
        </is>
      </c>
      <c r="AN246" t="inlineStr">
        <is>
          <t>Observed harvest</t>
        </is>
      </c>
    </row>
    <row r="247">
      <c r="A247" t="inlineStr">
        <is>
          <t>Palay</t>
        </is>
      </c>
      <c r="B247" t="inlineStr">
        <is>
          <t>Mangkasuy</t>
        </is>
      </c>
      <c r="C247" t="inlineStr">
        <is>
          <t>DS 2021</t>
        </is>
      </c>
      <c r="D247" t="inlineStr">
        <is>
          <t>January</t>
        </is>
      </c>
      <c r="E247" t="inlineStr">
        <is>
          <t>2021</t>
        </is>
      </c>
      <c r="F247" t="inlineStr">
        <is>
          <t>May</t>
        </is>
      </c>
      <c r="G247" t="inlineStr">
        <is>
          <t>2021</t>
        </is>
      </c>
      <c r="H247" t="n">
        <v>3.08</v>
      </c>
      <c r="I247" t="n">
        <v>23.98</v>
      </c>
      <c r="J247" t="n">
        <v>16.07</v>
      </c>
      <c r="K247" t="n">
        <v>30.79</v>
      </c>
      <c r="L247" t="n">
        <v>82.79000000000001</v>
      </c>
      <c r="M247" t="n">
        <v>98.45</v>
      </c>
      <c r="N247" t="n">
        <v>15.82</v>
      </c>
      <c r="O247" t="n">
        <v>9.140000000000001</v>
      </c>
      <c r="P247" t="n">
        <v>27.33</v>
      </c>
      <c r="Q247" t="n">
        <v>22.66</v>
      </c>
      <c r="R247" t="n">
        <v>35.01</v>
      </c>
      <c r="S247" t="n">
        <v>80.26000000000001</v>
      </c>
      <c r="T247" t="n">
        <v>98.27</v>
      </c>
      <c r="U247" t="n">
        <v>20.46</v>
      </c>
      <c r="V247" t="inlineStr">
        <is>
          <t>Type I – Tropical Monsoon (PAGASA)</t>
        </is>
      </c>
      <c r="W247" t="inlineStr">
        <is>
          <t>Dry (Cool)</t>
        </is>
      </c>
      <c r="X247" t="inlineStr">
        <is>
          <t>Wet</t>
        </is>
      </c>
      <c r="Y247" t="inlineStr">
        <is>
          <t>Sandy Loam</t>
        </is>
      </c>
      <c r="Z247" t="inlineStr">
        <is>
          <t>Flat / Lowland</t>
        </is>
      </c>
      <c r="AA247" t="n">
        <v>30</v>
      </c>
      <c r="AB247" t="inlineStr">
        <is>
          <t>Tagamusing River</t>
        </is>
      </c>
      <c r="AC247" t="n">
        <v>802.2</v>
      </c>
      <c r="AD247" t="n">
        <v>2.95</v>
      </c>
      <c r="AE247" t="n">
        <v>164</v>
      </c>
      <c r="AF247" t="n">
        <v>2.95</v>
      </c>
      <c r="AG247" t="inlineStr">
        <is>
          <t>Transplanting (Pindot) or Direct Seeding (Pinaghandaan)</t>
        </is>
      </c>
      <c r="AH247" t="inlineStr">
        <is>
          <t>Conventional Tillage: 2 plowings + 2 harrowings; soil workable when moist</t>
        </is>
      </c>
      <c r="AI247" t="inlineStr">
        <is>
          <t>Intermittent irrigation (Alternate Wetting and Drying — AWD); moderate retention</t>
        </is>
      </c>
      <c r="AJ247" t="n">
        <v>2.95</v>
      </c>
      <c r="AK247" t="n">
        <v>19.38</v>
      </c>
      <c r="AL247" t="n">
        <v>6.57</v>
      </c>
      <c r="AM247" t="inlineStr">
        <is>
          <t>No</t>
        </is>
      </c>
      <c r="AN247" t="inlineStr">
        <is>
          <t>Observed harvest</t>
        </is>
      </c>
    </row>
    <row r="248">
      <c r="A248" t="inlineStr">
        <is>
          <t>Palay</t>
        </is>
      </c>
      <c r="B248" t="inlineStr">
        <is>
          <t>Pasileng Norte</t>
        </is>
      </c>
      <c r="C248" t="inlineStr">
        <is>
          <t>DS 2021</t>
        </is>
      </c>
      <c r="D248" t="inlineStr">
        <is>
          <t>January</t>
        </is>
      </c>
      <c r="E248" t="inlineStr">
        <is>
          <t>2021</t>
        </is>
      </c>
      <c r="F248" t="inlineStr">
        <is>
          <t>May</t>
        </is>
      </c>
      <c r="G248" t="inlineStr">
        <is>
          <t>2021</t>
        </is>
      </c>
      <c r="H248" t="n">
        <v>3.08</v>
      </c>
      <c r="I248" t="n">
        <v>23.98</v>
      </c>
      <c r="J248" t="n">
        <v>16.07</v>
      </c>
      <c r="K248" t="n">
        <v>30.79</v>
      </c>
      <c r="L248" t="n">
        <v>82.79000000000001</v>
      </c>
      <c r="M248" t="n">
        <v>98.45</v>
      </c>
      <c r="N248" t="n">
        <v>15.82</v>
      </c>
      <c r="O248" t="n">
        <v>9.140000000000001</v>
      </c>
      <c r="P248" t="n">
        <v>27.33</v>
      </c>
      <c r="Q248" t="n">
        <v>22.66</v>
      </c>
      <c r="R248" t="n">
        <v>35.01</v>
      </c>
      <c r="S248" t="n">
        <v>80.26000000000001</v>
      </c>
      <c r="T248" t="n">
        <v>98.27</v>
      </c>
      <c r="U248" t="n">
        <v>20.46</v>
      </c>
      <c r="V248" t="inlineStr">
        <is>
          <t>Type I – Tropical Monsoon (PAGASA)</t>
        </is>
      </c>
      <c r="W248" t="inlineStr">
        <is>
          <t>Dry (Cool)</t>
        </is>
      </c>
      <c r="X248" t="inlineStr">
        <is>
          <t>Wet</t>
        </is>
      </c>
      <c r="Y248" t="inlineStr">
        <is>
          <t>Sandy Loam</t>
        </is>
      </c>
      <c r="Z248" t="inlineStr">
        <is>
          <t>Flat / Lowland</t>
        </is>
      </c>
      <c r="AA248" t="n">
        <v>30</v>
      </c>
      <c r="AB248" t="inlineStr">
        <is>
          <t>Tagamusing River</t>
        </is>
      </c>
      <c r="AC248" t="n">
        <v>140.28</v>
      </c>
      <c r="AD248" t="n">
        <v>0.6</v>
      </c>
      <c r="AE248" t="n">
        <v>26.4</v>
      </c>
      <c r="AF248" t="n">
        <v>0.6</v>
      </c>
      <c r="AG248" t="inlineStr">
        <is>
          <t>Transplanting (Pindot) or Direct Seeding (Pinaghandaan)</t>
        </is>
      </c>
      <c r="AH248" t="inlineStr">
        <is>
          <t>Conventional Tillage: 2 plowings + 2 harrowings; soil workable when moist</t>
        </is>
      </c>
      <c r="AI248" t="inlineStr">
        <is>
          <t>Intermittent irrigation (Alternate Wetting and Drying — AWD); moderate retention</t>
        </is>
      </c>
      <c r="AJ248" t="n">
        <v>0.6</v>
      </c>
      <c r="AK248" t="n">
        <v>3.06</v>
      </c>
      <c r="AL248" t="n">
        <v>5.1</v>
      </c>
      <c r="AM248" t="inlineStr">
        <is>
          <t>No</t>
        </is>
      </c>
      <c r="AN248" t="inlineStr">
        <is>
          <t>Observed harvest</t>
        </is>
      </c>
    </row>
    <row r="249">
      <c r="A249" t="inlineStr">
        <is>
          <t>Palay</t>
        </is>
      </c>
      <c r="B249" t="inlineStr">
        <is>
          <t>Pasileng Sur</t>
        </is>
      </c>
      <c r="C249" t="inlineStr">
        <is>
          <t>DS 2021</t>
        </is>
      </c>
      <c r="D249" t="inlineStr">
        <is>
          <t>January</t>
        </is>
      </c>
      <c r="E249" t="inlineStr">
        <is>
          <t>2021</t>
        </is>
      </c>
      <c r="F249" t="inlineStr">
        <is>
          <t>May</t>
        </is>
      </c>
      <c r="G249" t="inlineStr">
        <is>
          <t>2021</t>
        </is>
      </c>
      <c r="H249" t="n">
        <v>3.08</v>
      </c>
      <c r="I249" t="n">
        <v>23.98</v>
      </c>
      <c r="J249" t="n">
        <v>16.07</v>
      </c>
      <c r="K249" t="n">
        <v>30.79</v>
      </c>
      <c r="L249" t="n">
        <v>82.79000000000001</v>
      </c>
      <c r="M249" t="n">
        <v>98.45</v>
      </c>
      <c r="N249" t="n">
        <v>15.82</v>
      </c>
      <c r="O249" t="n">
        <v>9.140000000000001</v>
      </c>
      <c r="P249" t="n">
        <v>27.33</v>
      </c>
      <c r="Q249" t="n">
        <v>22.66</v>
      </c>
      <c r="R249" t="n">
        <v>35.01</v>
      </c>
      <c r="S249" t="n">
        <v>80.26000000000001</v>
      </c>
      <c r="T249" t="n">
        <v>98.27</v>
      </c>
      <c r="U249" t="n">
        <v>20.46</v>
      </c>
      <c r="V249" t="inlineStr">
        <is>
          <t>Type I – Tropical Monsoon (PAGASA)</t>
        </is>
      </c>
      <c r="W249" t="inlineStr">
        <is>
          <t>Dry (Cool)</t>
        </is>
      </c>
      <c r="X249" t="inlineStr">
        <is>
          <t>Wet</t>
        </is>
      </c>
      <c r="Y249" t="inlineStr">
        <is>
          <t>Sandy Loam</t>
        </is>
      </c>
      <c r="Z249" t="inlineStr">
        <is>
          <t>Flat / Lowland</t>
        </is>
      </c>
      <c r="AA249" t="n">
        <v>30</v>
      </c>
      <c r="AB249" t="inlineStr">
        <is>
          <t>Tagamusing River</t>
        </is>
      </c>
      <c r="AC249" t="n">
        <v>414.96</v>
      </c>
      <c r="AD249" t="n">
        <v>1.2</v>
      </c>
      <c r="AE249" t="n">
        <v>26.4</v>
      </c>
      <c r="AF249" t="n">
        <v>1.2</v>
      </c>
      <c r="AG249" t="inlineStr">
        <is>
          <t>Transplanting (Pindot) or Direct Seeding (Pinaghandaan)</t>
        </is>
      </c>
      <c r="AH249" t="inlineStr">
        <is>
          <t>Conventional Tillage: 2 plowings + 2 harrowings; soil workable when moist</t>
        </is>
      </c>
      <c r="AI249" t="inlineStr">
        <is>
          <t>Intermittent irrigation (Alternate Wetting and Drying — AWD); moderate retention</t>
        </is>
      </c>
      <c r="AJ249" t="n">
        <v>1.2</v>
      </c>
      <c r="AK249" t="n">
        <v>5.84</v>
      </c>
      <c r="AL249" t="n">
        <v>4.87</v>
      </c>
      <c r="AM249" t="inlineStr">
        <is>
          <t>No</t>
        </is>
      </c>
      <c r="AN249" t="inlineStr">
        <is>
          <t>Observed harvest</t>
        </is>
      </c>
    </row>
    <row r="250">
      <c r="A250" t="inlineStr">
        <is>
          <t>Palay</t>
        </is>
      </c>
      <c r="B250" t="inlineStr">
        <is>
          <t>San Felipe Central</t>
        </is>
      </c>
      <c r="C250" t="inlineStr">
        <is>
          <t>DS 2021</t>
        </is>
      </c>
      <c r="D250" t="inlineStr">
        <is>
          <t>January</t>
        </is>
      </c>
      <c r="E250" t="inlineStr">
        <is>
          <t>2021</t>
        </is>
      </c>
      <c r="F250" t="inlineStr">
        <is>
          <t>May</t>
        </is>
      </c>
      <c r="G250" t="inlineStr">
        <is>
          <t>2021</t>
        </is>
      </c>
      <c r="H250" t="n">
        <v>3.08</v>
      </c>
      <c r="I250" t="n">
        <v>23.98</v>
      </c>
      <c r="J250" t="n">
        <v>16.07</v>
      </c>
      <c r="K250" t="n">
        <v>30.79</v>
      </c>
      <c r="L250" t="n">
        <v>82.79000000000001</v>
      </c>
      <c r="M250" t="n">
        <v>98.45</v>
      </c>
      <c r="N250" t="n">
        <v>15.82</v>
      </c>
      <c r="O250" t="n">
        <v>9.140000000000001</v>
      </c>
      <c r="P250" t="n">
        <v>27.33</v>
      </c>
      <c r="Q250" t="n">
        <v>22.66</v>
      </c>
      <c r="R250" t="n">
        <v>35.01</v>
      </c>
      <c r="S250" t="n">
        <v>80.26000000000001</v>
      </c>
      <c r="T250" t="n">
        <v>98.27</v>
      </c>
      <c r="U250" t="n">
        <v>20.46</v>
      </c>
      <c r="V250" t="inlineStr">
        <is>
          <t>Type I – Tropical Monsoon (PAGASA)</t>
        </is>
      </c>
      <c r="W250" t="inlineStr">
        <is>
          <t>Dry (Cool)</t>
        </is>
      </c>
      <c r="X250" t="inlineStr">
        <is>
          <t>Wet</t>
        </is>
      </c>
      <c r="Y250" t="inlineStr">
        <is>
          <t>Sandy Loam</t>
        </is>
      </c>
      <c r="Z250" t="inlineStr">
        <is>
          <t>Flat / Lowland</t>
        </is>
      </c>
      <c r="AA250" t="n">
        <v>30</v>
      </c>
      <c r="AB250" t="inlineStr">
        <is>
          <t>—</t>
        </is>
      </c>
      <c r="AC250" t="n">
        <v>452.76</v>
      </c>
      <c r="AD250" t="n">
        <v>4.15</v>
      </c>
      <c r="AE250" t="n">
        <v>32.1</v>
      </c>
      <c r="AF250" t="n">
        <v>4.15</v>
      </c>
      <c r="AG250" t="inlineStr">
        <is>
          <t>Transplanting (Pindot) or Direct Seeding (Pinaghandaan)</t>
        </is>
      </c>
      <c r="AH250" t="inlineStr">
        <is>
          <t>Conventional Tillage: 2 plowings + 2 harrowings; soil workable when moist</t>
        </is>
      </c>
      <c r="AI250" t="inlineStr">
        <is>
          <t>Intermittent irrigation (Alternate Wetting and Drying — AWD); moderate retention</t>
        </is>
      </c>
      <c r="AJ250" t="n">
        <v>4.15</v>
      </c>
      <c r="AK250" t="n">
        <v>23.86</v>
      </c>
      <c r="AL250" t="n">
        <v>5.75</v>
      </c>
      <c r="AM250" t="inlineStr">
        <is>
          <t>No</t>
        </is>
      </c>
      <c r="AN250" t="inlineStr">
        <is>
          <t>Observed harvest</t>
        </is>
      </c>
    </row>
    <row r="251">
      <c r="A251" t="inlineStr">
        <is>
          <t>Palay</t>
        </is>
      </c>
      <c r="B251" t="inlineStr">
        <is>
          <t>San Felipe Sur</t>
        </is>
      </c>
      <c r="C251" t="inlineStr">
        <is>
          <t>DS 2021</t>
        </is>
      </c>
      <c r="D251" t="inlineStr">
        <is>
          <t>January</t>
        </is>
      </c>
      <c r="E251" t="inlineStr">
        <is>
          <t>2021</t>
        </is>
      </c>
      <c r="F251" t="inlineStr">
        <is>
          <t>May</t>
        </is>
      </c>
      <c r="G251" t="inlineStr">
        <is>
          <t>2021</t>
        </is>
      </c>
      <c r="H251" t="n">
        <v>3.08</v>
      </c>
      <c r="I251" t="n">
        <v>23.98</v>
      </c>
      <c r="J251" t="n">
        <v>16.07</v>
      </c>
      <c r="K251" t="n">
        <v>30.79</v>
      </c>
      <c r="L251" t="n">
        <v>82.79000000000001</v>
      </c>
      <c r="M251" t="n">
        <v>98.45</v>
      </c>
      <c r="N251" t="n">
        <v>15.82</v>
      </c>
      <c r="O251" t="n">
        <v>9.140000000000001</v>
      </c>
      <c r="P251" t="n">
        <v>27.33</v>
      </c>
      <c r="Q251" t="n">
        <v>22.66</v>
      </c>
      <c r="R251" t="n">
        <v>35.01</v>
      </c>
      <c r="S251" t="n">
        <v>80.26000000000001</v>
      </c>
      <c r="T251" t="n">
        <v>98.27</v>
      </c>
      <c r="U251" t="n">
        <v>20.46</v>
      </c>
      <c r="V251" t="inlineStr">
        <is>
          <t>Type I – Tropical Monsoon (PAGASA)</t>
        </is>
      </c>
      <c r="W251" t="inlineStr">
        <is>
          <t>Dry (Cool)</t>
        </is>
      </c>
      <c r="X251" t="inlineStr">
        <is>
          <t>Wet</t>
        </is>
      </c>
      <c r="Y251" t="inlineStr">
        <is>
          <t>Sandy Loam</t>
        </is>
      </c>
      <c r="Z251" t="inlineStr">
        <is>
          <t>Flat / Lowland</t>
        </is>
      </c>
      <c r="AA251" t="n">
        <v>30</v>
      </c>
      <c r="AB251" t="inlineStr">
        <is>
          <t>Tagamusing River</t>
        </is>
      </c>
      <c r="AC251" t="n">
        <v>504</v>
      </c>
      <c r="AD251" t="n">
        <v>3.2</v>
      </c>
      <c r="AE251" t="n">
        <v>32.1</v>
      </c>
      <c r="AF251" t="n">
        <v>3.2</v>
      </c>
      <c r="AG251" t="inlineStr">
        <is>
          <t>Transplanting (Pindot) or Direct Seeding (Pinaghandaan)</t>
        </is>
      </c>
      <c r="AH251" t="inlineStr">
        <is>
          <t>Conventional Tillage: 2 plowings + 2 harrowings; soil workable when moist</t>
        </is>
      </c>
      <c r="AI251" t="inlineStr">
        <is>
          <t>Intermittent irrigation (Alternate Wetting and Drying — AWD); moderate retention</t>
        </is>
      </c>
      <c r="AJ251" t="n">
        <v>3.2</v>
      </c>
      <c r="AK251" t="n">
        <v>17.31</v>
      </c>
      <c r="AL251" t="n">
        <v>5.41</v>
      </c>
      <c r="AM251" t="inlineStr">
        <is>
          <t>No</t>
        </is>
      </c>
      <c r="AN251" t="inlineStr">
        <is>
          <t>Observed harvest</t>
        </is>
      </c>
    </row>
    <row r="252">
      <c r="A252" t="inlineStr">
        <is>
          <t>Palay</t>
        </is>
      </c>
      <c r="B252" t="inlineStr">
        <is>
          <t>San Pablo</t>
        </is>
      </c>
      <c r="C252" t="inlineStr">
        <is>
          <t>DS 2021</t>
        </is>
      </c>
      <c r="D252" t="inlineStr">
        <is>
          <t>January</t>
        </is>
      </c>
      <c r="E252" t="inlineStr">
        <is>
          <t>2021</t>
        </is>
      </c>
      <c r="F252" t="inlineStr">
        <is>
          <t>May</t>
        </is>
      </c>
      <c r="G252" t="inlineStr">
        <is>
          <t>2021</t>
        </is>
      </c>
      <c r="H252" t="n">
        <v>3.08</v>
      </c>
      <c r="I252" t="n">
        <v>23.98</v>
      </c>
      <c r="J252" t="n">
        <v>16.07</v>
      </c>
      <c r="K252" t="n">
        <v>30.79</v>
      </c>
      <c r="L252" t="n">
        <v>82.79000000000001</v>
      </c>
      <c r="M252" t="n">
        <v>98.45</v>
      </c>
      <c r="N252" t="n">
        <v>15.82</v>
      </c>
      <c r="O252" t="n">
        <v>9.140000000000001</v>
      </c>
      <c r="P252" t="n">
        <v>27.33</v>
      </c>
      <c r="Q252" t="n">
        <v>22.66</v>
      </c>
      <c r="R252" t="n">
        <v>35.01</v>
      </c>
      <c r="S252" t="n">
        <v>80.26000000000001</v>
      </c>
      <c r="T252" t="n">
        <v>98.27</v>
      </c>
      <c r="U252" t="n">
        <v>20.46</v>
      </c>
      <c r="V252" t="inlineStr">
        <is>
          <t>Type I – Tropical Monsoon (PAGASA)</t>
        </is>
      </c>
      <c r="W252" t="inlineStr">
        <is>
          <t>Dry (Cool)</t>
        </is>
      </c>
      <c r="X252" t="inlineStr">
        <is>
          <t>Wet</t>
        </is>
      </c>
      <c r="Y252" t="inlineStr">
        <is>
          <t>Sandy Loam</t>
        </is>
      </c>
      <c r="Z252" t="inlineStr">
        <is>
          <t>Flat / Lowland</t>
        </is>
      </c>
      <c r="AA252" t="n">
        <v>30</v>
      </c>
      <c r="AB252" t="inlineStr">
        <is>
          <t>San Pablo Creek</t>
        </is>
      </c>
      <c r="AC252" t="n">
        <v>215.04</v>
      </c>
      <c r="AD252" t="n">
        <v>0.1</v>
      </c>
      <c r="AE252" t="n">
        <v>37.8</v>
      </c>
      <c r="AF252" t="n">
        <v>0.1</v>
      </c>
      <c r="AG252" t="inlineStr">
        <is>
          <t>Transplanting (Pindot) or Direct Seeding (Pinaghandaan)</t>
        </is>
      </c>
      <c r="AH252" t="inlineStr">
        <is>
          <t>Conventional Tillage: 2 plowings + 2 harrowings; soil workable when moist</t>
        </is>
      </c>
      <c r="AI252" t="inlineStr">
        <is>
          <t>Intermittent irrigation (Alternate Wetting and Drying — AWD); moderate retention</t>
        </is>
      </c>
      <c r="AJ252" t="n">
        <v>0.1</v>
      </c>
      <c r="AK252" t="n">
        <v>0.47</v>
      </c>
      <c r="AL252" t="n">
        <v>4.7</v>
      </c>
      <c r="AM252" t="inlineStr">
        <is>
          <t>No</t>
        </is>
      </c>
      <c r="AN252" t="inlineStr">
        <is>
          <t>Observed harvest</t>
        </is>
      </c>
    </row>
    <row r="253">
      <c r="A253" t="inlineStr">
        <is>
          <t>Palay</t>
        </is>
      </c>
      <c r="B253" t="inlineStr">
        <is>
          <t>Santiago</t>
        </is>
      </c>
      <c r="C253" t="inlineStr">
        <is>
          <t>DS 2021</t>
        </is>
      </c>
      <c r="D253" t="inlineStr">
        <is>
          <t>January</t>
        </is>
      </c>
      <c r="E253" t="inlineStr">
        <is>
          <t>2021</t>
        </is>
      </c>
      <c r="F253" t="inlineStr">
        <is>
          <t>May</t>
        </is>
      </c>
      <c r="G253" t="inlineStr">
        <is>
          <t>2021</t>
        </is>
      </c>
      <c r="H253" t="n">
        <v>3.08</v>
      </c>
      <c r="I253" t="n">
        <v>23.98</v>
      </c>
      <c r="J253" t="n">
        <v>16.07</v>
      </c>
      <c r="K253" t="n">
        <v>30.79</v>
      </c>
      <c r="L253" t="n">
        <v>82.79000000000001</v>
      </c>
      <c r="M253" t="n">
        <v>98.45</v>
      </c>
      <c r="N253" t="n">
        <v>15.82</v>
      </c>
      <c r="O253" t="n">
        <v>9.140000000000001</v>
      </c>
      <c r="P253" t="n">
        <v>27.33</v>
      </c>
      <c r="Q253" t="n">
        <v>22.66</v>
      </c>
      <c r="R253" t="n">
        <v>35.01</v>
      </c>
      <c r="S253" t="n">
        <v>80.26000000000001</v>
      </c>
      <c r="T253" t="n">
        <v>98.27</v>
      </c>
      <c r="U253" t="n">
        <v>20.46</v>
      </c>
      <c r="V253" t="inlineStr">
        <is>
          <t>Type I – Tropical Monsoon (PAGASA)</t>
        </is>
      </c>
      <c r="W253" t="inlineStr">
        <is>
          <t>Dry (Cool)</t>
        </is>
      </c>
      <c r="X253" t="inlineStr">
        <is>
          <t>Wet</t>
        </is>
      </c>
      <c r="Y253" t="inlineStr">
        <is>
          <t>Silty Clay Loam</t>
        </is>
      </c>
      <c r="Z253" t="inlineStr">
        <is>
          <t>Flat / Lowland</t>
        </is>
      </c>
      <c r="AA253" t="n">
        <v>30</v>
      </c>
      <c r="AB253" t="inlineStr">
        <is>
          <t>—</t>
        </is>
      </c>
      <c r="AC253" t="n">
        <v>283.08</v>
      </c>
      <c r="AD253" t="n">
        <v>1.5</v>
      </c>
      <c r="AE253" t="n">
        <v>94.92</v>
      </c>
      <c r="AF253" t="n">
        <v>1.5</v>
      </c>
      <c r="AG253" t="inlineStr">
        <is>
          <t>Transplanting (Pindot) — optimal for clay-loam paddy fields</t>
        </is>
      </c>
      <c r="AH253" t="inlineStr">
        <is>
          <t>Wet Tillage (Puddling): 2 plowings + thorough harrowing under flooded condition</t>
        </is>
      </c>
      <c r="AI253" t="inlineStr">
        <is>
          <t>Continuous flooding 2–5 cm depth during vegetative stage; drain 2 weeks before harvest</t>
        </is>
      </c>
      <c r="AJ253" t="n">
        <v>1.5</v>
      </c>
      <c r="AK253" t="n">
        <v>5.97</v>
      </c>
      <c r="AL253" t="n">
        <v>3.98</v>
      </c>
      <c r="AM253" t="inlineStr">
        <is>
          <t>No</t>
        </is>
      </c>
      <c r="AN253" t="inlineStr">
        <is>
          <t>Observed harvest</t>
        </is>
      </c>
    </row>
    <row r="254">
      <c r="A254" t="inlineStr">
        <is>
          <t>Palay</t>
        </is>
      </c>
      <c r="B254" t="inlineStr">
        <is>
          <t>Sta. Catalina</t>
        </is>
      </c>
      <c r="C254" t="inlineStr">
        <is>
          <t>DS 2021</t>
        </is>
      </c>
      <c r="D254" t="inlineStr">
        <is>
          <t>January</t>
        </is>
      </c>
      <c r="E254" t="inlineStr">
        <is>
          <t>2021</t>
        </is>
      </c>
      <c r="F254" t="inlineStr">
        <is>
          <t>May</t>
        </is>
      </c>
      <c r="G254" t="inlineStr">
        <is>
          <t>2021</t>
        </is>
      </c>
      <c r="H254" t="n">
        <v>3.08</v>
      </c>
      <c r="I254" t="n">
        <v>23.98</v>
      </c>
      <c r="J254" t="n">
        <v>16.07</v>
      </c>
      <c r="K254" t="n">
        <v>30.79</v>
      </c>
      <c r="L254" t="n">
        <v>82.79000000000001</v>
      </c>
      <c r="M254" t="n">
        <v>98.45</v>
      </c>
      <c r="N254" t="n">
        <v>15.82</v>
      </c>
      <c r="O254" t="n">
        <v>9.140000000000001</v>
      </c>
      <c r="P254" t="n">
        <v>27.33</v>
      </c>
      <c r="Q254" t="n">
        <v>22.66</v>
      </c>
      <c r="R254" t="n">
        <v>35.01</v>
      </c>
      <c r="S254" t="n">
        <v>80.26000000000001</v>
      </c>
      <c r="T254" t="n">
        <v>98.27</v>
      </c>
      <c r="U254" t="n">
        <v>20.46</v>
      </c>
      <c r="V254" t="inlineStr">
        <is>
          <t>Type I – Tropical Monsoon (PAGASA)</t>
        </is>
      </c>
      <c r="W254" t="inlineStr">
        <is>
          <t>Dry (Cool)</t>
        </is>
      </c>
      <c r="X254" t="inlineStr">
        <is>
          <t>Wet</t>
        </is>
      </c>
      <c r="Y254" t="inlineStr">
        <is>
          <t>Fine Sand / Sandy Loam</t>
        </is>
      </c>
      <c r="Z254" t="inlineStr">
        <is>
          <t>Moderately Sloping / Highland</t>
        </is>
      </c>
      <c r="AA254" t="n">
        <v>90</v>
      </c>
      <c r="AB254" t="inlineStr">
        <is>
          <t>—</t>
        </is>
      </c>
      <c r="AC254" t="n">
        <v>709.8</v>
      </c>
      <c r="AD254" t="n">
        <v>1.3</v>
      </c>
      <c r="AE254" t="n">
        <v>164</v>
      </c>
      <c r="AF254" t="n">
        <v>1.3</v>
      </c>
      <c r="AG254" t="inlineStr">
        <is>
          <t>Transplanting (Pindot)</t>
        </is>
      </c>
      <c r="AH254" t="inlineStr">
        <is>
          <t>Minimum Tillage (avoid compaction; sandy structure fragile)</t>
        </is>
      </c>
      <c r="AI254" t="inlineStr">
        <is>
          <t>Continuous flooding or frequent irrigation; high percolation risk; terrace or bund-assisted water retention essential on slopes</t>
        </is>
      </c>
      <c r="AJ254" t="n">
        <v>1.3</v>
      </c>
      <c r="AK254" t="n">
        <v>6.4</v>
      </c>
      <c r="AL254" t="n">
        <v>4.92</v>
      </c>
      <c r="AM254" t="inlineStr">
        <is>
          <t>No</t>
        </is>
      </c>
      <c r="AN254" t="inlineStr">
        <is>
          <t>Observed harvest</t>
        </is>
      </c>
    </row>
    <row r="255">
      <c r="A255" t="inlineStr">
        <is>
          <t>Palay</t>
        </is>
      </c>
      <c r="B255" t="inlineStr">
        <is>
          <t>Sumabnit</t>
        </is>
      </c>
      <c r="C255" t="inlineStr">
        <is>
          <t>DS 2021</t>
        </is>
      </c>
      <c r="D255" t="inlineStr">
        <is>
          <t>January</t>
        </is>
      </c>
      <c r="E255" t="inlineStr">
        <is>
          <t>2021</t>
        </is>
      </c>
      <c r="F255" t="inlineStr">
        <is>
          <t>May</t>
        </is>
      </c>
      <c r="G255" t="inlineStr">
        <is>
          <t>2021</t>
        </is>
      </c>
      <c r="H255" t="n">
        <v>3.08</v>
      </c>
      <c r="I255" t="n">
        <v>23.98</v>
      </c>
      <c r="J255" t="n">
        <v>16.07</v>
      </c>
      <c r="K255" t="n">
        <v>30.79</v>
      </c>
      <c r="L255" t="n">
        <v>82.79000000000001</v>
      </c>
      <c r="M255" t="n">
        <v>98.45</v>
      </c>
      <c r="N255" t="n">
        <v>15.82</v>
      </c>
      <c r="O255" t="n">
        <v>9.140000000000001</v>
      </c>
      <c r="P255" t="n">
        <v>27.33</v>
      </c>
      <c r="Q255" t="n">
        <v>22.66</v>
      </c>
      <c r="R255" t="n">
        <v>35.01</v>
      </c>
      <c r="S255" t="n">
        <v>80.26000000000001</v>
      </c>
      <c r="T255" t="n">
        <v>98.27</v>
      </c>
      <c r="U255" t="n">
        <v>20.46</v>
      </c>
      <c r="V255" t="inlineStr">
        <is>
          <t>Type I – Tropical Monsoon (PAGASA)</t>
        </is>
      </c>
      <c r="W255" t="inlineStr">
        <is>
          <t>Dry (Cool)</t>
        </is>
      </c>
      <c r="X255" t="inlineStr">
        <is>
          <t>Wet</t>
        </is>
      </c>
      <c r="Y255" t="inlineStr">
        <is>
          <t>Silty Clay Loam / Fine Sandy Loam</t>
        </is>
      </c>
      <c r="Z255" t="inlineStr">
        <is>
          <t>Flat / Lowland</t>
        </is>
      </c>
      <c r="AA255" t="n">
        <v>30</v>
      </c>
      <c r="AB255" t="inlineStr">
        <is>
          <t>Tagamusing River</t>
        </is>
      </c>
      <c r="AC255" t="n">
        <v>406.56</v>
      </c>
      <c r="AD255" t="n">
        <v>0.7</v>
      </c>
      <c r="AE255" t="n">
        <v>116.6</v>
      </c>
      <c r="AF255" t="n">
        <v>0.7</v>
      </c>
      <c r="AG255" t="inlineStr">
        <is>
          <t>Transplanting (Pindot)</t>
        </is>
      </c>
      <c r="AH255" t="inlineStr">
        <is>
          <t>Minimum Tillage (avoid compaction; sandy structure fragile)</t>
        </is>
      </c>
      <c r="AI255" t="inlineStr">
        <is>
          <t>Continuous flooding or frequent irrigation; high percolation risk</t>
        </is>
      </c>
      <c r="AJ255" t="n">
        <v>0.7</v>
      </c>
      <c r="AK255" t="n">
        <v>3.66</v>
      </c>
      <c r="AL255" t="n">
        <v>5.23</v>
      </c>
      <c r="AM255" t="inlineStr">
        <is>
          <t>No</t>
        </is>
      </c>
      <c r="AN255" t="inlineStr">
        <is>
          <t>Observed harvest</t>
        </is>
      </c>
    </row>
    <row r="256">
      <c r="A256" t="inlineStr">
        <is>
          <t>Palay</t>
        </is>
      </c>
      <c r="B256" t="inlineStr">
        <is>
          <t>Tabuyoc</t>
        </is>
      </c>
      <c r="C256" t="inlineStr">
        <is>
          <t>DS 2021</t>
        </is>
      </c>
      <c r="D256" t="inlineStr">
        <is>
          <t>January</t>
        </is>
      </c>
      <c r="E256" t="inlineStr">
        <is>
          <t>2021</t>
        </is>
      </c>
      <c r="F256" t="inlineStr">
        <is>
          <t>May</t>
        </is>
      </c>
      <c r="G256" t="inlineStr">
        <is>
          <t>2021</t>
        </is>
      </c>
      <c r="H256" t="n">
        <v>3.08</v>
      </c>
      <c r="I256" t="n">
        <v>23.98</v>
      </c>
      <c r="J256" t="n">
        <v>16.07</v>
      </c>
      <c r="K256" t="n">
        <v>30.79</v>
      </c>
      <c r="L256" t="n">
        <v>82.79000000000001</v>
      </c>
      <c r="M256" t="n">
        <v>98.45</v>
      </c>
      <c r="N256" t="n">
        <v>15.82</v>
      </c>
      <c r="O256" t="n">
        <v>9.140000000000001</v>
      </c>
      <c r="P256" t="n">
        <v>27.33</v>
      </c>
      <c r="Q256" t="n">
        <v>22.66</v>
      </c>
      <c r="R256" t="n">
        <v>35.01</v>
      </c>
      <c r="S256" t="n">
        <v>80.26000000000001</v>
      </c>
      <c r="T256" t="n">
        <v>98.27</v>
      </c>
      <c r="U256" t="n">
        <v>20.46</v>
      </c>
      <c r="V256" t="inlineStr">
        <is>
          <t>Type I – Tropical Monsoon (PAGASA)</t>
        </is>
      </c>
      <c r="W256" t="inlineStr">
        <is>
          <t>Dry (Cool)</t>
        </is>
      </c>
      <c r="X256" t="inlineStr">
        <is>
          <t>Wet</t>
        </is>
      </c>
      <c r="Y256" t="inlineStr">
        <is>
          <t>Silty Clay Loam</t>
        </is>
      </c>
      <c r="Z256" t="inlineStr">
        <is>
          <t>Flat / Lowland</t>
        </is>
      </c>
      <c r="AA256" t="n">
        <v>30</v>
      </c>
      <c r="AB256" t="inlineStr">
        <is>
          <t>—</t>
        </is>
      </c>
      <c r="AC256" t="n">
        <v>277.2</v>
      </c>
      <c r="AD256" t="n">
        <v>0.8</v>
      </c>
      <c r="AE256" t="n">
        <v>44.8</v>
      </c>
      <c r="AF256" t="n">
        <v>0.8</v>
      </c>
      <c r="AG256" t="inlineStr">
        <is>
          <t>Transplanting (Pindot) — optimal for clay-loam paddy fields</t>
        </is>
      </c>
      <c r="AH256" t="inlineStr">
        <is>
          <t>Wet Tillage (Puddling): 2 plowings + thorough harrowing under flooded condition</t>
        </is>
      </c>
      <c r="AI256" t="inlineStr">
        <is>
          <t>Continuous flooding 2–5 cm depth during vegetative stage; drain 2 weeks before harvest</t>
        </is>
      </c>
      <c r="AJ256" t="n">
        <v>0.8</v>
      </c>
      <c r="AK256" t="n">
        <v>3.66</v>
      </c>
      <c r="AL256" t="n">
        <v>4.58</v>
      </c>
      <c r="AM256" t="inlineStr">
        <is>
          <t>No</t>
        </is>
      </c>
      <c r="AN256" t="inlineStr">
        <is>
          <t>Observed harvest</t>
        </is>
      </c>
    </row>
    <row r="257">
      <c r="A257" t="inlineStr">
        <is>
          <t>Palay</t>
        </is>
      </c>
      <c r="B257" t="inlineStr">
        <is>
          <t>Balangobong</t>
        </is>
      </c>
      <c r="C257" t="inlineStr">
        <is>
          <t>DS 2022</t>
        </is>
      </c>
      <c r="D257" t="inlineStr">
        <is>
          <t>January</t>
        </is>
      </c>
      <c r="E257" t="inlineStr">
        <is>
          <t>2022</t>
        </is>
      </c>
      <c r="F257" t="inlineStr">
        <is>
          <t>May</t>
        </is>
      </c>
      <c r="G257" t="inlineStr">
        <is>
          <t>2022</t>
        </is>
      </c>
      <c r="H257" t="n">
        <v>3.07</v>
      </c>
      <c r="I257" t="n">
        <v>23.99</v>
      </c>
      <c r="J257" t="n">
        <v>16.71</v>
      </c>
      <c r="K257" t="n">
        <v>31.67</v>
      </c>
      <c r="L257" t="n">
        <v>78.95</v>
      </c>
      <c r="M257" t="n">
        <v>98.56999999999999</v>
      </c>
      <c r="N257" t="n">
        <v>16.75</v>
      </c>
      <c r="O257" t="n">
        <v>7.75</v>
      </c>
      <c r="P257" t="n">
        <v>28.52</v>
      </c>
      <c r="Q257" t="n">
        <v>22.41</v>
      </c>
      <c r="R257" t="n">
        <v>37.39</v>
      </c>
      <c r="S257" t="n">
        <v>76.47</v>
      </c>
      <c r="T257" t="n">
        <v>98.2</v>
      </c>
      <c r="U257" t="n">
        <v>21.19</v>
      </c>
      <c r="V257" t="inlineStr">
        <is>
          <t>Type I – Tropical Monsoon (PAGASA)</t>
        </is>
      </c>
      <c r="W257" t="inlineStr">
        <is>
          <t>Dry (Cool)</t>
        </is>
      </c>
      <c r="X257" t="inlineStr">
        <is>
          <t>Wet</t>
        </is>
      </c>
      <c r="Y257" t="inlineStr">
        <is>
          <t>Silty Clay Loam</t>
        </is>
      </c>
      <c r="Z257" t="inlineStr">
        <is>
          <t>Flat / Lowland</t>
        </is>
      </c>
      <c r="AA257" t="n">
        <v>30</v>
      </c>
      <c r="AB257" t="inlineStr">
        <is>
          <t>—</t>
        </is>
      </c>
      <c r="AC257" t="n">
        <v>281.4</v>
      </c>
      <c r="AD257" t="n">
        <v>75.5</v>
      </c>
      <c r="AE257" t="n">
        <v>32.1</v>
      </c>
      <c r="AF257" t="n">
        <v>110</v>
      </c>
      <c r="AG257" t="inlineStr">
        <is>
          <t>Transplanting (Pindot) — optimal for clay-loam paddy fields</t>
        </is>
      </c>
      <c r="AH257" t="inlineStr">
        <is>
          <t>Wet Tillage (Puddling): 2 plowings + thorough harrowing under flooded condition</t>
        </is>
      </c>
      <c r="AI257" t="inlineStr">
        <is>
          <t>Continuous flooding 2–5 cm depth during vegetative stage; drain 2 weeks before harvest</t>
        </is>
      </c>
      <c r="AJ257" t="n">
        <v>110</v>
      </c>
      <c r="AK257" t="n">
        <v>569.35</v>
      </c>
      <c r="AL257" t="n">
        <v>5.18</v>
      </c>
      <c r="AM257" t="inlineStr">
        <is>
          <t>No</t>
        </is>
      </c>
      <c r="AN257" t="inlineStr">
        <is>
          <t>Observed harvest</t>
        </is>
      </c>
    </row>
    <row r="258">
      <c r="A258" t="inlineStr">
        <is>
          <t>Palay</t>
        </is>
      </c>
      <c r="B258" t="inlineStr">
        <is>
          <t>Bugayong</t>
        </is>
      </c>
      <c r="C258" t="inlineStr">
        <is>
          <t>DS 2022</t>
        </is>
      </c>
      <c r="D258" t="inlineStr">
        <is>
          <t>January</t>
        </is>
      </c>
      <c r="E258" t="inlineStr">
        <is>
          <t>2022</t>
        </is>
      </c>
      <c r="F258" t="inlineStr">
        <is>
          <t>May</t>
        </is>
      </c>
      <c r="G258" t="inlineStr">
        <is>
          <t>2022</t>
        </is>
      </c>
      <c r="H258" t="n">
        <v>3.07</v>
      </c>
      <c r="I258" t="n">
        <v>23.99</v>
      </c>
      <c r="J258" t="n">
        <v>16.71</v>
      </c>
      <c r="K258" t="n">
        <v>31.67</v>
      </c>
      <c r="L258" t="n">
        <v>78.95</v>
      </c>
      <c r="M258" t="n">
        <v>98.56999999999999</v>
      </c>
      <c r="N258" t="n">
        <v>16.75</v>
      </c>
      <c r="O258" t="n">
        <v>7.75</v>
      </c>
      <c r="P258" t="n">
        <v>28.52</v>
      </c>
      <c r="Q258" t="n">
        <v>22.41</v>
      </c>
      <c r="R258" t="n">
        <v>37.39</v>
      </c>
      <c r="S258" t="n">
        <v>76.47</v>
      </c>
      <c r="T258" t="n">
        <v>98.2</v>
      </c>
      <c r="U258" t="n">
        <v>21.19</v>
      </c>
      <c r="V258" t="inlineStr">
        <is>
          <t>Type I – Tropical Monsoon (PAGASA)</t>
        </is>
      </c>
      <c r="W258" t="inlineStr">
        <is>
          <t>Dry (Cool)</t>
        </is>
      </c>
      <c r="X258" t="inlineStr">
        <is>
          <t>Wet</t>
        </is>
      </c>
      <c r="Y258" t="inlineStr">
        <is>
          <t>Sandy Loam / Silty Clay Loam</t>
        </is>
      </c>
      <c r="Z258" t="inlineStr">
        <is>
          <t>Flat / Lowland</t>
        </is>
      </c>
      <c r="AA258" t="n">
        <v>30</v>
      </c>
      <c r="AB258" t="inlineStr">
        <is>
          <t>Aloragat River</t>
        </is>
      </c>
      <c r="AC258" t="n">
        <v>346.08</v>
      </c>
      <c r="AD258" t="n">
        <v>21.9</v>
      </c>
      <c r="AE258" t="n">
        <v>43.5</v>
      </c>
      <c r="AF258" t="n">
        <v>2</v>
      </c>
      <c r="AG258" t="inlineStr">
        <is>
          <t>Transplanting (Pindot) — recommended; Direct Seeding possible in dry season</t>
        </is>
      </c>
      <c r="AH258" t="inlineStr">
        <is>
          <t>Conventional Tillage: 2 plowings + harrowing; puddle thoroughly for transplanting</t>
        </is>
      </c>
      <c r="AI258" t="inlineStr">
        <is>
          <t>Intermittent to continuous flooding; manage according to drainage section present</t>
        </is>
      </c>
      <c r="AJ258" t="n">
        <v>2</v>
      </c>
      <c r="AK258" t="n">
        <v>6.77</v>
      </c>
      <c r="AL258" t="n">
        <v>3.38</v>
      </c>
      <c r="AM258" t="inlineStr">
        <is>
          <t>No</t>
        </is>
      </c>
      <c r="AN258" t="inlineStr">
        <is>
          <t>Observed harvest</t>
        </is>
      </c>
    </row>
    <row r="259">
      <c r="A259" t="inlineStr">
        <is>
          <t>Palay</t>
        </is>
      </c>
      <c r="B259" t="inlineStr">
        <is>
          <t>Camanggaan</t>
        </is>
      </c>
      <c r="C259" t="inlineStr">
        <is>
          <t>DS 2022</t>
        </is>
      </c>
      <c r="D259" t="inlineStr">
        <is>
          <t>January</t>
        </is>
      </c>
      <c r="E259" t="inlineStr">
        <is>
          <t>2022</t>
        </is>
      </c>
      <c r="F259" t="inlineStr">
        <is>
          <t>May</t>
        </is>
      </c>
      <c r="G259" t="inlineStr">
        <is>
          <t>2022</t>
        </is>
      </c>
      <c r="H259" t="n">
        <v>3.07</v>
      </c>
      <c r="I259" t="n">
        <v>23.99</v>
      </c>
      <c r="J259" t="n">
        <v>16.71</v>
      </c>
      <c r="K259" t="n">
        <v>31.67</v>
      </c>
      <c r="L259" t="n">
        <v>78.95</v>
      </c>
      <c r="M259" t="n">
        <v>98.56999999999999</v>
      </c>
      <c r="N259" t="n">
        <v>16.75</v>
      </c>
      <c r="O259" t="n">
        <v>7.75</v>
      </c>
      <c r="P259" t="n">
        <v>28.52</v>
      </c>
      <c r="Q259" t="n">
        <v>22.41</v>
      </c>
      <c r="R259" t="n">
        <v>37.39</v>
      </c>
      <c r="S259" t="n">
        <v>76.47</v>
      </c>
      <c r="T259" t="n">
        <v>98.2</v>
      </c>
      <c r="U259" t="n">
        <v>21.19</v>
      </c>
      <c r="V259" t="inlineStr">
        <is>
          <t>Type I – Tropical Monsoon (PAGASA)</t>
        </is>
      </c>
      <c r="W259" t="inlineStr">
        <is>
          <t>Dry (Cool)</t>
        </is>
      </c>
      <c r="X259" t="inlineStr">
        <is>
          <t>Wet</t>
        </is>
      </c>
      <c r="Y259" t="inlineStr">
        <is>
          <t>Sandy Loam</t>
        </is>
      </c>
      <c r="Z259" t="inlineStr">
        <is>
          <t>Flat / Lowland</t>
        </is>
      </c>
      <c r="AA259" t="n">
        <v>30</v>
      </c>
      <c r="AB259" t="inlineStr">
        <is>
          <t>—</t>
        </is>
      </c>
      <c r="AC259" t="n">
        <v>244.44</v>
      </c>
      <c r="AD259" t="n">
        <v>4.72</v>
      </c>
      <c r="AE259" t="n">
        <v>116.6</v>
      </c>
      <c r="AF259" t="n">
        <v>7</v>
      </c>
      <c r="AG259" t="inlineStr">
        <is>
          <t>Transplanting (Pindot) or Direct Seeding (Pinaghandaan)</t>
        </is>
      </c>
      <c r="AH259" t="inlineStr">
        <is>
          <t>Conventional Tillage: 2 plowings + 2 harrowings; soil workable when moist</t>
        </is>
      </c>
      <c r="AI259" t="inlineStr">
        <is>
          <t>Intermittent irrigation (Alternate Wetting and Drying — AWD); moderate retention</t>
        </is>
      </c>
      <c r="AJ259" t="n">
        <v>9.66</v>
      </c>
      <c r="AK259" t="n">
        <v>23.18</v>
      </c>
      <c r="AL259" t="n">
        <v>2.4</v>
      </c>
      <c r="AM259" t="inlineStr">
        <is>
          <t>No</t>
        </is>
      </c>
      <c r="AN259" t="inlineStr">
        <is>
          <t>Observed harvest</t>
        </is>
      </c>
    </row>
    <row r="260">
      <c r="A260" t="inlineStr">
        <is>
          <t>Palay</t>
        </is>
      </c>
      <c r="B260" t="inlineStr">
        <is>
          <t>Capas</t>
        </is>
      </c>
      <c r="C260" t="inlineStr">
        <is>
          <t>DS 2022</t>
        </is>
      </c>
      <c r="D260" t="inlineStr">
        <is>
          <t>January</t>
        </is>
      </c>
      <c r="E260" t="inlineStr">
        <is>
          <t>2022</t>
        </is>
      </c>
      <c r="F260" t="inlineStr">
        <is>
          <t>May</t>
        </is>
      </c>
      <c r="G260" t="inlineStr">
        <is>
          <t>2022</t>
        </is>
      </c>
      <c r="H260" t="n">
        <v>3.07</v>
      </c>
      <c r="I260" t="n">
        <v>23.99</v>
      </c>
      <c r="J260" t="n">
        <v>16.71</v>
      </c>
      <c r="K260" t="n">
        <v>31.67</v>
      </c>
      <c r="L260" t="n">
        <v>78.95</v>
      </c>
      <c r="M260" t="n">
        <v>98.56999999999999</v>
      </c>
      <c r="N260" t="n">
        <v>16.75</v>
      </c>
      <c r="O260" t="n">
        <v>7.75</v>
      </c>
      <c r="P260" t="n">
        <v>28.52</v>
      </c>
      <c r="Q260" t="n">
        <v>22.41</v>
      </c>
      <c r="R260" t="n">
        <v>37.39</v>
      </c>
      <c r="S260" t="n">
        <v>76.47</v>
      </c>
      <c r="T260" t="n">
        <v>98.2</v>
      </c>
      <c r="U260" t="n">
        <v>21.19</v>
      </c>
      <c r="V260" t="inlineStr">
        <is>
          <t>Type I – Tropical Monsoon (PAGASA)</t>
        </is>
      </c>
      <c r="W260" t="inlineStr">
        <is>
          <t>Dry (Cool)</t>
        </is>
      </c>
      <c r="X260" t="inlineStr">
        <is>
          <t>Wet</t>
        </is>
      </c>
      <c r="Y260" t="inlineStr">
        <is>
          <t>Sandy Loam</t>
        </is>
      </c>
      <c r="Z260" t="inlineStr">
        <is>
          <t>Flat / Lowland</t>
        </is>
      </c>
      <c r="AA260" t="n">
        <v>30</v>
      </c>
      <c r="AB260" t="inlineStr">
        <is>
          <t>—</t>
        </is>
      </c>
      <c r="AC260" t="n">
        <v>377.16</v>
      </c>
      <c r="AD260" t="n">
        <v>19.4</v>
      </c>
      <c r="AE260" t="n">
        <v>164</v>
      </c>
      <c r="AF260" t="n">
        <v>105</v>
      </c>
      <c r="AG260" t="inlineStr">
        <is>
          <t>Transplanting (Pindot) or Direct Seeding (Pinaghandaan)</t>
        </is>
      </c>
      <c r="AH260" t="inlineStr">
        <is>
          <t>Conventional Tillage: 2 plowings + 2 harrowings; soil workable when moist</t>
        </is>
      </c>
      <c r="AI260" t="inlineStr">
        <is>
          <t>Intermittent irrigation (Alternate Wetting and Drying — AWD); moderate retention</t>
        </is>
      </c>
      <c r="AJ260" t="n">
        <v>105</v>
      </c>
      <c r="AK260" t="n">
        <v>576.4400000000001</v>
      </c>
      <c r="AL260" t="n">
        <v>5.49</v>
      </c>
      <c r="AM260" t="inlineStr">
        <is>
          <t>No</t>
        </is>
      </c>
      <c r="AN260" t="inlineStr">
        <is>
          <t>Observed harvest</t>
        </is>
      </c>
    </row>
    <row r="261">
      <c r="A261" t="inlineStr">
        <is>
          <t>Palay</t>
        </is>
      </c>
      <c r="B261" t="inlineStr">
        <is>
          <t>Mangkasuy</t>
        </is>
      </c>
      <c r="C261" t="inlineStr">
        <is>
          <t>DS 2022</t>
        </is>
      </c>
      <c r="D261" t="inlineStr">
        <is>
          <t>January</t>
        </is>
      </c>
      <c r="E261" t="inlineStr">
        <is>
          <t>2022</t>
        </is>
      </c>
      <c r="F261" t="inlineStr">
        <is>
          <t>May</t>
        </is>
      </c>
      <c r="G261" t="inlineStr">
        <is>
          <t>2022</t>
        </is>
      </c>
      <c r="H261" t="n">
        <v>3.07</v>
      </c>
      <c r="I261" t="n">
        <v>23.99</v>
      </c>
      <c r="J261" t="n">
        <v>16.71</v>
      </c>
      <c r="K261" t="n">
        <v>31.67</v>
      </c>
      <c r="L261" t="n">
        <v>78.95</v>
      </c>
      <c r="M261" t="n">
        <v>98.56999999999999</v>
      </c>
      <c r="N261" t="n">
        <v>16.75</v>
      </c>
      <c r="O261" t="n">
        <v>7.75</v>
      </c>
      <c r="P261" t="n">
        <v>28.52</v>
      </c>
      <c r="Q261" t="n">
        <v>22.41</v>
      </c>
      <c r="R261" t="n">
        <v>37.39</v>
      </c>
      <c r="S261" t="n">
        <v>76.47</v>
      </c>
      <c r="T261" t="n">
        <v>98.2</v>
      </c>
      <c r="U261" t="n">
        <v>21.19</v>
      </c>
      <c r="V261" t="inlineStr">
        <is>
          <t>Type I – Tropical Monsoon (PAGASA)</t>
        </is>
      </c>
      <c r="W261" t="inlineStr">
        <is>
          <t>Dry (Cool)</t>
        </is>
      </c>
      <c r="X261" t="inlineStr">
        <is>
          <t>Wet</t>
        </is>
      </c>
      <c r="Y261" t="inlineStr">
        <is>
          <t>Sandy Loam</t>
        </is>
      </c>
      <c r="Z261" t="inlineStr">
        <is>
          <t>Flat / Lowland</t>
        </is>
      </c>
      <c r="AA261" t="n">
        <v>30</v>
      </c>
      <c r="AB261" t="inlineStr">
        <is>
          <t>Tagamusing River</t>
        </is>
      </c>
      <c r="AC261" t="n">
        <v>802.2</v>
      </c>
      <c r="AD261" t="n">
        <v>3</v>
      </c>
      <c r="AE261" t="n">
        <v>164</v>
      </c>
      <c r="AF261" t="n">
        <v>50</v>
      </c>
      <c r="AG261" t="inlineStr">
        <is>
          <t>Transplanting (Pindot) or Direct Seeding (Pinaghandaan)</t>
        </is>
      </c>
      <c r="AH261" t="inlineStr">
        <is>
          <t>Conventional Tillage: 2 plowings + 2 harrowings; soil workable when moist</t>
        </is>
      </c>
      <c r="AI261" t="inlineStr">
        <is>
          <t>Intermittent irrigation (Alternate Wetting and Drying — AWD); moderate retention</t>
        </is>
      </c>
      <c r="AJ261" t="n">
        <v>50</v>
      </c>
      <c r="AK261" t="n">
        <v>279.34</v>
      </c>
      <c r="AL261" t="n">
        <v>5.59</v>
      </c>
      <c r="AM261" t="inlineStr">
        <is>
          <t>No</t>
        </is>
      </c>
      <c r="AN261" t="inlineStr">
        <is>
          <t>Observed harvest</t>
        </is>
      </c>
    </row>
    <row r="262">
      <c r="A262" t="inlineStr">
        <is>
          <t>Palay</t>
        </is>
      </c>
      <c r="B262" t="inlineStr">
        <is>
          <t>Pasileng Norte</t>
        </is>
      </c>
      <c r="C262" t="inlineStr">
        <is>
          <t>DS 2022</t>
        </is>
      </c>
      <c r="D262" t="inlineStr">
        <is>
          <t>January</t>
        </is>
      </c>
      <c r="E262" t="inlineStr">
        <is>
          <t>2022</t>
        </is>
      </c>
      <c r="F262" t="inlineStr">
        <is>
          <t>May</t>
        </is>
      </c>
      <c r="G262" t="inlineStr">
        <is>
          <t>2022</t>
        </is>
      </c>
      <c r="H262" t="n">
        <v>3.07</v>
      </c>
      <c r="I262" t="n">
        <v>23.99</v>
      </c>
      <c r="J262" t="n">
        <v>16.71</v>
      </c>
      <c r="K262" t="n">
        <v>31.67</v>
      </c>
      <c r="L262" t="n">
        <v>78.95</v>
      </c>
      <c r="M262" t="n">
        <v>98.56999999999999</v>
      </c>
      <c r="N262" t="n">
        <v>16.75</v>
      </c>
      <c r="O262" t="n">
        <v>7.75</v>
      </c>
      <c r="P262" t="n">
        <v>28.52</v>
      </c>
      <c r="Q262" t="n">
        <v>22.41</v>
      </c>
      <c r="R262" t="n">
        <v>37.39</v>
      </c>
      <c r="S262" t="n">
        <v>76.47</v>
      </c>
      <c r="T262" t="n">
        <v>98.2</v>
      </c>
      <c r="U262" t="n">
        <v>21.19</v>
      </c>
      <c r="V262" t="inlineStr">
        <is>
          <t>Type I – Tropical Monsoon (PAGASA)</t>
        </is>
      </c>
      <c r="W262" t="inlineStr">
        <is>
          <t>Dry (Cool)</t>
        </is>
      </c>
      <c r="X262" t="inlineStr">
        <is>
          <t>Wet</t>
        </is>
      </c>
      <c r="Y262" t="inlineStr">
        <is>
          <t>Sandy Loam</t>
        </is>
      </c>
      <c r="Z262" t="inlineStr">
        <is>
          <t>Flat / Lowland</t>
        </is>
      </c>
      <c r="AA262" t="n">
        <v>30</v>
      </c>
      <c r="AB262" t="inlineStr">
        <is>
          <t>Tagamusing River</t>
        </is>
      </c>
      <c r="AC262" t="n">
        <v>140.28</v>
      </c>
      <c r="AD262" t="n">
        <v>19.55</v>
      </c>
      <c r="AE262" t="n">
        <v>20.7</v>
      </c>
      <c r="AF262" t="n">
        <v>75</v>
      </c>
      <c r="AG262" t="inlineStr">
        <is>
          <t>Transplanting (Pindot) or Direct Seeding (Pinaghandaan)</t>
        </is>
      </c>
      <c r="AH262" t="inlineStr">
        <is>
          <t>Conventional Tillage: 2 plowings + 2 harrowings; soil workable when moist</t>
        </is>
      </c>
      <c r="AI262" t="inlineStr">
        <is>
          <t>Intermittent irrigation (Alternate Wetting and Drying — AWD); moderate retention</t>
        </is>
      </c>
      <c r="AJ262" t="n">
        <v>75</v>
      </c>
      <c r="AK262" t="n">
        <v>397.92</v>
      </c>
      <c r="AL262" t="n">
        <v>5.31</v>
      </c>
      <c r="AM262" t="inlineStr">
        <is>
          <t>No</t>
        </is>
      </c>
      <c r="AN262" t="inlineStr">
        <is>
          <t>Observed harvest</t>
        </is>
      </c>
    </row>
    <row r="263">
      <c r="A263" t="inlineStr">
        <is>
          <t>Palay</t>
        </is>
      </c>
      <c r="B263" t="inlineStr">
        <is>
          <t>Pasileng Sur</t>
        </is>
      </c>
      <c r="C263" t="inlineStr">
        <is>
          <t>DS 2022</t>
        </is>
      </c>
      <c r="D263" t="inlineStr">
        <is>
          <t>January</t>
        </is>
      </c>
      <c r="E263" t="inlineStr">
        <is>
          <t>2022</t>
        </is>
      </c>
      <c r="F263" t="inlineStr">
        <is>
          <t>May</t>
        </is>
      </c>
      <c r="G263" t="inlineStr">
        <is>
          <t>2022</t>
        </is>
      </c>
      <c r="H263" t="n">
        <v>3.07</v>
      </c>
      <c r="I263" t="n">
        <v>23.99</v>
      </c>
      <c r="J263" t="n">
        <v>16.71</v>
      </c>
      <c r="K263" t="n">
        <v>31.67</v>
      </c>
      <c r="L263" t="n">
        <v>78.95</v>
      </c>
      <c r="M263" t="n">
        <v>98.56999999999999</v>
      </c>
      <c r="N263" t="n">
        <v>16.75</v>
      </c>
      <c r="O263" t="n">
        <v>7.75</v>
      </c>
      <c r="P263" t="n">
        <v>28.52</v>
      </c>
      <c r="Q263" t="n">
        <v>22.41</v>
      </c>
      <c r="R263" t="n">
        <v>37.39</v>
      </c>
      <c r="S263" t="n">
        <v>76.47</v>
      </c>
      <c r="T263" t="n">
        <v>98.2</v>
      </c>
      <c r="U263" t="n">
        <v>21.19</v>
      </c>
      <c r="V263" t="inlineStr">
        <is>
          <t>Type I – Tropical Monsoon (PAGASA)</t>
        </is>
      </c>
      <c r="W263" t="inlineStr">
        <is>
          <t>Dry (Cool)</t>
        </is>
      </c>
      <c r="X263" t="inlineStr">
        <is>
          <t>Wet</t>
        </is>
      </c>
      <c r="Y263" t="inlineStr">
        <is>
          <t>Sandy Loam</t>
        </is>
      </c>
      <c r="Z263" t="inlineStr">
        <is>
          <t>Flat / Lowland</t>
        </is>
      </c>
      <c r="AA263" t="n">
        <v>30</v>
      </c>
      <c r="AB263" t="inlineStr">
        <is>
          <t>Tagamusing River</t>
        </is>
      </c>
      <c r="AC263" t="n">
        <v>414.96</v>
      </c>
      <c r="AD263" t="n">
        <v>31.77</v>
      </c>
      <c r="AE263" t="n">
        <v>26.4</v>
      </c>
      <c r="AF263" t="n">
        <v>120</v>
      </c>
      <c r="AG263" t="inlineStr">
        <is>
          <t>Transplanting (Pindot) or Direct Seeding (Pinaghandaan)</t>
        </is>
      </c>
      <c r="AH263" t="inlineStr">
        <is>
          <t>Conventional Tillage: 2 plowings + 2 harrowings; soil workable when moist</t>
        </is>
      </c>
      <c r="AI263" t="inlineStr">
        <is>
          <t>Intermittent irrigation (Alternate Wetting and Drying — AWD); moderate retention</t>
        </is>
      </c>
      <c r="AJ263" t="n">
        <v>120</v>
      </c>
      <c r="AK263" t="n">
        <v>649.12</v>
      </c>
      <c r="AL263" t="n">
        <v>5.41</v>
      </c>
      <c r="AM263" t="inlineStr">
        <is>
          <t>No</t>
        </is>
      </c>
      <c r="AN263" t="inlineStr">
        <is>
          <t>Observed harvest</t>
        </is>
      </c>
    </row>
    <row r="264">
      <c r="A264" t="inlineStr">
        <is>
          <t>Palay</t>
        </is>
      </c>
      <c r="B264" t="inlineStr">
        <is>
          <t>San Felipe Central</t>
        </is>
      </c>
      <c r="C264" t="inlineStr">
        <is>
          <t>DS 2022</t>
        </is>
      </c>
      <c r="D264" t="inlineStr">
        <is>
          <t>January</t>
        </is>
      </c>
      <c r="E264" t="inlineStr">
        <is>
          <t>2022</t>
        </is>
      </c>
      <c r="F264" t="inlineStr">
        <is>
          <t>May</t>
        </is>
      </c>
      <c r="G264" t="inlineStr">
        <is>
          <t>2022</t>
        </is>
      </c>
      <c r="H264" t="n">
        <v>3.07</v>
      </c>
      <c r="I264" t="n">
        <v>23.99</v>
      </c>
      <c r="J264" t="n">
        <v>16.71</v>
      </c>
      <c r="K264" t="n">
        <v>31.67</v>
      </c>
      <c r="L264" t="n">
        <v>78.95</v>
      </c>
      <c r="M264" t="n">
        <v>98.56999999999999</v>
      </c>
      <c r="N264" t="n">
        <v>16.75</v>
      </c>
      <c r="O264" t="n">
        <v>7.75</v>
      </c>
      <c r="P264" t="n">
        <v>28.52</v>
      </c>
      <c r="Q264" t="n">
        <v>22.41</v>
      </c>
      <c r="R264" t="n">
        <v>37.39</v>
      </c>
      <c r="S264" t="n">
        <v>76.47</v>
      </c>
      <c r="T264" t="n">
        <v>98.2</v>
      </c>
      <c r="U264" t="n">
        <v>21.19</v>
      </c>
      <c r="V264" t="inlineStr">
        <is>
          <t>Type I – Tropical Monsoon (PAGASA)</t>
        </is>
      </c>
      <c r="W264" t="inlineStr">
        <is>
          <t>Dry (Cool)</t>
        </is>
      </c>
      <c r="X264" t="inlineStr">
        <is>
          <t>Wet</t>
        </is>
      </c>
      <c r="Y264" t="inlineStr">
        <is>
          <t>Sandy Loam</t>
        </is>
      </c>
      <c r="Z264" t="inlineStr">
        <is>
          <t>Flat / Lowland</t>
        </is>
      </c>
      <c r="AA264" t="n">
        <v>30</v>
      </c>
      <c r="AB264" t="inlineStr">
        <is>
          <t>—</t>
        </is>
      </c>
      <c r="AC264" t="n">
        <v>452.76</v>
      </c>
      <c r="AD264" t="n">
        <v>10</v>
      </c>
      <c r="AE264" t="n">
        <v>32.1</v>
      </c>
      <c r="AF264" t="n">
        <v>100</v>
      </c>
      <c r="AG264" t="inlineStr">
        <is>
          <t>Transplanting (Pindot) or Direct Seeding (Pinaghandaan)</t>
        </is>
      </c>
      <c r="AH264" t="inlineStr">
        <is>
          <t>Conventional Tillage: 2 plowings + 2 harrowings; soil workable when moist</t>
        </is>
      </c>
      <c r="AI264" t="inlineStr">
        <is>
          <t>Intermittent irrigation (Alternate Wetting and Drying — AWD); moderate retention</t>
        </is>
      </c>
      <c r="AJ264" t="n">
        <v>100</v>
      </c>
      <c r="AK264" t="n">
        <v>516.55</v>
      </c>
      <c r="AL264" t="n">
        <v>5.17</v>
      </c>
      <c r="AM264" t="inlineStr">
        <is>
          <t>No</t>
        </is>
      </c>
      <c r="AN264" t="inlineStr">
        <is>
          <t>Observed harvest</t>
        </is>
      </c>
    </row>
    <row r="265">
      <c r="A265" t="inlineStr">
        <is>
          <t>Palay</t>
        </is>
      </c>
      <c r="B265" t="inlineStr">
        <is>
          <t>San Felipe Sur</t>
        </is>
      </c>
      <c r="C265" t="inlineStr">
        <is>
          <t>DS 2022</t>
        </is>
      </c>
      <c r="D265" t="inlineStr">
        <is>
          <t>January</t>
        </is>
      </c>
      <c r="E265" t="inlineStr">
        <is>
          <t>2022</t>
        </is>
      </c>
      <c r="F265" t="inlineStr">
        <is>
          <t>May</t>
        </is>
      </c>
      <c r="G265" t="inlineStr">
        <is>
          <t>2022</t>
        </is>
      </c>
      <c r="H265" t="n">
        <v>3.07</v>
      </c>
      <c r="I265" t="n">
        <v>23.99</v>
      </c>
      <c r="J265" t="n">
        <v>16.71</v>
      </c>
      <c r="K265" t="n">
        <v>31.67</v>
      </c>
      <c r="L265" t="n">
        <v>78.95</v>
      </c>
      <c r="M265" t="n">
        <v>98.56999999999999</v>
      </c>
      <c r="N265" t="n">
        <v>16.75</v>
      </c>
      <c r="O265" t="n">
        <v>7.75</v>
      </c>
      <c r="P265" t="n">
        <v>28.52</v>
      </c>
      <c r="Q265" t="n">
        <v>22.41</v>
      </c>
      <c r="R265" t="n">
        <v>37.39</v>
      </c>
      <c r="S265" t="n">
        <v>76.47</v>
      </c>
      <c r="T265" t="n">
        <v>98.2</v>
      </c>
      <c r="U265" t="n">
        <v>21.19</v>
      </c>
      <c r="V265" t="inlineStr">
        <is>
          <t>Type I – Tropical Monsoon (PAGASA)</t>
        </is>
      </c>
      <c r="W265" t="inlineStr">
        <is>
          <t>Dry (Cool)</t>
        </is>
      </c>
      <c r="X265" t="inlineStr">
        <is>
          <t>Wet</t>
        </is>
      </c>
      <c r="Y265" t="inlineStr">
        <is>
          <t>Sandy Loam</t>
        </is>
      </c>
      <c r="Z265" t="inlineStr">
        <is>
          <t>Flat / Lowland</t>
        </is>
      </c>
      <c r="AA265" t="n">
        <v>30</v>
      </c>
      <c r="AB265" t="inlineStr">
        <is>
          <t>Tagamusing River</t>
        </is>
      </c>
      <c r="AC265" t="n">
        <v>504</v>
      </c>
      <c r="AD265" t="n">
        <v>6.8</v>
      </c>
      <c r="AE265" t="n">
        <v>37.8</v>
      </c>
      <c r="AF265" t="n">
        <v>115</v>
      </c>
      <c r="AG265" t="inlineStr">
        <is>
          <t>Transplanting (Pindot) or Direct Seeding (Pinaghandaan)</t>
        </is>
      </c>
      <c r="AH265" t="inlineStr">
        <is>
          <t>Conventional Tillage: 2 plowings + 2 harrowings; soil workable when moist</t>
        </is>
      </c>
      <c r="AI265" t="inlineStr">
        <is>
          <t>Intermittent irrigation (Alternate Wetting and Drying — AWD); moderate retention</t>
        </is>
      </c>
      <c r="AJ265" t="n">
        <v>115</v>
      </c>
      <c r="AK265" t="n">
        <v>615.52</v>
      </c>
      <c r="AL265" t="n">
        <v>5.35</v>
      </c>
      <c r="AM265" t="inlineStr">
        <is>
          <t>No</t>
        </is>
      </c>
      <c r="AN265" t="inlineStr">
        <is>
          <t>Observed harvest</t>
        </is>
      </c>
    </row>
    <row r="266">
      <c r="A266" t="inlineStr">
        <is>
          <t>Palay</t>
        </is>
      </c>
      <c r="B266" t="inlineStr">
        <is>
          <t>San Pablo</t>
        </is>
      </c>
      <c r="C266" t="inlineStr">
        <is>
          <t>DS 2022</t>
        </is>
      </c>
      <c r="D266" t="inlineStr">
        <is>
          <t>January</t>
        </is>
      </c>
      <c r="E266" t="inlineStr">
        <is>
          <t>2022</t>
        </is>
      </c>
      <c r="F266" t="inlineStr">
        <is>
          <t>May</t>
        </is>
      </c>
      <c r="G266" t="inlineStr">
        <is>
          <t>2022</t>
        </is>
      </c>
      <c r="H266" t="n">
        <v>3.07</v>
      </c>
      <c r="I266" t="n">
        <v>23.99</v>
      </c>
      <c r="J266" t="n">
        <v>16.71</v>
      </c>
      <c r="K266" t="n">
        <v>31.67</v>
      </c>
      <c r="L266" t="n">
        <v>78.95</v>
      </c>
      <c r="M266" t="n">
        <v>98.56999999999999</v>
      </c>
      <c r="N266" t="n">
        <v>16.75</v>
      </c>
      <c r="O266" t="n">
        <v>7.75</v>
      </c>
      <c r="P266" t="n">
        <v>28.52</v>
      </c>
      <c r="Q266" t="n">
        <v>22.41</v>
      </c>
      <c r="R266" t="n">
        <v>37.39</v>
      </c>
      <c r="S266" t="n">
        <v>76.47</v>
      </c>
      <c r="T266" t="n">
        <v>98.2</v>
      </c>
      <c r="U266" t="n">
        <v>21.19</v>
      </c>
      <c r="V266" t="inlineStr">
        <is>
          <t>Type I – Tropical Monsoon (PAGASA)</t>
        </is>
      </c>
      <c r="W266" t="inlineStr">
        <is>
          <t>Dry (Cool)</t>
        </is>
      </c>
      <c r="X266" t="inlineStr">
        <is>
          <t>Wet</t>
        </is>
      </c>
      <c r="Y266" t="inlineStr">
        <is>
          <t>Sandy Loam</t>
        </is>
      </c>
      <c r="Z266" t="inlineStr">
        <is>
          <t>Flat / Lowland</t>
        </is>
      </c>
      <c r="AA266" t="n">
        <v>30</v>
      </c>
      <c r="AB266" t="inlineStr">
        <is>
          <t>San Pablo Creek</t>
        </is>
      </c>
      <c r="AC266" t="n">
        <v>215.04</v>
      </c>
      <c r="AD266" t="n">
        <v>8.800000000000001</v>
      </c>
      <c r="AE266" t="n">
        <v>43.5</v>
      </c>
      <c r="AF266" t="n">
        <v>103</v>
      </c>
      <c r="AG266" t="inlineStr">
        <is>
          <t>Transplanting (Pindot) or Direct Seeding (Pinaghandaan)</t>
        </is>
      </c>
      <c r="AH266" t="inlineStr">
        <is>
          <t>Conventional Tillage: 2 plowings + 2 harrowings; soil workable when moist</t>
        </is>
      </c>
      <c r="AI266" t="inlineStr">
        <is>
          <t>Intermittent irrigation (Alternate Wetting and Drying — AWD); moderate retention</t>
        </is>
      </c>
      <c r="AJ266" t="n">
        <v>103</v>
      </c>
      <c r="AK266" t="n">
        <v>607.49</v>
      </c>
      <c r="AL266" t="n">
        <v>5.9</v>
      </c>
      <c r="AM266" t="inlineStr">
        <is>
          <t>No</t>
        </is>
      </c>
      <c r="AN266" t="inlineStr">
        <is>
          <t>Observed harvest</t>
        </is>
      </c>
    </row>
    <row r="267">
      <c r="A267" t="inlineStr">
        <is>
          <t>Palay</t>
        </is>
      </c>
      <c r="B267" t="inlineStr">
        <is>
          <t>Santiago</t>
        </is>
      </c>
      <c r="C267" t="inlineStr">
        <is>
          <t>DS 2022</t>
        </is>
      </c>
      <c r="D267" t="inlineStr">
        <is>
          <t>January</t>
        </is>
      </c>
      <c r="E267" t="inlineStr">
        <is>
          <t>2022</t>
        </is>
      </c>
      <c r="F267" t="inlineStr">
        <is>
          <t>May</t>
        </is>
      </c>
      <c r="G267" t="inlineStr">
        <is>
          <t>2022</t>
        </is>
      </c>
      <c r="H267" t="n">
        <v>3.07</v>
      </c>
      <c r="I267" t="n">
        <v>23.99</v>
      </c>
      <c r="J267" t="n">
        <v>16.71</v>
      </c>
      <c r="K267" t="n">
        <v>31.67</v>
      </c>
      <c r="L267" t="n">
        <v>78.95</v>
      </c>
      <c r="M267" t="n">
        <v>98.56999999999999</v>
      </c>
      <c r="N267" t="n">
        <v>16.75</v>
      </c>
      <c r="O267" t="n">
        <v>7.75</v>
      </c>
      <c r="P267" t="n">
        <v>28.52</v>
      </c>
      <c r="Q267" t="n">
        <v>22.41</v>
      </c>
      <c r="R267" t="n">
        <v>37.39</v>
      </c>
      <c r="S267" t="n">
        <v>76.47</v>
      </c>
      <c r="T267" t="n">
        <v>98.2</v>
      </c>
      <c r="U267" t="n">
        <v>21.19</v>
      </c>
      <c r="V267" t="inlineStr">
        <is>
          <t>Type I – Tropical Monsoon (PAGASA)</t>
        </is>
      </c>
      <c r="W267" t="inlineStr">
        <is>
          <t>Dry (Cool)</t>
        </is>
      </c>
      <c r="X267" t="inlineStr">
        <is>
          <t>Wet</t>
        </is>
      </c>
      <c r="Y267" t="inlineStr">
        <is>
          <t>Silty Clay Loam</t>
        </is>
      </c>
      <c r="Z267" t="inlineStr">
        <is>
          <t>Flat / Lowland</t>
        </is>
      </c>
      <c r="AA267" t="n">
        <v>30</v>
      </c>
      <c r="AB267" t="inlineStr">
        <is>
          <t>—</t>
        </is>
      </c>
      <c r="AC267" t="n">
        <v>283.08</v>
      </c>
      <c r="AD267" t="n">
        <v>7.8</v>
      </c>
      <c r="AE267" t="n">
        <v>134.2</v>
      </c>
      <c r="AF267" t="n">
        <v>18</v>
      </c>
      <c r="AG267" t="inlineStr">
        <is>
          <t>Transplanting (Pindot) — optimal for clay-loam paddy fields</t>
        </is>
      </c>
      <c r="AH267" t="inlineStr">
        <is>
          <t>Wet Tillage (Puddling): 2 plowings + thorough harrowing under flooded condition</t>
        </is>
      </c>
      <c r="AI267" t="inlineStr">
        <is>
          <t>Continuous flooding 2–5 cm depth during vegetative stage; drain 2 weeks before harvest</t>
        </is>
      </c>
      <c r="AJ267" t="n">
        <v>18</v>
      </c>
      <c r="AK267" t="n">
        <v>103.91</v>
      </c>
      <c r="AL267" t="n">
        <v>5.77</v>
      </c>
      <c r="AM267" t="inlineStr">
        <is>
          <t>No</t>
        </is>
      </c>
      <c r="AN267" t="inlineStr">
        <is>
          <t>Observed harvest</t>
        </is>
      </c>
    </row>
    <row r="268">
      <c r="A268" t="inlineStr">
        <is>
          <t>Palay</t>
        </is>
      </c>
      <c r="B268" t="inlineStr">
        <is>
          <t>Sta. Catalina</t>
        </is>
      </c>
      <c r="C268" t="inlineStr">
        <is>
          <t>DS 2022</t>
        </is>
      </c>
      <c r="D268" t="inlineStr">
        <is>
          <t>January</t>
        </is>
      </c>
      <c r="E268" t="inlineStr">
        <is>
          <t>2022</t>
        </is>
      </c>
      <c r="F268" t="inlineStr">
        <is>
          <t>May</t>
        </is>
      </c>
      <c r="G268" t="inlineStr">
        <is>
          <t>2022</t>
        </is>
      </c>
      <c r="H268" t="n">
        <v>3.07</v>
      </c>
      <c r="I268" t="n">
        <v>23.99</v>
      </c>
      <c r="J268" t="n">
        <v>16.71</v>
      </c>
      <c r="K268" t="n">
        <v>31.67</v>
      </c>
      <c r="L268" t="n">
        <v>78.95</v>
      </c>
      <c r="M268" t="n">
        <v>98.56999999999999</v>
      </c>
      <c r="N268" t="n">
        <v>16.75</v>
      </c>
      <c r="O268" t="n">
        <v>7.75</v>
      </c>
      <c r="P268" t="n">
        <v>28.52</v>
      </c>
      <c r="Q268" t="n">
        <v>22.41</v>
      </c>
      <c r="R268" t="n">
        <v>37.39</v>
      </c>
      <c r="S268" t="n">
        <v>76.47</v>
      </c>
      <c r="T268" t="n">
        <v>98.2</v>
      </c>
      <c r="U268" t="n">
        <v>21.19</v>
      </c>
      <c r="V268" t="inlineStr">
        <is>
          <t>Type I – Tropical Monsoon (PAGASA)</t>
        </is>
      </c>
      <c r="W268" t="inlineStr">
        <is>
          <t>Dry (Cool)</t>
        </is>
      </c>
      <c r="X268" t="inlineStr">
        <is>
          <t>Wet</t>
        </is>
      </c>
      <c r="Y268" t="inlineStr">
        <is>
          <t>Fine Sand / Sandy Loam</t>
        </is>
      </c>
      <c r="Z268" t="inlineStr">
        <is>
          <t>Moderately Sloping / Highland</t>
        </is>
      </c>
      <c r="AA268" t="n">
        <v>90</v>
      </c>
      <c r="AB268" t="inlineStr">
        <is>
          <t>—</t>
        </is>
      </c>
      <c r="AC268" t="n">
        <v>709.8</v>
      </c>
      <c r="AD268" t="n">
        <v>10.24</v>
      </c>
      <c r="AE268" t="n">
        <v>164</v>
      </c>
      <c r="AF268" t="n">
        <v>9</v>
      </c>
      <c r="AG268" t="inlineStr">
        <is>
          <t>Transplanting (Pindot)</t>
        </is>
      </c>
      <c r="AH268" t="inlineStr">
        <is>
          <t>Minimum Tillage (avoid compaction; sandy structure fragile)</t>
        </is>
      </c>
      <c r="AI268" t="inlineStr">
        <is>
          <t>Continuous flooding or frequent irrigation; high percolation risk; terrace or bund-assisted water retention essential on slopes</t>
        </is>
      </c>
      <c r="AJ268" t="n">
        <v>9</v>
      </c>
      <c r="AK268" t="n">
        <v>33.61</v>
      </c>
      <c r="AL268" t="n">
        <v>3.73</v>
      </c>
      <c r="AM268" t="inlineStr">
        <is>
          <t>No</t>
        </is>
      </c>
      <c r="AN268" t="inlineStr">
        <is>
          <t>Observed harvest</t>
        </is>
      </c>
    </row>
    <row r="269">
      <c r="A269" t="inlineStr">
        <is>
          <t>Palay</t>
        </is>
      </c>
      <c r="B269" t="inlineStr">
        <is>
          <t>Sumabnit</t>
        </is>
      </c>
      <c r="C269" t="inlineStr">
        <is>
          <t>DS 2022</t>
        </is>
      </c>
      <c r="D269" t="inlineStr">
        <is>
          <t>January</t>
        </is>
      </c>
      <c r="E269" t="inlineStr">
        <is>
          <t>2022</t>
        </is>
      </c>
      <c r="F269" t="inlineStr">
        <is>
          <t>May</t>
        </is>
      </c>
      <c r="G269" t="inlineStr">
        <is>
          <t>2022</t>
        </is>
      </c>
      <c r="H269" t="n">
        <v>3.07</v>
      </c>
      <c r="I269" t="n">
        <v>23.99</v>
      </c>
      <c r="J269" t="n">
        <v>16.71</v>
      </c>
      <c r="K269" t="n">
        <v>31.67</v>
      </c>
      <c r="L269" t="n">
        <v>78.95</v>
      </c>
      <c r="M269" t="n">
        <v>98.56999999999999</v>
      </c>
      <c r="N269" t="n">
        <v>16.75</v>
      </c>
      <c r="O269" t="n">
        <v>7.75</v>
      </c>
      <c r="P269" t="n">
        <v>28.52</v>
      </c>
      <c r="Q269" t="n">
        <v>22.41</v>
      </c>
      <c r="R269" t="n">
        <v>37.39</v>
      </c>
      <c r="S269" t="n">
        <v>76.47</v>
      </c>
      <c r="T269" t="n">
        <v>98.2</v>
      </c>
      <c r="U269" t="n">
        <v>21.19</v>
      </c>
      <c r="V269" t="inlineStr">
        <is>
          <t>Type I – Tropical Monsoon (PAGASA)</t>
        </is>
      </c>
      <c r="W269" t="inlineStr">
        <is>
          <t>Dry (Cool)</t>
        </is>
      </c>
      <c r="X269" t="inlineStr">
        <is>
          <t>Wet</t>
        </is>
      </c>
      <c r="Y269" t="inlineStr">
        <is>
          <t>Silty Clay Loam / Fine Sandy Loam</t>
        </is>
      </c>
      <c r="Z269" t="inlineStr">
        <is>
          <t>Flat / Lowland</t>
        </is>
      </c>
      <c r="AA269" t="n">
        <v>30</v>
      </c>
      <c r="AB269" t="inlineStr">
        <is>
          <t>Tagamusing River</t>
        </is>
      </c>
      <c r="AC269" t="n">
        <v>406.56</v>
      </c>
      <c r="AD269" t="n">
        <v>10.55</v>
      </c>
      <c r="AE269" t="n">
        <v>116.6</v>
      </c>
      <c r="AF269" t="n">
        <v>72</v>
      </c>
      <c r="AG269" t="inlineStr">
        <is>
          <t>Transplanting (Pindot)</t>
        </is>
      </c>
      <c r="AH269" t="inlineStr">
        <is>
          <t>Minimum Tillage (avoid compaction; sandy structure fragile)</t>
        </is>
      </c>
      <c r="AI269" t="inlineStr">
        <is>
          <t>Continuous flooding or frequent irrigation; high percolation risk</t>
        </is>
      </c>
      <c r="AJ269" t="n">
        <v>72</v>
      </c>
      <c r="AK269" t="n">
        <v>358.04</v>
      </c>
      <c r="AL269" t="n">
        <v>4.97</v>
      </c>
      <c r="AM269" t="inlineStr">
        <is>
          <t>No</t>
        </is>
      </c>
      <c r="AN269" t="inlineStr">
        <is>
          <t>Observed harvest</t>
        </is>
      </c>
    </row>
    <row r="270">
      <c r="A270" t="inlineStr">
        <is>
          <t>Palay</t>
        </is>
      </c>
      <c r="B270" t="inlineStr">
        <is>
          <t>Tabuyoc</t>
        </is>
      </c>
      <c r="C270" t="inlineStr">
        <is>
          <t>DS 2022</t>
        </is>
      </c>
      <c r="D270" t="inlineStr">
        <is>
          <t>January</t>
        </is>
      </c>
      <c r="E270" t="inlineStr">
        <is>
          <t>2022</t>
        </is>
      </c>
      <c r="F270" t="inlineStr">
        <is>
          <t>May</t>
        </is>
      </c>
      <c r="G270" t="inlineStr">
        <is>
          <t>2022</t>
        </is>
      </c>
      <c r="H270" t="n">
        <v>3.07</v>
      </c>
      <c r="I270" t="n">
        <v>23.99</v>
      </c>
      <c r="J270" t="n">
        <v>16.71</v>
      </c>
      <c r="K270" t="n">
        <v>31.67</v>
      </c>
      <c r="L270" t="n">
        <v>78.95</v>
      </c>
      <c r="M270" t="n">
        <v>98.56999999999999</v>
      </c>
      <c r="N270" t="n">
        <v>16.75</v>
      </c>
      <c r="O270" t="n">
        <v>7.75</v>
      </c>
      <c r="P270" t="n">
        <v>28.52</v>
      </c>
      <c r="Q270" t="n">
        <v>22.41</v>
      </c>
      <c r="R270" t="n">
        <v>37.39</v>
      </c>
      <c r="S270" t="n">
        <v>76.47</v>
      </c>
      <c r="T270" t="n">
        <v>98.2</v>
      </c>
      <c r="U270" t="n">
        <v>21.19</v>
      </c>
      <c r="V270" t="inlineStr">
        <is>
          <t>Type I – Tropical Monsoon (PAGASA)</t>
        </is>
      </c>
      <c r="W270" t="inlineStr">
        <is>
          <t>Dry (Cool)</t>
        </is>
      </c>
      <c r="X270" t="inlineStr">
        <is>
          <t>Wet</t>
        </is>
      </c>
      <c r="Y270" t="inlineStr">
        <is>
          <t>Silty Clay Loam</t>
        </is>
      </c>
      <c r="Z270" t="inlineStr">
        <is>
          <t>Flat / Lowland</t>
        </is>
      </c>
      <c r="AA270" t="n">
        <v>30</v>
      </c>
      <c r="AB270" t="inlineStr">
        <is>
          <t>—</t>
        </is>
      </c>
      <c r="AC270" t="n">
        <v>277.2</v>
      </c>
      <c r="AD270" t="n">
        <v>1.36</v>
      </c>
      <c r="AE270" t="n">
        <v>44.8</v>
      </c>
      <c r="AF270" t="n">
        <v>130</v>
      </c>
      <c r="AG270" t="inlineStr">
        <is>
          <t>Transplanting (Pindot) — optimal for clay-loam paddy fields</t>
        </is>
      </c>
      <c r="AH270" t="inlineStr">
        <is>
          <t>Wet Tillage (Puddling): 2 plowings + thorough harrowing under flooded condition</t>
        </is>
      </c>
      <c r="AI270" t="inlineStr">
        <is>
          <t>Continuous flooding 2–5 cm depth during vegetative stage; drain 2 weeks before harvest</t>
        </is>
      </c>
      <c r="AJ270" t="n">
        <v>130</v>
      </c>
      <c r="AK270" t="n">
        <v>724.9400000000001</v>
      </c>
      <c r="AL270" t="n">
        <v>5.58</v>
      </c>
      <c r="AM270" t="inlineStr">
        <is>
          <t>No</t>
        </is>
      </c>
      <c r="AN270" t="inlineStr">
        <is>
          <t>Observed harvest</t>
        </is>
      </c>
    </row>
    <row r="271">
      <c r="A271" t="inlineStr">
        <is>
          <t>Palay</t>
        </is>
      </c>
      <c r="B271" t="inlineStr">
        <is>
          <t>Balangobong</t>
        </is>
      </c>
      <c r="C271" t="inlineStr">
        <is>
          <t>WS 2015</t>
        </is>
      </c>
      <c r="D271" t="inlineStr">
        <is>
          <t>June</t>
        </is>
      </c>
      <c r="E271" t="inlineStr">
        <is>
          <t>2015</t>
        </is>
      </c>
      <c r="F271" t="inlineStr">
        <is>
          <t>October</t>
        </is>
      </c>
      <c r="G271" t="inlineStr">
        <is>
          <t>2015</t>
        </is>
      </c>
      <c r="H271" t="n">
        <v>7.21</v>
      </c>
      <c r="I271" t="n">
        <v>28.46</v>
      </c>
      <c r="J271" t="n">
        <v>23.39</v>
      </c>
      <c r="K271" t="n">
        <v>37.03</v>
      </c>
      <c r="L271" t="n">
        <v>76.02</v>
      </c>
      <c r="M271" t="n">
        <v>98.26000000000001</v>
      </c>
      <c r="N271" t="n">
        <v>22.25</v>
      </c>
      <c r="V271" t="inlineStr">
        <is>
          <t>Type I – Tropical Monsoon (PAGASA)</t>
        </is>
      </c>
      <c r="W271" t="inlineStr">
        <is>
          <t>Wet</t>
        </is>
      </c>
      <c r="Y271" t="inlineStr">
        <is>
          <t>Silty Clay Loam</t>
        </is>
      </c>
      <c r="Z271" t="inlineStr">
        <is>
          <t>Flat / Lowland</t>
        </is>
      </c>
      <c r="AA271" t="n">
        <v>30</v>
      </c>
      <c r="AB271" t="inlineStr">
        <is>
          <t>—</t>
        </is>
      </c>
      <c r="AC271" t="n">
        <v>281.4</v>
      </c>
      <c r="AD271" t="n">
        <v>10</v>
      </c>
      <c r="AE271" t="n">
        <v>10</v>
      </c>
      <c r="AF271" t="n">
        <v>135</v>
      </c>
      <c r="AG271" t="inlineStr">
        <is>
          <t>Transplanting (Pindot) — optimal for clay-loam paddy fields</t>
        </is>
      </c>
      <c r="AH271" t="inlineStr">
        <is>
          <t>Wet Tillage (Puddling): 2 plowings + thorough harrowing under flooded condition</t>
        </is>
      </c>
      <c r="AI271" t="inlineStr">
        <is>
          <t>Continuous flooding 2–5 cm depth during vegetative stage; drain 2 weeks before harvest</t>
        </is>
      </c>
      <c r="AL271" t="n">
        <v>4.6375</v>
      </c>
      <c r="AM271" t="inlineStr">
        <is>
          <t>Yes</t>
        </is>
      </c>
      <c r="AN271" t="inlineStr">
        <is>
          <t>Crop + Barangay historical mean</t>
        </is>
      </c>
    </row>
    <row r="272">
      <c r="A272" t="inlineStr">
        <is>
          <t>Palay</t>
        </is>
      </c>
      <c r="B272" t="inlineStr">
        <is>
          <t>Bued</t>
        </is>
      </c>
      <c r="C272" t="inlineStr">
        <is>
          <t>WS 2015</t>
        </is>
      </c>
      <c r="D272" t="inlineStr">
        <is>
          <t>June</t>
        </is>
      </c>
      <c r="E272" t="inlineStr">
        <is>
          <t>2015</t>
        </is>
      </c>
      <c r="F272" t="inlineStr">
        <is>
          <t>October</t>
        </is>
      </c>
      <c r="G272" t="inlineStr">
        <is>
          <t>2015</t>
        </is>
      </c>
      <c r="H272" t="n">
        <v>7.21</v>
      </c>
      <c r="I272" t="n">
        <v>28.46</v>
      </c>
      <c r="J272" t="n">
        <v>23.39</v>
      </c>
      <c r="K272" t="n">
        <v>37.03</v>
      </c>
      <c r="L272" t="n">
        <v>76.02</v>
      </c>
      <c r="M272" t="n">
        <v>98.26000000000001</v>
      </c>
      <c r="N272" t="n">
        <v>22.25</v>
      </c>
      <c r="V272" t="inlineStr">
        <is>
          <t>Type I – Tropical Monsoon (PAGASA)</t>
        </is>
      </c>
      <c r="W272" t="inlineStr">
        <is>
          <t>Wet</t>
        </is>
      </c>
      <c r="Y272" t="inlineStr">
        <is>
          <t>Silty Clay Loam</t>
        </is>
      </c>
      <c r="Z272" t="inlineStr">
        <is>
          <t>Flat / Lowland</t>
        </is>
      </c>
      <c r="AA272" t="n">
        <v>30</v>
      </c>
      <c r="AB272" t="inlineStr">
        <is>
          <t>Tagamusing River</t>
        </is>
      </c>
      <c r="AC272" t="n">
        <v>210.84</v>
      </c>
      <c r="AD272" t="n">
        <v>50.8</v>
      </c>
      <c r="AE272" t="n">
        <v>20</v>
      </c>
      <c r="AF272" t="n">
        <v>94</v>
      </c>
      <c r="AG272" t="inlineStr">
        <is>
          <t>Transplanting (Pindot) — optimal for clay-loam paddy fields</t>
        </is>
      </c>
      <c r="AH272" t="inlineStr">
        <is>
          <t>Wet Tillage (Puddling): 2 plowings + thorough harrowing under flooded condition</t>
        </is>
      </c>
      <c r="AI272" t="inlineStr">
        <is>
          <t>Continuous flooding 2–5 cm depth during vegetative stage; drain 2 weeks before harvest</t>
        </is>
      </c>
      <c r="AL272" t="n">
        <v>4.268</v>
      </c>
      <c r="AM272" t="inlineStr">
        <is>
          <t>Yes</t>
        </is>
      </c>
      <c r="AN272" t="inlineStr">
        <is>
          <t>Crop + Barangay historical mean</t>
        </is>
      </c>
    </row>
    <row r="273">
      <c r="A273" t="inlineStr">
        <is>
          <t>Palay</t>
        </is>
      </c>
      <c r="B273" t="inlineStr">
        <is>
          <t>Bugayong</t>
        </is>
      </c>
      <c r="C273" t="inlineStr">
        <is>
          <t>WS 2015</t>
        </is>
      </c>
      <c r="D273" t="inlineStr">
        <is>
          <t>June</t>
        </is>
      </c>
      <c r="E273" t="inlineStr">
        <is>
          <t>2015</t>
        </is>
      </c>
      <c r="F273" t="inlineStr">
        <is>
          <t>October</t>
        </is>
      </c>
      <c r="G273" t="inlineStr">
        <is>
          <t>2015</t>
        </is>
      </c>
      <c r="H273" t="n">
        <v>7.21</v>
      </c>
      <c r="I273" t="n">
        <v>28.46</v>
      </c>
      <c r="J273" t="n">
        <v>23.39</v>
      </c>
      <c r="K273" t="n">
        <v>37.03</v>
      </c>
      <c r="L273" t="n">
        <v>76.02</v>
      </c>
      <c r="M273" t="n">
        <v>98.26000000000001</v>
      </c>
      <c r="N273" t="n">
        <v>22.25</v>
      </c>
      <c r="V273" t="inlineStr">
        <is>
          <t>Type I – Tropical Monsoon (PAGASA)</t>
        </is>
      </c>
      <c r="W273" t="inlineStr">
        <is>
          <t>Wet</t>
        </is>
      </c>
      <c r="Y273" t="inlineStr">
        <is>
          <t>Sandy Loam / Silty Clay Loam</t>
        </is>
      </c>
      <c r="Z273" t="inlineStr">
        <is>
          <t>Flat / Lowland</t>
        </is>
      </c>
      <c r="AA273" t="n">
        <v>30</v>
      </c>
      <c r="AB273" t="inlineStr">
        <is>
          <t>Aloragat River</t>
        </is>
      </c>
      <c r="AC273" t="n">
        <v>346.08</v>
      </c>
      <c r="AD273" t="n">
        <v>24.5</v>
      </c>
      <c r="AE273" t="n">
        <v>31</v>
      </c>
      <c r="AF273" t="n">
        <v>78</v>
      </c>
      <c r="AG273" t="inlineStr">
        <is>
          <t>Transplanting (Pindot) — recommended; Direct Seeding possible in dry season</t>
        </is>
      </c>
      <c r="AH273" t="inlineStr">
        <is>
          <t>Conventional Tillage: 2 plowings + harrowing; puddle thoroughly for transplanting</t>
        </is>
      </c>
      <c r="AI273" t="inlineStr">
        <is>
          <t>Intermittent to continuous flooding; manage according to drainage section present</t>
        </is>
      </c>
      <c r="AL273" t="n">
        <v>4.94</v>
      </c>
      <c r="AM273" t="inlineStr">
        <is>
          <t>Yes</t>
        </is>
      </c>
      <c r="AN273" t="inlineStr">
        <is>
          <t>Crop + Barangay historical mean</t>
        </is>
      </c>
    </row>
    <row r="274">
      <c r="A274" t="inlineStr">
        <is>
          <t>Palay</t>
        </is>
      </c>
      <c r="B274" t="inlineStr">
        <is>
          <t>Camanggaan</t>
        </is>
      </c>
      <c r="C274" t="inlineStr">
        <is>
          <t>WS 2015</t>
        </is>
      </c>
      <c r="D274" t="inlineStr">
        <is>
          <t>June</t>
        </is>
      </c>
      <c r="E274" t="inlineStr">
        <is>
          <t>2015</t>
        </is>
      </c>
      <c r="F274" t="inlineStr">
        <is>
          <t>October</t>
        </is>
      </c>
      <c r="G274" t="inlineStr">
        <is>
          <t>2015</t>
        </is>
      </c>
      <c r="H274" t="n">
        <v>7.21</v>
      </c>
      <c r="I274" t="n">
        <v>28.46</v>
      </c>
      <c r="J274" t="n">
        <v>23.39</v>
      </c>
      <c r="K274" t="n">
        <v>37.03</v>
      </c>
      <c r="L274" t="n">
        <v>76.02</v>
      </c>
      <c r="M274" t="n">
        <v>98.26000000000001</v>
      </c>
      <c r="N274" t="n">
        <v>22.25</v>
      </c>
      <c r="V274" t="inlineStr">
        <is>
          <t>Type I – Tropical Monsoon (PAGASA)</t>
        </is>
      </c>
      <c r="W274" t="inlineStr">
        <is>
          <t>Wet</t>
        </is>
      </c>
      <c r="Y274" t="inlineStr">
        <is>
          <t>Sandy Loam</t>
        </is>
      </c>
      <c r="Z274" t="inlineStr">
        <is>
          <t>Flat / Lowland</t>
        </is>
      </c>
      <c r="AA274" t="n">
        <v>30</v>
      </c>
      <c r="AB274" t="inlineStr">
        <is>
          <t>—</t>
        </is>
      </c>
      <c r="AC274" t="n">
        <v>244.44</v>
      </c>
      <c r="AD274" t="n">
        <v>24.5</v>
      </c>
      <c r="AE274" t="n">
        <v>38</v>
      </c>
      <c r="AF274" t="n">
        <v>87</v>
      </c>
      <c r="AG274" t="inlineStr">
        <is>
          <t>Transplanting (Pindot) or Direct Seeding (Pinaghandaan)</t>
        </is>
      </c>
      <c r="AH274" t="inlineStr">
        <is>
          <t>Conventional Tillage: 2 plowings + 2 harrowings; soil workable when moist</t>
        </is>
      </c>
      <c r="AI274" t="inlineStr">
        <is>
          <t>Intermittent irrigation (Alternate Wetting and Drying — AWD); moderate retention</t>
        </is>
      </c>
      <c r="AL274" t="n">
        <v>4.913125</v>
      </c>
      <c r="AM274" t="inlineStr">
        <is>
          <t>Yes</t>
        </is>
      </c>
      <c r="AN274" t="inlineStr">
        <is>
          <t>Crop + Barangay historical mean</t>
        </is>
      </c>
    </row>
    <row r="275">
      <c r="A275" t="inlineStr">
        <is>
          <t>Palay</t>
        </is>
      </c>
      <c r="B275" t="inlineStr">
        <is>
          <t>Capas</t>
        </is>
      </c>
      <c r="C275" t="inlineStr">
        <is>
          <t>WS 2015</t>
        </is>
      </c>
      <c r="D275" t="inlineStr">
        <is>
          <t>June</t>
        </is>
      </c>
      <c r="E275" t="inlineStr">
        <is>
          <t>2015</t>
        </is>
      </c>
      <c r="F275" t="inlineStr">
        <is>
          <t>October</t>
        </is>
      </c>
      <c r="G275" t="inlineStr">
        <is>
          <t>2015</t>
        </is>
      </c>
      <c r="H275" t="n">
        <v>7.21</v>
      </c>
      <c r="I275" t="n">
        <v>28.46</v>
      </c>
      <c r="J275" t="n">
        <v>23.39</v>
      </c>
      <c r="K275" t="n">
        <v>37.03</v>
      </c>
      <c r="L275" t="n">
        <v>76.02</v>
      </c>
      <c r="M275" t="n">
        <v>98.26000000000001</v>
      </c>
      <c r="N275" t="n">
        <v>22.25</v>
      </c>
      <c r="V275" t="inlineStr">
        <is>
          <t>Type I – Tropical Monsoon (PAGASA)</t>
        </is>
      </c>
      <c r="W275" t="inlineStr">
        <is>
          <t>Wet</t>
        </is>
      </c>
      <c r="Y275" t="inlineStr">
        <is>
          <t>Sandy Loam</t>
        </is>
      </c>
      <c r="Z275" t="inlineStr">
        <is>
          <t>Flat / Lowland</t>
        </is>
      </c>
      <c r="AA275" t="n">
        <v>30</v>
      </c>
      <c r="AB275" t="inlineStr">
        <is>
          <t>—</t>
        </is>
      </c>
      <c r="AC275" t="n">
        <v>377.16</v>
      </c>
      <c r="AD275" t="n">
        <v>3</v>
      </c>
      <c r="AE275" t="n">
        <v>91</v>
      </c>
      <c r="AF275" t="n">
        <v>303</v>
      </c>
      <c r="AG275" t="inlineStr">
        <is>
          <t>Transplanting (Pindot) or Direct Seeding (Pinaghandaan)</t>
        </is>
      </c>
      <c r="AH275" t="inlineStr">
        <is>
          <t>Conventional Tillage: 2 plowings + 2 harrowings; soil workable when moist</t>
        </is>
      </c>
      <c r="AI275" t="inlineStr">
        <is>
          <t>Intermittent irrigation (Alternate Wetting and Drying — AWD); moderate retention</t>
        </is>
      </c>
      <c r="AL275" t="n">
        <v>5.768750000000001</v>
      </c>
      <c r="AM275" t="inlineStr">
        <is>
          <t>Yes</t>
        </is>
      </c>
      <c r="AN275" t="inlineStr">
        <is>
          <t>Crop + Barangay historical mean</t>
        </is>
      </c>
    </row>
    <row r="276">
      <c r="A276" t="inlineStr">
        <is>
          <t>Palay</t>
        </is>
      </c>
      <c r="B276" t="inlineStr">
        <is>
          <t>Cili</t>
        </is>
      </c>
      <c r="C276" t="inlineStr">
        <is>
          <t>WS 2015</t>
        </is>
      </c>
      <c r="D276" t="inlineStr">
        <is>
          <t>June</t>
        </is>
      </c>
      <c r="E276" t="inlineStr">
        <is>
          <t>2015</t>
        </is>
      </c>
      <c r="F276" t="inlineStr">
        <is>
          <t>October</t>
        </is>
      </c>
      <c r="G276" t="inlineStr">
        <is>
          <t>2015</t>
        </is>
      </c>
      <c r="H276" t="n">
        <v>7.21</v>
      </c>
      <c r="I276" t="n">
        <v>28.46</v>
      </c>
      <c r="J276" t="n">
        <v>23.39</v>
      </c>
      <c r="K276" t="n">
        <v>37.03</v>
      </c>
      <c r="L276" t="n">
        <v>76.02</v>
      </c>
      <c r="M276" t="n">
        <v>98.26000000000001</v>
      </c>
      <c r="N276" t="n">
        <v>22.25</v>
      </c>
      <c r="V276" t="inlineStr">
        <is>
          <t>Type I – Tropical Monsoon (PAGASA)</t>
        </is>
      </c>
      <c r="W276" t="inlineStr">
        <is>
          <t>Wet</t>
        </is>
      </c>
      <c r="Y276" t="inlineStr">
        <is>
          <t>Silty Clay Loam</t>
        </is>
      </c>
      <c r="Z276" t="inlineStr">
        <is>
          <t>Flat / Lowland</t>
        </is>
      </c>
      <c r="AA276" t="n">
        <v>30</v>
      </c>
      <c r="AB276" t="inlineStr">
        <is>
          <t>Alibeng River</t>
        </is>
      </c>
      <c r="AC276" t="n">
        <v>264.6</v>
      </c>
      <c r="AD276" t="n">
        <v>35.21</v>
      </c>
      <c r="AE276" t="n">
        <v>75</v>
      </c>
      <c r="AF276" t="n">
        <v>168</v>
      </c>
      <c r="AG276" t="inlineStr">
        <is>
          <t>Transplanting (Pindot) — optimal for clay-loam paddy fields</t>
        </is>
      </c>
      <c r="AH276" t="inlineStr">
        <is>
          <t>Wet Tillage (Puddling): 2 plowings + thorough harrowing under flooded condition</t>
        </is>
      </c>
      <c r="AI276" t="inlineStr">
        <is>
          <t>Continuous flooding 2–5 cm depth during vegetative stage; drain 2 weeks before harvest</t>
        </is>
      </c>
      <c r="AL276" t="n">
        <v>3.386153846153846</v>
      </c>
      <c r="AM276" t="inlineStr">
        <is>
          <t>Yes</t>
        </is>
      </c>
      <c r="AN276" t="inlineStr">
        <is>
          <t>Crop + Barangay historical mean</t>
        </is>
      </c>
    </row>
    <row r="277">
      <c r="A277" t="inlineStr">
        <is>
          <t>Palay</t>
        </is>
      </c>
      <c r="B277" t="inlineStr">
        <is>
          <t>Dumayat</t>
        </is>
      </c>
      <c r="C277" t="inlineStr">
        <is>
          <t>WS 2015</t>
        </is>
      </c>
      <c r="D277" t="inlineStr">
        <is>
          <t>June</t>
        </is>
      </c>
      <c r="E277" t="inlineStr">
        <is>
          <t>2015</t>
        </is>
      </c>
      <c r="F277" t="inlineStr">
        <is>
          <t>October</t>
        </is>
      </c>
      <c r="G277" t="inlineStr">
        <is>
          <t>2015</t>
        </is>
      </c>
      <c r="H277" t="n">
        <v>7.21</v>
      </c>
      <c r="I277" t="n">
        <v>28.46</v>
      </c>
      <c r="J277" t="n">
        <v>23.39</v>
      </c>
      <c r="K277" t="n">
        <v>37.03</v>
      </c>
      <c r="L277" t="n">
        <v>76.02</v>
      </c>
      <c r="M277" t="n">
        <v>98.26000000000001</v>
      </c>
      <c r="N277" t="n">
        <v>22.25</v>
      </c>
      <c r="V277" t="inlineStr">
        <is>
          <t>Type I – Tropical Monsoon (PAGASA)</t>
        </is>
      </c>
      <c r="W277" t="inlineStr">
        <is>
          <t>Wet</t>
        </is>
      </c>
      <c r="Y277" t="inlineStr">
        <is>
          <t>Silty Clay Loam</t>
        </is>
      </c>
      <c r="Z277" t="inlineStr">
        <is>
          <t>Flat / Lowland</t>
        </is>
      </c>
      <c r="AA277" t="n">
        <v>30</v>
      </c>
      <c r="AB277" t="inlineStr">
        <is>
          <t>—</t>
        </is>
      </c>
      <c r="AC277" t="n">
        <v>266.28</v>
      </c>
      <c r="AD277" t="n">
        <v>42.88</v>
      </c>
      <c r="AE277" t="n">
        <v>16</v>
      </c>
      <c r="AF277" t="n">
        <v>86</v>
      </c>
      <c r="AG277" t="inlineStr">
        <is>
          <t>Transplanting (Pindot) — optimal for clay-loam paddy fields</t>
        </is>
      </c>
      <c r="AH277" t="inlineStr">
        <is>
          <t>Wet Tillage (Puddling): 2 plowings + thorough harrowing under flooded condition</t>
        </is>
      </c>
      <c r="AI277" t="inlineStr">
        <is>
          <t>Continuous flooding 2–5 cm depth during vegetative stage; drain 2 weeks before harvest</t>
        </is>
      </c>
      <c r="AL277" t="n">
        <v>3.111</v>
      </c>
      <c r="AM277" t="inlineStr">
        <is>
          <t>Yes</t>
        </is>
      </c>
      <c r="AN277" t="inlineStr">
        <is>
          <t>Crop + Barangay historical mean</t>
        </is>
      </c>
    </row>
    <row r="278">
      <c r="A278" t="inlineStr">
        <is>
          <t>Palay</t>
        </is>
      </c>
      <c r="B278" t="inlineStr">
        <is>
          <t>Linmansangan</t>
        </is>
      </c>
      <c r="C278" t="inlineStr">
        <is>
          <t>WS 2015</t>
        </is>
      </c>
      <c r="D278" t="inlineStr">
        <is>
          <t>June</t>
        </is>
      </c>
      <c r="E278" t="inlineStr">
        <is>
          <t>2015</t>
        </is>
      </c>
      <c r="F278" t="inlineStr">
        <is>
          <t>October</t>
        </is>
      </c>
      <c r="G278" t="inlineStr">
        <is>
          <t>2015</t>
        </is>
      </c>
      <c r="H278" t="n">
        <v>7.21</v>
      </c>
      <c r="I278" t="n">
        <v>28.46</v>
      </c>
      <c r="J278" t="n">
        <v>23.39</v>
      </c>
      <c r="K278" t="n">
        <v>37.03</v>
      </c>
      <c r="L278" t="n">
        <v>76.02</v>
      </c>
      <c r="M278" t="n">
        <v>98.26000000000001</v>
      </c>
      <c r="N278" t="n">
        <v>22.25</v>
      </c>
      <c r="V278" t="inlineStr">
        <is>
          <t>Type I – Tropical Monsoon (PAGASA)</t>
        </is>
      </c>
      <c r="W278" t="inlineStr">
        <is>
          <t>Wet</t>
        </is>
      </c>
      <c r="Y278" t="inlineStr">
        <is>
          <t>Silty Clay Loam</t>
        </is>
      </c>
      <c r="Z278" t="inlineStr">
        <is>
          <t>Flat / Lowland</t>
        </is>
      </c>
      <c r="AA278" t="n">
        <v>30</v>
      </c>
      <c r="AB278" t="inlineStr">
        <is>
          <t>—</t>
        </is>
      </c>
      <c r="AC278" t="n">
        <v>492.24</v>
      </c>
      <c r="AD278" t="n">
        <v>65.5</v>
      </c>
      <c r="AE278" t="n">
        <v>83</v>
      </c>
      <c r="AF278" t="n">
        <v>216</v>
      </c>
      <c r="AG278" t="inlineStr">
        <is>
          <t>Transplanting (Pindot) — optimal for clay-loam paddy fields</t>
        </is>
      </c>
      <c r="AH278" t="inlineStr">
        <is>
          <t>Wet Tillage (Puddling): 2 plowings + thorough harrowing under flooded condition</t>
        </is>
      </c>
      <c r="AI278" t="inlineStr">
        <is>
          <t>Continuous flooding 2–5 cm depth during vegetative stage; drain 2 weeks before harvest</t>
        </is>
      </c>
      <c r="AL278" t="n">
        <v>2.436</v>
      </c>
      <c r="AM278" t="inlineStr">
        <is>
          <t>Yes</t>
        </is>
      </c>
      <c r="AN278" t="inlineStr">
        <is>
          <t>Crop + Barangay historical mean</t>
        </is>
      </c>
    </row>
    <row r="279">
      <c r="A279" t="inlineStr">
        <is>
          <t>Palay</t>
        </is>
      </c>
      <c r="B279" t="inlineStr">
        <is>
          <t>Mangkasuy</t>
        </is>
      </c>
      <c r="C279" t="inlineStr">
        <is>
          <t>WS 2015</t>
        </is>
      </c>
      <c r="D279" t="inlineStr">
        <is>
          <t>June</t>
        </is>
      </c>
      <c r="E279" t="inlineStr">
        <is>
          <t>2015</t>
        </is>
      </c>
      <c r="F279" t="inlineStr">
        <is>
          <t>October</t>
        </is>
      </c>
      <c r="G279" t="inlineStr">
        <is>
          <t>2015</t>
        </is>
      </c>
      <c r="H279" t="n">
        <v>7.21</v>
      </c>
      <c r="I279" t="n">
        <v>28.46</v>
      </c>
      <c r="J279" t="n">
        <v>23.39</v>
      </c>
      <c r="K279" t="n">
        <v>37.03</v>
      </c>
      <c r="L279" t="n">
        <v>76.02</v>
      </c>
      <c r="M279" t="n">
        <v>98.26000000000001</v>
      </c>
      <c r="N279" t="n">
        <v>22.25</v>
      </c>
      <c r="V279" t="inlineStr">
        <is>
          <t>Type I – Tropical Monsoon (PAGASA)</t>
        </is>
      </c>
      <c r="W279" t="inlineStr">
        <is>
          <t>Wet</t>
        </is>
      </c>
      <c r="Y279" t="inlineStr">
        <is>
          <t>Sandy Loam</t>
        </is>
      </c>
      <c r="Z279" t="inlineStr">
        <is>
          <t>Flat / Lowland</t>
        </is>
      </c>
      <c r="AA279" t="n">
        <v>30</v>
      </c>
      <c r="AB279" t="inlineStr">
        <is>
          <t>Tagamusing River</t>
        </is>
      </c>
      <c r="AC279" t="n">
        <v>802.2</v>
      </c>
      <c r="AD279" t="n">
        <v>5</v>
      </c>
      <c r="AE279" t="n">
        <v>158</v>
      </c>
      <c r="AF279" t="n">
        <v>352</v>
      </c>
      <c r="AG279" t="inlineStr">
        <is>
          <t>Transplanting (Pindot) or Direct Seeding (Pinaghandaan)</t>
        </is>
      </c>
      <c r="AH279" t="inlineStr">
        <is>
          <t>Conventional Tillage: 2 plowings + 2 harrowings; soil workable when moist</t>
        </is>
      </c>
      <c r="AI279" t="inlineStr">
        <is>
          <t>Intermittent irrigation (Alternate Wetting and Drying — AWD); moderate retention</t>
        </is>
      </c>
      <c r="AL279" t="n">
        <v>4.494375</v>
      </c>
      <c r="AM279" t="inlineStr">
        <is>
          <t>Yes</t>
        </is>
      </c>
      <c r="AN279" t="inlineStr">
        <is>
          <t>Crop + Barangay historical mean</t>
        </is>
      </c>
    </row>
    <row r="280">
      <c r="A280" t="inlineStr">
        <is>
          <t>Palay</t>
        </is>
      </c>
      <c r="B280" t="inlineStr">
        <is>
          <t>Moreno</t>
        </is>
      </c>
      <c r="C280" t="inlineStr">
        <is>
          <t>WS 2015</t>
        </is>
      </c>
      <c r="D280" t="inlineStr">
        <is>
          <t>June</t>
        </is>
      </c>
      <c r="E280" t="inlineStr">
        <is>
          <t>2015</t>
        </is>
      </c>
      <c r="F280" t="inlineStr">
        <is>
          <t>October</t>
        </is>
      </c>
      <c r="G280" t="inlineStr">
        <is>
          <t>2015</t>
        </is>
      </c>
      <c r="H280" t="n">
        <v>7.21</v>
      </c>
      <c r="I280" t="n">
        <v>28.46</v>
      </c>
      <c r="J280" t="n">
        <v>23.39</v>
      </c>
      <c r="K280" t="n">
        <v>37.03</v>
      </c>
      <c r="L280" t="n">
        <v>76.02</v>
      </c>
      <c r="M280" t="n">
        <v>98.26000000000001</v>
      </c>
      <c r="N280" t="n">
        <v>22.25</v>
      </c>
      <c r="V280" t="inlineStr">
        <is>
          <t>Type I – Tropical Monsoon (PAGASA)</t>
        </is>
      </c>
      <c r="W280" t="inlineStr">
        <is>
          <t>Wet</t>
        </is>
      </c>
      <c r="Y280" t="inlineStr">
        <is>
          <t>Sandy Loam</t>
        </is>
      </c>
      <c r="Z280" t="inlineStr">
        <is>
          <t>Moderately Sloping / Highland</t>
        </is>
      </c>
      <c r="AA280" t="n">
        <v>90</v>
      </c>
      <c r="AB280" t="inlineStr">
        <is>
          <t>Alibeng River</t>
        </is>
      </c>
      <c r="AC280" t="n">
        <v>641.76</v>
      </c>
      <c r="AD280" t="n">
        <v>65.5</v>
      </c>
      <c r="AE280" t="n">
        <v>79</v>
      </c>
      <c r="AF280" t="n">
        <v>164</v>
      </c>
      <c r="AG280" t="inlineStr">
        <is>
          <t>Transplanting (Pindot) or Direct Seeding (Pinaghandaan)</t>
        </is>
      </c>
      <c r="AH280" t="inlineStr">
        <is>
          <t>Conventional Tillage: 2 plowings + 2 harrowings; soil workable when moist</t>
        </is>
      </c>
      <c r="AI280" t="inlineStr">
        <is>
          <t>Intermittent irrigation (Alternate Wetting and Drying — AWD); moderate retention; terrace or bund-assisted water retention essential on slopes</t>
        </is>
      </c>
      <c r="AL280" t="n">
        <v>4.684545454545455</v>
      </c>
      <c r="AM280" t="inlineStr">
        <is>
          <t>Yes</t>
        </is>
      </c>
      <c r="AN280" t="inlineStr">
        <is>
          <t>Crop + Barangay historical mean</t>
        </is>
      </c>
    </row>
    <row r="281">
      <c r="A281" t="inlineStr">
        <is>
          <t>Palay</t>
        </is>
      </c>
      <c r="B281" t="inlineStr">
        <is>
          <t>Pasileng Norte</t>
        </is>
      </c>
      <c r="C281" t="inlineStr">
        <is>
          <t>WS 2015</t>
        </is>
      </c>
      <c r="D281" t="inlineStr">
        <is>
          <t>June</t>
        </is>
      </c>
      <c r="E281" t="inlineStr">
        <is>
          <t>2015</t>
        </is>
      </c>
      <c r="F281" t="inlineStr">
        <is>
          <t>October</t>
        </is>
      </c>
      <c r="G281" t="inlineStr">
        <is>
          <t>2015</t>
        </is>
      </c>
      <c r="H281" t="n">
        <v>7.21</v>
      </c>
      <c r="I281" t="n">
        <v>28.46</v>
      </c>
      <c r="J281" t="n">
        <v>23.39</v>
      </c>
      <c r="K281" t="n">
        <v>37.03</v>
      </c>
      <c r="L281" t="n">
        <v>76.02</v>
      </c>
      <c r="M281" t="n">
        <v>98.26000000000001</v>
      </c>
      <c r="N281" t="n">
        <v>22.25</v>
      </c>
      <c r="V281" t="inlineStr">
        <is>
          <t>Type I – Tropical Monsoon (PAGASA)</t>
        </is>
      </c>
      <c r="W281" t="inlineStr">
        <is>
          <t>Wet</t>
        </is>
      </c>
      <c r="Y281" t="inlineStr">
        <is>
          <t>Sandy Loam</t>
        </is>
      </c>
      <c r="Z281" t="inlineStr">
        <is>
          <t>Flat / Lowland</t>
        </is>
      </c>
      <c r="AA281" t="n">
        <v>30</v>
      </c>
      <c r="AB281" t="inlineStr">
        <is>
          <t>Tagamusing River</t>
        </is>
      </c>
      <c r="AC281" t="n">
        <v>140.28</v>
      </c>
      <c r="AD281" t="n">
        <v>2</v>
      </c>
      <c r="AE281" t="n">
        <v>19.81</v>
      </c>
      <c r="AF281" t="n">
        <v>81</v>
      </c>
      <c r="AG281" t="inlineStr">
        <is>
          <t>Transplanting (Pindot) or Direct Seeding (Pinaghandaan)</t>
        </is>
      </c>
      <c r="AH281" t="inlineStr">
        <is>
          <t>Conventional Tillage: 2 plowings + 2 harrowings; soil workable when moist</t>
        </is>
      </c>
      <c r="AI281" t="inlineStr">
        <is>
          <t>Intermittent irrigation (Alternate Wetting and Drying — AWD); moderate retention</t>
        </is>
      </c>
      <c r="AL281" t="n">
        <v>5.75125</v>
      </c>
      <c r="AM281" t="inlineStr">
        <is>
          <t>Yes</t>
        </is>
      </c>
      <c r="AN281" t="inlineStr">
        <is>
          <t>Crop + Barangay historical mean</t>
        </is>
      </c>
    </row>
    <row r="282">
      <c r="A282" t="inlineStr">
        <is>
          <t>Palay</t>
        </is>
      </c>
      <c r="B282" t="inlineStr">
        <is>
          <t>Pasileng Sur</t>
        </is>
      </c>
      <c r="C282" t="inlineStr">
        <is>
          <t>WS 2015</t>
        </is>
      </c>
      <c r="D282" t="inlineStr">
        <is>
          <t>June</t>
        </is>
      </c>
      <c r="E282" t="inlineStr">
        <is>
          <t>2015</t>
        </is>
      </c>
      <c r="F282" t="inlineStr">
        <is>
          <t>October</t>
        </is>
      </c>
      <c r="G282" t="inlineStr">
        <is>
          <t>2015</t>
        </is>
      </c>
      <c r="H282" t="n">
        <v>7.21</v>
      </c>
      <c r="I282" t="n">
        <v>28.46</v>
      </c>
      <c r="J282" t="n">
        <v>23.39</v>
      </c>
      <c r="K282" t="n">
        <v>37.03</v>
      </c>
      <c r="L282" t="n">
        <v>76.02</v>
      </c>
      <c r="M282" t="n">
        <v>98.26000000000001</v>
      </c>
      <c r="N282" t="n">
        <v>22.25</v>
      </c>
      <c r="V282" t="inlineStr">
        <is>
          <t>Type I – Tropical Monsoon (PAGASA)</t>
        </is>
      </c>
      <c r="W282" t="inlineStr">
        <is>
          <t>Wet</t>
        </is>
      </c>
      <c r="Y282" t="inlineStr">
        <is>
          <t>Sandy Loam</t>
        </is>
      </c>
      <c r="Z282" t="inlineStr">
        <is>
          <t>Flat / Lowland</t>
        </is>
      </c>
      <c r="AA282" t="n">
        <v>30</v>
      </c>
      <c r="AB282" t="inlineStr">
        <is>
          <t>Tagamusing River</t>
        </is>
      </c>
      <c r="AC282" t="n">
        <v>414.96</v>
      </c>
      <c r="AD282" t="n">
        <v>10</v>
      </c>
      <c r="AE282" t="n">
        <v>15</v>
      </c>
      <c r="AF282" t="n">
        <v>180</v>
      </c>
      <c r="AG282" t="inlineStr">
        <is>
          <t>Transplanting (Pindot) or Direct Seeding (Pinaghandaan)</t>
        </is>
      </c>
      <c r="AH282" t="inlineStr">
        <is>
          <t>Conventional Tillage: 2 plowings + 2 harrowings; soil workable when moist</t>
        </is>
      </c>
      <c r="AI282" t="inlineStr">
        <is>
          <t>Intermittent irrigation (Alternate Wetting and Drying — AWD); moderate retention</t>
        </is>
      </c>
      <c r="AL282" t="n">
        <v>5.21</v>
      </c>
      <c r="AM282" t="inlineStr">
        <is>
          <t>Yes</t>
        </is>
      </c>
      <c r="AN282" t="inlineStr">
        <is>
          <t>Crop + Barangay historical mean</t>
        </is>
      </c>
    </row>
    <row r="283">
      <c r="A283" t="inlineStr">
        <is>
          <t>Palay</t>
        </is>
      </c>
      <c r="B283" t="inlineStr">
        <is>
          <t>San Felipe Central</t>
        </is>
      </c>
      <c r="C283" t="inlineStr">
        <is>
          <t>WS 2015</t>
        </is>
      </c>
      <c r="D283" t="inlineStr">
        <is>
          <t>June</t>
        </is>
      </c>
      <c r="E283" t="inlineStr">
        <is>
          <t>2015</t>
        </is>
      </c>
      <c r="F283" t="inlineStr">
        <is>
          <t>October</t>
        </is>
      </c>
      <c r="G283" t="inlineStr">
        <is>
          <t>2015</t>
        </is>
      </c>
      <c r="H283" t="n">
        <v>7.21</v>
      </c>
      <c r="I283" t="n">
        <v>28.46</v>
      </c>
      <c r="J283" t="n">
        <v>23.39</v>
      </c>
      <c r="K283" t="n">
        <v>37.03</v>
      </c>
      <c r="L283" t="n">
        <v>76.02</v>
      </c>
      <c r="M283" t="n">
        <v>98.26000000000001</v>
      </c>
      <c r="N283" t="n">
        <v>22.25</v>
      </c>
      <c r="V283" t="inlineStr">
        <is>
          <t>Type I – Tropical Monsoon (PAGASA)</t>
        </is>
      </c>
      <c r="W283" t="inlineStr">
        <is>
          <t>Wet</t>
        </is>
      </c>
      <c r="Y283" t="inlineStr">
        <is>
          <t>Sandy Loam</t>
        </is>
      </c>
      <c r="Z283" t="inlineStr">
        <is>
          <t>Flat / Lowland</t>
        </is>
      </c>
      <c r="AA283" t="n">
        <v>30</v>
      </c>
      <c r="AB283" t="inlineStr">
        <is>
          <t>—</t>
        </is>
      </c>
      <c r="AC283" t="n">
        <v>452.76</v>
      </c>
      <c r="AD283" t="n">
        <v>5</v>
      </c>
      <c r="AE283" t="n">
        <v>39</v>
      </c>
      <c r="AF283" t="n">
        <v>179</v>
      </c>
      <c r="AG283" t="inlineStr">
        <is>
          <t>Transplanting (Pindot) or Direct Seeding (Pinaghandaan)</t>
        </is>
      </c>
      <c r="AH283" t="inlineStr">
        <is>
          <t>Conventional Tillage: 2 plowings + 2 harrowings; soil workable when moist</t>
        </is>
      </c>
      <c r="AI283" t="inlineStr">
        <is>
          <t>Intermittent irrigation (Alternate Wetting and Drying — AWD); moderate retention</t>
        </is>
      </c>
      <c r="AL283" t="n">
        <v>4.781999999999999</v>
      </c>
      <c r="AM283" t="inlineStr">
        <is>
          <t>Yes</t>
        </is>
      </c>
      <c r="AN283" t="inlineStr">
        <is>
          <t>Crop + Barangay historical mean</t>
        </is>
      </c>
    </row>
    <row r="284">
      <c r="A284" t="inlineStr">
        <is>
          <t>Palay</t>
        </is>
      </c>
      <c r="B284" t="inlineStr">
        <is>
          <t>San Felipe Sur</t>
        </is>
      </c>
      <c r="C284" t="inlineStr">
        <is>
          <t>WS 2015</t>
        </is>
      </c>
      <c r="D284" t="inlineStr">
        <is>
          <t>June</t>
        </is>
      </c>
      <c r="E284" t="inlineStr">
        <is>
          <t>2015</t>
        </is>
      </c>
      <c r="F284" t="inlineStr">
        <is>
          <t>October</t>
        </is>
      </c>
      <c r="G284" t="inlineStr">
        <is>
          <t>2015</t>
        </is>
      </c>
      <c r="H284" t="n">
        <v>7.21</v>
      </c>
      <c r="I284" t="n">
        <v>28.46</v>
      </c>
      <c r="J284" t="n">
        <v>23.39</v>
      </c>
      <c r="K284" t="n">
        <v>37.03</v>
      </c>
      <c r="L284" t="n">
        <v>76.02</v>
      </c>
      <c r="M284" t="n">
        <v>98.26000000000001</v>
      </c>
      <c r="N284" t="n">
        <v>22.25</v>
      </c>
      <c r="V284" t="inlineStr">
        <is>
          <t>Type I – Tropical Monsoon (PAGASA)</t>
        </is>
      </c>
      <c r="W284" t="inlineStr">
        <is>
          <t>Wet</t>
        </is>
      </c>
      <c r="Y284" t="inlineStr">
        <is>
          <t>Sandy Loam</t>
        </is>
      </c>
      <c r="Z284" t="inlineStr">
        <is>
          <t>Flat / Lowland</t>
        </is>
      </c>
      <c r="AA284" t="n">
        <v>30</v>
      </c>
      <c r="AB284" t="inlineStr">
        <is>
          <t>Tagamusing River</t>
        </is>
      </c>
      <c r="AC284" t="n">
        <v>504</v>
      </c>
      <c r="AD284" t="n">
        <v>5</v>
      </c>
      <c r="AE284" t="n">
        <v>27</v>
      </c>
      <c r="AF284" t="n">
        <v>178</v>
      </c>
      <c r="AG284" t="inlineStr">
        <is>
          <t>Transplanting (Pindot) or Direct Seeding (Pinaghandaan)</t>
        </is>
      </c>
      <c r="AH284" t="inlineStr">
        <is>
          <t>Conventional Tillage: 2 plowings + 2 harrowings; soil workable when moist</t>
        </is>
      </c>
      <c r="AI284" t="inlineStr">
        <is>
          <t>Intermittent irrigation (Alternate Wetting and Drying — AWD); moderate retention</t>
        </is>
      </c>
      <c r="AL284" t="n">
        <v>4.83375</v>
      </c>
      <c r="AM284" t="inlineStr">
        <is>
          <t>Yes</t>
        </is>
      </c>
      <c r="AN284" t="inlineStr">
        <is>
          <t>Crop + Barangay historical mean</t>
        </is>
      </c>
    </row>
    <row r="285">
      <c r="A285" t="inlineStr">
        <is>
          <t>Palay</t>
        </is>
      </c>
      <c r="B285" t="inlineStr">
        <is>
          <t>San Pablo</t>
        </is>
      </c>
      <c r="C285" t="inlineStr">
        <is>
          <t>WS 2015</t>
        </is>
      </c>
      <c r="D285" t="inlineStr">
        <is>
          <t>June</t>
        </is>
      </c>
      <c r="E285" t="inlineStr">
        <is>
          <t>2015</t>
        </is>
      </c>
      <c r="F285" t="inlineStr">
        <is>
          <t>October</t>
        </is>
      </c>
      <c r="G285" t="inlineStr">
        <is>
          <t>2015</t>
        </is>
      </c>
      <c r="H285" t="n">
        <v>7.21</v>
      </c>
      <c r="I285" t="n">
        <v>28.46</v>
      </c>
      <c r="J285" t="n">
        <v>23.39</v>
      </c>
      <c r="K285" t="n">
        <v>37.03</v>
      </c>
      <c r="L285" t="n">
        <v>76.02</v>
      </c>
      <c r="M285" t="n">
        <v>98.26000000000001</v>
      </c>
      <c r="N285" t="n">
        <v>22.25</v>
      </c>
      <c r="V285" t="inlineStr">
        <is>
          <t>Type I – Tropical Monsoon (PAGASA)</t>
        </is>
      </c>
      <c r="W285" t="inlineStr">
        <is>
          <t>Wet</t>
        </is>
      </c>
      <c r="Y285" t="inlineStr">
        <is>
          <t>Sandy Loam</t>
        </is>
      </c>
      <c r="Z285" t="inlineStr">
        <is>
          <t>Flat / Lowland</t>
        </is>
      </c>
      <c r="AA285" t="n">
        <v>30</v>
      </c>
      <c r="AB285" t="inlineStr">
        <is>
          <t>San Pablo Creek</t>
        </is>
      </c>
      <c r="AC285" t="n">
        <v>215.04</v>
      </c>
      <c r="AD285" t="n">
        <v>5</v>
      </c>
      <c r="AE285" t="n">
        <v>19</v>
      </c>
      <c r="AF285" t="n">
        <v>134</v>
      </c>
      <c r="AG285" t="inlineStr">
        <is>
          <t>Transplanting (Pindot) or Direct Seeding (Pinaghandaan)</t>
        </is>
      </c>
      <c r="AH285" t="inlineStr">
        <is>
          <t>Conventional Tillage: 2 plowings + 2 harrowings; soil workable when moist</t>
        </is>
      </c>
      <c r="AI285" t="inlineStr">
        <is>
          <t>Intermittent irrigation (Alternate Wetting and Drying — AWD); moderate retention</t>
        </is>
      </c>
      <c r="AL285" t="n">
        <v>5.113125</v>
      </c>
      <c r="AM285" t="inlineStr">
        <is>
          <t>Yes</t>
        </is>
      </c>
      <c r="AN285" t="inlineStr">
        <is>
          <t>Crop + Barangay historical mean</t>
        </is>
      </c>
    </row>
    <row r="286">
      <c r="A286" t="inlineStr">
        <is>
          <t>Palay</t>
        </is>
      </c>
      <c r="B286" t="inlineStr">
        <is>
          <t>Santiago</t>
        </is>
      </c>
      <c r="C286" t="inlineStr">
        <is>
          <t>WS 2015</t>
        </is>
      </c>
      <c r="D286" t="inlineStr">
        <is>
          <t>June</t>
        </is>
      </c>
      <c r="E286" t="inlineStr">
        <is>
          <t>2015</t>
        </is>
      </c>
      <c r="F286" t="inlineStr">
        <is>
          <t>October</t>
        </is>
      </c>
      <c r="G286" t="inlineStr">
        <is>
          <t>2015</t>
        </is>
      </c>
      <c r="H286" t="n">
        <v>7.21</v>
      </c>
      <c r="I286" t="n">
        <v>28.46</v>
      </c>
      <c r="J286" t="n">
        <v>23.39</v>
      </c>
      <c r="K286" t="n">
        <v>37.03</v>
      </c>
      <c r="L286" t="n">
        <v>76.02</v>
      </c>
      <c r="M286" t="n">
        <v>98.26000000000001</v>
      </c>
      <c r="N286" t="n">
        <v>22.25</v>
      </c>
      <c r="V286" t="inlineStr">
        <is>
          <t>Type I – Tropical Monsoon (PAGASA)</t>
        </is>
      </c>
      <c r="W286" t="inlineStr">
        <is>
          <t>Wet</t>
        </is>
      </c>
      <c r="Y286" t="inlineStr">
        <is>
          <t>Silty Clay Loam</t>
        </is>
      </c>
      <c r="Z286" t="inlineStr">
        <is>
          <t>Flat / Lowland</t>
        </is>
      </c>
      <c r="AA286" t="n">
        <v>30</v>
      </c>
      <c r="AB286" t="inlineStr">
        <is>
          <t>—</t>
        </is>
      </c>
      <c r="AC286" t="n">
        <v>283.08</v>
      </c>
      <c r="AD286" t="n">
        <v>130.4</v>
      </c>
      <c r="AE286" t="n">
        <v>84</v>
      </c>
      <c r="AF286" t="n">
        <v>251</v>
      </c>
      <c r="AG286" t="inlineStr">
        <is>
          <t>Transplanting (Pindot) — optimal for clay-loam paddy fields</t>
        </is>
      </c>
      <c r="AH286" t="inlineStr">
        <is>
          <t>Wet Tillage (Puddling): 2 plowings + thorough harrowing under flooded condition</t>
        </is>
      </c>
      <c r="AI286" t="inlineStr">
        <is>
          <t>Continuous flooding 2–5 cm depth during vegetative stage; drain 2 weeks before harvest</t>
        </is>
      </c>
      <c r="AL286" t="n">
        <v>5.240625</v>
      </c>
      <c r="AM286" t="inlineStr">
        <is>
          <t>Yes</t>
        </is>
      </c>
      <c r="AN286" t="inlineStr">
        <is>
          <t>Crop + Barangay historical mean</t>
        </is>
      </c>
    </row>
    <row r="287">
      <c r="A287" t="inlineStr">
        <is>
          <t>Palay</t>
        </is>
      </c>
      <c r="B287" t="inlineStr">
        <is>
          <t>Sta. Catalina</t>
        </is>
      </c>
      <c r="C287" t="inlineStr">
        <is>
          <t>WS 2015</t>
        </is>
      </c>
      <c r="D287" t="inlineStr">
        <is>
          <t>June</t>
        </is>
      </c>
      <c r="E287" t="inlineStr">
        <is>
          <t>2015</t>
        </is>
      </c>
      <c r="F287" t="inlineStr">
        <is>
          <t>October</t>
        </is>
      </c>
      <c r="G287" t="inlineStr">
        <is>
          <t>2015</t>
        </is>
      </c>
      <c r="H287" t="n">
        <v>7.21</v>
      </c>
      <c r="I287" t="n">
        <v>28.46</v>
      </c>
      <c r="J287" t="n">
        <v>23.39</v>
      </c>
      <c r="K287" t="n">
        <v>37.03</v>
      </c>
      <c r="L287" t="n">
        <v>76.02</v>
      </c>
      <c r="M287" t="n">
        <v>98.26000000000001</v>
      </c>
      <c r="N287" t="n">
        <v>22.25</v>
      </c>
      <c r="V287" t="inlineStr">
        <is>
          <t>Type I – Tropical Monsoon (PAGASA)</t>
        </is>
      </c>
      <c r="W287" t="inlineStr">
        <is>
          <t>Wet</t>
        </is>
      </c>
      <c r="Y287" t="inlineStr">
        <is>
          <t>Fine Sand / Sandy Loam</t>
        </is>
      </c>
      <c r="Z287" t="inlineStr">
        <is>
          <t>Moderately Sloping / Highland</t>
        </is>
      </c>
      <c r="AA287" t="n">
        <v>90</v>
      </c>
      <c r="AB287" t="inlineStr">
        <is>
          <t>—</t>
        </is>
      </c>
      <c r="AC287" t="n">
        <v>709.8</v>
      </c>
      <c r="AD287" t="n">
        <v>65.5</v>
      </c>
      <c r="AE287" t="n">
        <v>130</v>
      </c>
      <c r="AF287" t="n">
        <v>229</v>
      </c>
      <c r="AG287" t="inlineStr">
        <is>
          <t>Transplanting (Pindot)</t>
        </is>
      </c>
      <c r="AH287" t="inlineStr">
        <is>
          <t>Minimum Tillage (avoid compaction; sandy structure fragile)</t>
        </is>
      </c>
      <c r="AI287" t="inlineStr">
        <is>
          <t>Continuous flooding or frequent irrigation; high percolation risk; terrace or bund-assisted water retention essential on slopes</t>
        </is>
      </c>
      <c r="AL287" t="n">
        <v>4.6925</v>
      </c>
      <c r="AM287" t="inlineStr">
        <is>
          <t>Yes</t>
        </is>
      </c>
      <c r="AN287" t="inlineStr">
        <is>
          <t>Crop + Barangay historical mean</t>
        </is>
      </c>
    </row>
    <row r="288">
      <c r="A288" t="inlineStr">
        <is>
          <t>Palay</t>
        </is>
      </c>
      <c r="B288" t="inlineStr">
        <is>
          <t>Sta. Maria Norte</t>
        </is>
      </c>
      <c r="C288" t="inlineStr">
        <is>
          <t>WS 2015</t>
        </is>
      </c>
      <c r="D288" t="inlineStr">
        <is>
          <t>June</t>
        </is>
      </c>
      <c r="E288" t="inlineStr">
        <is>
          <t>2015</t>
        </is>
      </c>
      <c r="F288" t="inlineStr">
        <is>
          <t>October</t>
        </is>
      </c>
      <c r="G288" t="inlineStr">
        <is>
          <t>2015</t>
        </is>
      </c>
      <c r="H288" t="n">
        <v>7.21</v>
      </c>
      <c r="I288" t="n">
        <v>28.46</v>
      </c>
      <c r="J288" t="n">
        <v>23.39</v>
      </c>
      <c r="K288" t="n">
        <v>37.03</v>
      </c>
      <c r="L288" t="n">
        <v>76.02</v>
      </c>
      <c r="M288" t="n">
        <v>98.26000000000001</v>
      </c>
      <c r="N288" t="n">
        <v>22.25</v>
      </c>
      <c r="V288" t="inlineStr">
        <is>
          <t>Type I – Tropical Monsoon (PAGASA)</t>
        </is>
      </c>
      <c r="W288" t="inlineStr">
        <is>
          <t>Wet</t>
        </is>
      </c>
      <c r="Y288" t="inlineStr">
        <is>
          <t>Sandy Loam</t>
        </is>
      </c>
      <c r="Z288" t="inlineStr">
        <is>
          <t>Flat / Lowland</t>
        </is>
      </c>
      <c r="AA288" t="n">
        <v>30</v>
      </c>
      <c r="AB288" t="inlineStr">
        <is>
          <t>Tagamusing River</t>
        </is>
      </c>
      <c r="AC288" t="n">
        <v>157.08</v>
      </c>
      <c r="AD288" t="n">
        <v>26.92</v>
      </c>
      <c r="AE288" t="n">
        <v>28</v>
      </c>
      <c r="AF288" t="n">
        <v>68</v>
      </c>
      <c r="AG288" t="inlineStr">
        <is>
          <t>Transplanting (Pindot) or Direct Seeding (Pinaghandaan)</t>
        </is>
      </c>
      <c r="AH288" t="inlineStr">
        <is>
          <t>Conventional Tillage: 2 plowings + 2 harrowings; soil workable when moist</t>
        </is>
      </c>
      <c r="AI288" t="inlineStr">
        <is>
          <t>Intermittent irrigation (Alternate Wetting and Drying — AWD); moderate retention</t>
        </is>
      </c>
      <c r="AL288" t="n">
        <v>3.915</v>
      </c>
      <c r="AM288" t="inlineStr">
        <is>
          <t>Yes</t>
        </is>
      </c>
      <c r="AN288" t="inlineStr">
        <is>
          <t>Crop + Barangay historical mean</t>
        </is>
      </c>
    </row>
    <row r="289">
      <c r="A289" t="inlineStr">
        <is>
          <t>Palay</t>
        </is>
      </c>
      <c r="B289" t="inlineStr">
        <is>
          <t>Sumabnit</t>
        </is>
      </c>
      <c r="C289" t="inlineStr">
        <is>
          <t>WS 2015</t>
        </is>
      </c>
      <c r="D289" t="inlineStr">
        <is>
          <t>June</t>
        </is>
      </c>
      <c r="E289" t="inlineStr">
        <is>
          <t>2015</t>
        </is>
      </c>
      <c r="F289" t="inlineStr">
        <is>
          <t>October</t>
        </is>
      </c>
      <c r="G289" t="inlineStr">
        <is>
          <t>2015</t>
        </is>
      </c>
      <c r="H289" t="n">
        <v>7.21</v>
      </c>
      <c r="I289" t="n">
        <v>28.46</v>
      </c>
      <c r="J289" t="n">
        <v>23.39</v>
      </c>
      <c r="K289" t="n">
        <v>37.03</v>
      </c>
      <c r="L289" t="n">
        <v>76.02</v>
      </c>
      <c r="M289" t="n">
        <v>98.26000000000001</v>
      </c>
      <c r="N289" t="n">
        <v>22.25</v>
      </c>
      <c r="V289" t="inlineStr">
        <is>
          <t>Type I – Tropical Monsoon (PAGASA)</t>
        </is>
      </c>
      <c r="W289" t="inlineStr">
        <is>
          <t>Wet</t>
        </is>
      </c>
      <c r="Y289" t="inlineStr">
        <is>
          <t>Silty Clay Loam / Fine Sandy Loam</t>
        </is>
      </c>
      <c r="Z289" t="inlineStr">
        <is>
          <t>Flat / Lowland</t>
        </is>
      </c>
      <c r="AA289" t="n">
        <v>30</v>
      </c>
      <c r="AB289" t="inlineStr">
        <is>
          <t>Tagamusing River</t>
        </is>
      </c>
      <c r="AC289" t="n">
        <v>406.56</v>
      </c>
      <c r="AD289" t="n">
        <v>130.4</v>
      </c>
      <c r="AE289" t="n">
        <v>71</v>
      </c>
      <c r="AF289" t="n">
        <v>257</v>
      </c>
      <c r="AG289" t="inlineStr">
        <is>
          <t>Transplanting (Pindot)</t>
        </is>
      </c>
      <c r="AH289" t="inlineStr">
        <is>
          <t>Minimum Tillage (avoid compaction; sandy structure fragile)</t>
        </is>
      </c>
      <c r="AI289" t="inlineStr">
        <is>
          <t>Continuous flooding or frequent irrigation; high percolation risk</t>
        </is>
      </c>
      <c r="AL289" t="n">
        <v>4.894375</v>
      </c>
      <c r="AM289" t="inlineStr">
        <is>
          <t>Yes</t>
        </is>
      </c>
      <c r="AN289" t="inlineStr">
        <is>
          <t>Crop + Barangay historical mean</t>
        </is>
      </c>
    </row>
    <row r="290">
      <c r="A290" t="inlineStr">
        <is>
          <t>Palay</t>
        </is>
      </c>
      <c r="B290" t="inlineStr">
        <is>
          <t>Tabuyoc</t>
        </is>
      </c>
      <c r="C290" t="inlineStr">
        <is>
          <t>WS 2015</t>
        </is>
      </c>
      <c r="D290" t="inlineStr">
        <is>
          <t>June</t>
        </is>
      </c>
      <c r="E290" t="inlineStr">
        <is>
          <t>2015</t>
        </is>
      </c>
      <c r="F290" t="inlineStr">
        <is>
          <t>October</t>
        </is>
      </c>
      <c r="G290" t="inlineStr">
        <is>
          <t>2015</t>
        </is>
      </c>
      <c r="H290" t="n">
        <v>7.21</v>
      </c>
      <c r="I290" t="n">
        <v>28.46</v>
      </c>
      <c r="J290" t="n">
        <v>23.39</v>
      </c>
      <c r="K290" t="n">
        <v>37.03</v>
      </c>
      <c r="L290" t="n">
        <v>76.02</v>
      </c>
      <c r="M290" t="n">
        <v>98.26000000000001</v>
      </c>
      <c r="N290" t="n">
        <v>22.25</v>
      </c>
      <c r="V290" t="inlineStr">
        <is>
          <t>Type I – Tropical Monsoon (PAGASA)</t>
        </is>
      </c>
      <c r="W290" t="inlineStr">
        <is>
          <t>Wet</t>
        </is>
      </c>
      <c r="Y290" t="inlineStr">
        <is>
          <t>Silty Clay Loam</t>
        </is>
      </c>
      <c r="Z290" t="inlineStr">
        <is>
          <t>Flat / Lowland</t>
        </is>
      </c>
      <c r="AA290" t="n">
        <v>30</v>
      </c>
      <c r="AB290" t="inlineStr">
        <is>
          <t>—</t>
        </is>
      </c>
      <c r="AC290" t="n">
        <v>277.2</v>
      </c>
      <c r="AD290" t="n">
        <v>130.4</v>
      </c>
      <c r="AE290" t="n">
        <v>5</v>
      </c>
      <c r="AF290" t="n">
        <v>139</v>
      </c>
      <c r="AG290" t="inlineStr">
        <is>
          <t>Transplanting (Pindot) — optimal for clay-loam paddy fields</t>
        </is>
      </c>
      <c r="AH290" t="inlineStr">
        <is>
          <t>Wet Tillage (Puddling): 2 plowings + thorough harrowing under flooded condition</t>
        </is>
      </c>
      <c r="AI290" t="inlineStr">
        <is>
          <t>Continuous flooding 2–5 cm depth during vegetative stage; drain 2 weeks before harvest</t>
        </is>
      </c>
      <c r="AL290" t="n">
        <v>4.3925</v>
      </c>
      <c r="AM290" t="inlineStr">
        <is>
          <t>Yes</t>
        </is>
      </c>
      <c r="AN290" t="inlineStr">
        <is>
          <t>Crop + Barangay historical mean</t>
        </is>
      </c>
    </row>
    <row r="291">
      <c r="A291" t="inlineStr">
        <is>
          <t>Palay</t>
        </is>
      </c>
      <c r="B291" t="inlineStr">
        <is>
          <t>Vacante</t>
        </is>
      </c>
      <c r="C291" t="inlineStr">
        <is>
          <t>WS 2015</t>
        </is>
      </c>
      <c r="D291" t="inlineStr">
        <is>
          <t>June</t>
        </is>
      </c>
      <c r="E291" t="inlineStr">
        <is>
          <t>2015</t>
        </is>
      </c>
      <c r="F291" t="inlineStr">
        <is>
          <t>October</t>
        </is>
      </c>
      <c r="G291" t="inlineStr">
        <is>
          <t>2015</t>
        </is>
      </c>
      <c r="H291" t="n">
        <v>7.21</v>
      </c>
      <c r="I291" t="n">
        <v>28.46</v>
      </c>
      <c r="J291" t="n">
        <v>23.39</v>
      </c>
      <c r="K291" t="n">
        <v>37.03</v>
      </c>
      <c r="L291" t="n">
        <v>76.02</v>
      </c>
      <c r="M291" t="n">
        <v>98.26000000000001</v>
      </c>
      <c r="N291" t="n">
        <v>22.25</v>
      </c>
      <c r="V291" t="inlineStr">
        <is>
          <t>Type I – Tropical Monsoon (PAGASA)</t>
        </is>
      </c>
      <c r="W291" t="inlineStr">
        <is>
          <t>Wet</t>
        </is>
      </c>
      <c r="Y291" t="inlineStr">
        <is>
          <t>Silty Clay Loam</t>
        </is>
      </c>
      <c r="Z291" t="inlineStr">
        <is>
          <t>Flat / Lowland</t>
        </is>
      </c>
      <c r="AA291" t="n">
        <v>30</v>
      </c>
      <c r="AB291" t="inlineStr">
        <is>
          <t>Aloragat River</t>
        </is>
      </c>
      <c r="AC291" t="n">
        <v>484.68</v>
      </c>
      <c r="AD291" t="n">
        <v>24.5</v>
      </c>
      <c r="AE291" t="n">
        <v>47</v>
      </c>
      <c r="AF291" t="n">
        <v>109</v>
      </c>
      <c r="AG291" t="inlineStr">
        <is>
          <t>Transplanting (Pindot) — optimal for clay-loam paddy fields</t>
        </is>
      </c>
      <c r="AH291" t="inlineStr">
        <is>
          <t>Wet Tillage (Puddling): 2 plowings + thorough harrowing under flooded condition</t>
        </is>
      </c>
      <c r="AI291" t="inlineStr">
        <is>
          <t>Continuous flooding 2–5 cm depth during vegetative stage; drain 2 weeks before harvest</t>
        </is>
      </c>
      <c r="AL291" t="n">
        <v>3.59</v>
      </c>
      <c r="AM291" t="inlineStr">
        <is>
          <t>Yes</t>
        </is>
      </c>
      <c r="AN291" t="inlineStr">
        <is>
          <t>Crop + Barangay historical mean</t>
        </is>
      </c>
    </row>
    <row r="292">
      <c r="A292" t="inlineStr">
        <is>
          <t>Palay</t>
        </is>
      </c>
      <c r="B292" t="inlineStr">
        <is>
          <t>Balangobong</t>
        </is>
      </c>
      <c r="C292" t="inlineStr">
        <is>
          <t>WS 2016</t>
        </is>
      </c>
      <c r="D292" t="inlineStr">
        <is>
          <t>June</t>
        </is>
      </c>
      <c r="E292" t="inlineStr">
        <is>
          <t>2016</t>
        </is>
      </c>
      <c r="F292" t="inlineStr">
        <is>
          <t>October</t>
        </is>
      </c>
      <c r="G292" t="inlineStr">
        <is>
          <t>2016</t>
        </is>
      </c>
      <c r="H292" t="n">
        <v>6.97</v>
      </c>
      <c r="I292" t="n">
        <v>27.43</v>
      </c>
      <c r="J292" t="n">
        <v>23.57</v>
      </c>
      <c r="K292" t="n">
        <v>33.6</v>
      </c>
      <c r="L292" t="n">
        <v>81.41</v>
      </c>
      <c r="M292" t="n">
        <v>98.33</v>
      </c>
      <c r="N292" t="n">
        <v>20.67</v>
      </c>
      <c r="O292" t="n">
        <v>16.23</v>
      </c>
      <c r="P292" t="n">
        <v>26</v>
      </c>
      <c r="Q292" t="n">
        <v>21.16</v>
      </c>
      <c r="R292" t="n">
        <v>32.03</v>
      </c>
      <c r="S292" t="n">
        <v>87.93000000000001</v>
      </c>
      <c r="T292" t="n">
        <v>98.16</v>
      </c>
      <c r="U292" t="n">
        <v>16.33</v>
      </c>
      <c r="V292" t="inlineStr">
        <is>
          <t>Type I – Tropical Monsoon (PAGASA)</t>
        </is>
      </c>
      <c r="W292" t="inlineStr">
        <is>
          <t>Wet</t>
        </is>
      </c>
      <c r="X292" t="inlineStr">
        <is>
          <t>Wet</t>
        </is>
      </c>
      <c r="Y292" t="inlineStr">
        <is>
          <t>Silty Clay Loam</t>
        </is>
      </c>
      <c r="Z292" t="inlineStr">
        <is>
          <t>Flat / Lowland</t>
        </is>
      </c>
      <c r="AA292" t="n">
        <v>30</v>
      </c>
      <c r="AB292" t="inlineStr">
        <is>
          <t>—</t>
        </is>
      </c>
      <c r="AC292" t="n">
        <v>281.4</v>
      </c>
      <c r="AD292" t="n">
        <v>120</v>
      </c>
      <c r="AE292" t="n">
        <v>15</v>
      </c>
      <c r="AF292" t="n">
        <v>135</v>
      </c>
      <c r="AG292" t="inlineStr">
        <is>
          <t>Transplanting (Pindot) — optimal for clay-loam paddy fields</t>
        </is>
      </c>
      <c r="AH292" t="inlineStr">
        <is>
          <t>Wet Tillage (Puddling): 2 plowings + thorough harrowing under flooded condition</t>
        </is>
      </c>
      <c r="AI292" t="inlineStr">
        <is>
          <t>Continuous flooding 2–5 cm depth during vegetative stage; drain 2 weeks before harvest</t>
        </is>
      </c>
      <c r="AJ292" t="n">
        <v>39.81</v>
      </c>
      <c r="AK292" t="n">
        <v>191.46</v>
      </c>
      <c r="AL292" t="n">
        <v>4.81</v>
      </c>
      <c r="AM292" t="inlineStr">
        <is>
          <t>No</t>
        </is>
      </c>
      <c r="AN292" t="inlineStr">
        <is>
          <t>Observed harvest</t>
        </is>
      </c>
    </row>
    <row r="293">
      <c r="A293" t="inlineStr">
        <is>
          <t>Palay</t>
        </is>
      </c>
      <c r="B293" t="inlineStr">
        <is>
          <t>Bued</t>
        </is>
      </c>
      <c r="C293" t="inlineStr">
        <is>
          <t>WS 2016</t>
        </is>
      </c>
      <c r="D293" t="inlineStr">
        <is>
          <t>June</t>
        </is>
      </c>
      <c r="E293" t="inlineStr">
        <is>
          <t>2016</t>
        </is>
      </c>
      <c r="F293" t="inlineStr">
        <is>
          <t>October</t>
        </is>
      </c>
      <c r="G293" t="inlineStr">
        <is>
          <t>2016</t>
        </is>
      </c>
      <c r="H293" t="n">
        <v>6.97</v>
      </c>
      <c r="I293" t="n">
        <v>27.43</v>
      </c>
      <c r="J293" t="n">
        <v>23.57</v>
      </c>
      <c r="K293" t="n">
        <v>33.6</v>
      </c>
      <c r="L293" t="n">
        <v>81.41</v>
      </c>
      <c r="M293" t="n">
        <v>98.33</v>
      </c>
      <c r="N293" t="n">
        <v>20.67</v>
      </c>
      <c r="O293" t="n">
        <v>16.23</v>
      </c>
      <c r="P293" t="n">
        <v>26</v>
      </c>
      <c r="Q293" t="n">
        <v>21.16</v>
      </c>
      <c r="R293" t="n">
        <v>32.03</v>
      </c>
      <c r="S293" t="n">
        <v>87.93000000000001</v>
      </c>
      <c r="T293" t="n">
        <v>98.16</v>
      </c>
      <c r="U293" t="n">
        <v>16.33</v>
      </c>
      <c r="V293" t="inlineStr">
        <is>
          <t>Type I – Tropical Monsoon (PAGASA)</t>
        </is>
      </c>
      <c r="W293" t="inlineStr">
        <is>
          <t>Wet</t>
        </is>
      </c>
      <c r="X293" t="inlineStr">
        <is>
          <t>Wet</t>
        </is>
      </c>
      <c r="Y293" t="inlineStr">
        <is>
          <t>Silty Clay Loam</t>
        </is>
      </c>
      <c r="Z293" t="inlineStr">
        <is>
          <t>Flat / Lowland</t>
        </is>
      </c>
      <c r="AA293" t="n">
        <v>30</v>
      </c>
      <c r="AB293" t="inlineStr">
        <is>
          <t>Tagamusing River</t>
        </is>
      </c>
      <c r="AC293" t="n">
        <v>210.84</v>
      </c>
      <c r="AD293" t="n">
        <v>56.5</v>
      </c>
      <c r="AE293" t="n">
        <v>37.5</v>
      </c>
      <c r="AF293" t="n">
        <v>94</v>
      </c>
      <c r="AG293" t="inlineStr">
        <is>
          <t>Transplanting (Pindot) — optimal for clay-loam paddy fields</t>
        </is>
      </c>
      <c r="AH293" t="inlineStr">
        <is>
          <t>Wet Tillage (Puddling): 2 plowings + thorough harrowing under flooded condition</t>
        </is>
      </c>
      <c r="AI293" t="inlineStr">
        <is>
          <t>Continuous flooding 2–5 cm depth during vegetative stage; drain 2 weeks before harvest</t>
        </is>
      </c>
      <c r="AJ293" t="n">
        <v>24.01</v>
      </c>
      <c r="AK293" t="n">
        <v>106.3</v>
      </c>
      <c r="AL293" t="n">
        <v>4.43</v>
      </c>
      <c r="AM293" t="inlineStr">
        <is>
          <t>No</t>
        </is>
      </c>
      <c r="AN293" t="inlineStr">
        <is>
          <t>Observed harvest</t>
        </is>
      </c>
    </row>
    <row r="294">
      <c r="A294" t="inlineStr">
        <is>
          <t>Palay</t>
        </is>
      </c>
      <c r="B294" t="inlineStr">
        <is>
          <t>Bugayong</t>
        </is>
      </c>
      <c r="C294" t="inlineStr">
        <is>
          <t>WS 2016</t>
        </is>
      </c>
      <c r="D294" t="inlineStr">
        <is>
          <t>June</t>
        </is>
      </c>
      <c r="E294" t="inlineStr">
        <is>
          <t>2016</t>
        </is>
      </c>
      <c r="F294" t="inlineStr">
        <is>
          <t>October</t>
        </is>
      </c>
      <c r="G294" t="inlineStr">
        <is>
          <t>2016</t>
        </is>
      </c>
      <c r="H294" t="n">
        <v>6.97</v>
      </c>
      <c r="I294" t="n">
        <v>27.43</v>
      </c>
      <c r="J294" t="n">
        <v>23.57</v>
      </c>
      <c r="K294" t="n">
        <v>33.6</v>
      </c>
      <c r="L294" t="n">
        <v>81.41</v>
      </c>
      <c r="M294" t="n">
        <v>98.33</v>
      </c>
      <c r="N294" t="n">
        <v>20.67</v>
      </c>
      <c r="O294" t="n">
        <v>16.23</v>
      </c>
      <c r="P294" t="n">
        <v>26</v>
      </c>
      <c r="Q294" t="n">
        <v>21.16</v>
      </c>
      <c r="R294" t="n">
        <v>32.03</v>
      </c>
      <c r="S294" t="n">
        <v>87.93000000000001</v>
      </c>
      <c r="T294" t="n">
        <v>98.16</v>
      </c>
      <c r="U294" t="n">
        <v>16.33</v>
      </c>
      <c r="V294" t="inlineStr">
        <is>
          <t>Type I – Tropical Monsoon (PAGASA)</t>
        </is>
      </c>
      <c r="W294" t="inlineStr">
        <is>
          <t>Wet</t>
        </is>
      </c>
      <c r="X294" t="inlineStr">
        <is>
          <t>Wet</t>
        </is>
      </c>
      <c r="Y294" t="inlineStr">
        <is>
          <t>Sandy Loam / Silty Clay Loam</t>
        </is>
      </c>
      <c r="Z294" t="inlineStr">
        <is>
          <t>Flat / Lowland</t>
        </is>
      </c>
      <c r="AA294" t="n">
        <v>30</v>
      </c>
      <c r="AB294" t="inlineStr">
        <is>
          <t>Aloragat River</t>
        </is>
      </c>
      <c r="AC294" t="n">
        <v>346.08</v>
      </c>
      <c r="AD294" t="n">
        <v>25.95</v>
      </c>
      <c r="AE294" t="n">
        <v>52.05</v>
      </c>
      <c r="AF294" t="n">
        <v>78</v>
      </c>
      <c r="AG294" t="inlineStr">
        <is>
          <t>Transplanting (Pindot) — recommended; Direct Seeding possible in dry season</t>
        </is>
      </c>
      <c r="AH294" t="inlineStr">
        <is>
          <t>Conventional Tillage: 2 plowings + harrowing; puddle thoroughly for transplanting</t>
        </is>
      </c>
      <c r="AI294" t="inlineStr">
        <is>
          <t>Intermittent to continuous flooding; manage according to drainage section present</t>
        </is>
      </c>
      <c r="AJ294" t="n">
        <v>25.1</v>
      </c>
      <c r="AK294" t="n">
        <v>117.29</v>
      </c>
      <c r="AL294" t="n">
        <v>4.67</v>
      </c>
      <c r="AM294" t="inlineStr">
        <is>
          <t>No</t>
        </is>
      </c>
      <c r="AN294" t="inlineStr">
        <is>
          <t>Observed harvest</t>
        </is>
      </c>
    </row>
    <row r="295">
      <c r="A295" t="inlineStr">
        <is>
          <t>Palay</t>
        </is>
      </c>
      <c r="B295" t="inlineStr">
        <is>
          <t>Camanggaan</t>
        </is>
      </c>
      <c r="C295" t="inlineStr">
        <is>
          <t>WS 2016</t>
        </is>
      </c>
      <c r="D295" t="inlineStr">
        <is>
          <t>June</t>
        </is>
      </c>
      <c r="E295" t="inlineStr">
        <is>
          <t>2016</t>
        </is>
      </c>
      <c r="F295" t="inlineStr">
        <is>
          <t>October</t>
        </is>
      </c>
      <c r="G295" t="inlineStr">
        <is>
          <t>2016</t>
        </is>
      </c>
      <c r="H295" t="n">
        <v>6.97</v>
      </c>
      <c r="I295" t="n">
        <v>27.43</v>
      </c>
      <c r="J295" t="n">
        <v>23.57</v>
      </c>
      <c r="K295" t="n">
        <v>33.6</v>
      </c>
      <c r="L295" t="n">
        <v>81.41</v>
      </c>
      <c r="M295" t="n">
        <v>98.33</v>
      </c>
      <c r="N295" t="n">
        <v>20.67</v>
      </c>
      <c r="O295" t="n">
        <v>16.23</v>
      </c>
      <c r="P295" t="n">
        <v>26</v>
      </c>
      <c r="Q295" t="n">
        <v>21.16</v>
      </c>
      <c r="R295" t="n">
        <v>32.03</v>
      </c>
      <c r="S295" t="n">
        <v>87.93000000000001</v>
      </c>
      <c r="T295" t="n">
        <v>98.16</v>
      </c>
      <c r="U295" t="n">
        <v>16.33</v>
      </c>
      <c r="V295" t="inlineStr">
        <is>
          <t>Type I – Tropical Monsoon (PAGASA)</t>
        </is>
      </c>
      <c r="W295" t="inlineStr">
        <is>
          <t>Wet</t>
        </is>
      </c>
      <c r="X295" t="inlineStr">
        <is>
          <t>Wet</t>
        </is>
      </c>
      <c r="Y295" t="inlineStr">
        <is>
          <t>Sandy Loam</t>
        </is>
      </c>
      <c r="Z295" t="inlineStr">
        <is>
          <t>Flat / Lowland</t>
        </is>
      </c>
      <c r="AA295" t="n">
        <v>30</v>
      </c>
      <c r="AB295" t="inlineStr">
        <is>
          <t>—</t>
        </is>
      </c>
      <c r="AC295" t="n">
        <v>244.44</v>
      </c>
      <c r="AD295" t="n">
        <v>19</v>
      </c>
      <c r="AE295" t="n">
        <v>68</v>
      </c>
      <c r="AF295" t="n">
        <v>87</v>
      </c>
      <c r="AG295" t="inlineStr">
        <is>
          <t>Transplanting (Pindot) or Direct Seeding (Pinaghandaan)</t>
        </is>
      </c>
      <c r="AH295" t="inlineStr">
        <is>
          <t>Conventional Tillage: 2 plowings + 2 harrowings; soil workable when moist</t>
        </is>
      </c>
      <c r="AI295" t="inlineStr">
        <is>
          <t>Intermittent irrigation (Alternate Wetting and Drying — AWD); moderate retention</t>
        </is>
      </c>
      <c r="AJ295" t="n">
        <v>16</v>
      </c>
      <c r="AK295" t="n">
        <v>60</v>
      </c>
      <c r="AL295" t="n">
        <v>3.75</v>
      </c>
      <c r="AM295" t="inlineStr">
        <is>
          <t>No</t>
        </is>
      </c>
      <c r="AN295" t="inlineStr">
        <is>
          <t>Observed harvest</t>
        </is>
      </c>
    </row>
    <row r="296">
      <c r="A296" t="inlineStr">
        <is>
          <t>Palay</t>
        </is>
      </c>
      <c r="B296" t="inlineStr">
        <is>
          <t>Capas</t>
        </is>
      </c>
      <c r="C296" t="inlineStr">
        <is>
          <t>WS 2016</t>
        </is>
      </c>
      <c r="D296" t="inlineStr">
        <is>
          <t>June</t>
        </is>
      </c>
      <c r="E296" t="inlineStr">
        <is>
          <t>2016</t>
        </is>
      </c>
      <c r="F296" t="inlineStr">
        <is>
          <t>October</t>
        </is>
      </c>
      <c r="G296" t="inlineStr">
        <is>
          <t>2016</t>
        </is>
      </c>
      <c r="H296" t="n">
        <v>6.97</v>
      </c>
      <c r="I296" t="n">
        <v>27.43</v>
      </c>
      <c r="J296" t="n">
        <v>23.57</v>
      </c>
      <c r="K296" t="n">
        <v>33.6</v>
      </c>
      <c r="L296" t="n">
        <v>81.41</v>
      </c>
      <c r="M296" t="n">
        <v>98.33</v>
      </c>
      <c r="N296" t="n">
        <v>20.67</v>
      </c>
      <c r="O296" t="n">
        <v>16.23</v>
      </c>
      <c r="P296" t="n">
        <v>26</v>
      </c>
      <c r="Q296" t="n">
        <v>21.16</v>
      </c>
      <c r="R296" t="n">
        <v>32.03</v>
      </c>
      <c r="S296" t="n">
        <v>87.93000000000001</v>
      </c>
      <c r="T296" t="n">
        <v>98.16</v>
      </c>
      <c r="U296" t="n">
        <v>16.33</v>
      </c>
      <c r="V296" t="inlineStr">
        <is>
          <t>Type I – Tropical Monsoon (PAGASA)</t>
        </is>
      </c>
      <c r="W296" t="inlineStr">
        <is>
          <t>Wet</t>
        </is>
      </c>
      <c r="X296" t="inlineStr">
        <is>
          <t>Wet</t>
        </is>
      </c>
      <c r="Y296" t="inlineStr">
        <is>
          <t>Sandy Loam</t>
        </is>
      </c>
      <c r="Z296" t="inlineStr">
        <is>
          <t>Flat / Lowland</t>
        </is>
      </c>
      <c r="AA296" t="n">
        <v>30</v>
      </c>
      <c r="AB296" t="inlineStr">
        <is>
          <t>—</t>
        </is>
      </c>
      <c r="AC296" t="n">
        <v>377.16</v>
      </c>
      <c r="AD296" t="n">
        <v>139</v>
      </c>
      <c r="AE296" t="n">
        <v>164</v>
      </c>
      <c r="AF296" t="n">
        <v>303</v>
      </c>
      <c r="AG296" t="inlineStr">
        <is>
          <t>Transplanting (Pindot) or Direct Seeding (Pinaghandaan)</t>
        </is>
      </c>
      <c r="AH296" t="inlineStr">
        <is>
          <t>Conventional Tillage: 2 plowings + 2 harrowings; soil workable when moist</t>
        </is>
      </c>
      <c r="AI296" t="inlineStr">
        <is>
          <t>Intermittent irrigation (Alternate Wetting and Drying — AWD); moderate retention</t>
        </is>
      </c>
      <c r="AJ296" t="n">
        <v>9</v>
      </c>
      <c r="AK296" t="n">
        <v>27.09</v>
      </c>
      <c r="AL296" t="n">
        <v>3.01</v>
      </c>
      <c r="AM296" t="inlineStr">
        <is>
          <t>No</t>
        </is>
      </c>
      <c r="AN296" t="inlineStr">
        <is>
          <t>Observed harvest</t>
        </is>
      </c>
    </row>
    <row r="297">
      <c r="A297" t="inlineStr">
        <is>
          <t>Palay</t>
        </is>
      </c>
      <c r="B297" t="inlineStr">
        <is>
          <t>Cili</t>
        </is>
      </c>
      <c r="C297" t="inlineStr">
        <is>
          <t>WS 2016</t>
        </is>
      </c>
      <c r="D297" t="inlineStr">
        <is>
          <t>June</t>
        </is>
      </c>
      <c r="E297" t="inlineStr">
        <is>
          <t>2016</t>
        </is>
      </c>
      <c r="F297" t="inlineStr">
        <is>
          <t>October</t>
        </is>
      </c>
      <c r="G297" t="inlineStr">
        <is>
          <t>2016</t>
        </is>
      </c>
      <c r="H297" t="n">
        <v>6.97</v>
      </c>
      <c r="I297" t="n">
        <v>27.43</v>
      </c>
      <c r="J297" t="n">
        <v>23.57</v>
      </c>
      <c r="K297" t="n">
        <v>33.6</v>
      </c>
      <c r="L297" t="n">
        <v>81.41</v>
      </c>
      <c r="M297" t="n">
        <v>98.33</v>
      </c>
      <c r="N297" t="n">
        <v>20.67</v>
      </c>
      <c r="O297" t="n">
        <v>16.23</v>
      </c>
      <c r="P297" t="n">
        <v>26</v>
      </c>
      <c r="Q297" t="n">
        <v>21.16</v>
      </c>
      <c r="R297" t="n">
        <v>32.03</v>
      </c>
      <c r="S297" t="n">
        <v>87.93000000000001</v>
      </c>
      <c r="T297" t="n">
        <v>98.16</v>
      </c>
      <c r="U297" t="n">
        <v>16.33</v>
      </c>
      <c r="V297" t="inlineStr">
        <is>
          <t>Type I – Tropical Monsoon (PAGASA)</t>
        </is>
      </c>
      <c r="W297" t="inlineStr">
        <is>
          <t>Wet</t>
        </is>
      </c>
      <c r="X297" t="inlineStr">
        <is>
          <t>Wet</t>
        </is>
      </c>
      <c r="Y297" t="inlineStr">
        <is>
          <t>Silty Clay Loam</t>
        </is>
      </c>
      <c r="Z297" t="inlineStr">
        <is>
          <t>Flat / Lowland</t>
        </is>
      </c>
      <c r="AA297" t="n">
        <v>30</v>
      </c>
      <c r="AB297" t="inlineStr">
        <is>
          <t>Alibeng River</t>
        </is>
      </c>
      <c r="AC297" t="n">
        <v>264.6</v>
      </c>
      <c r="AD297" t="n">
        <v>40</v>
      </c>
      <c r="AE297" t="n">
        <v>128</v>
      </c>
      <c r="AF297" t="n">
        <v>168</v>
      </c>
      <c r="AG297" t="inlineStr">
        <is>
          <t>Transplanting (Pindot) — optimal for clay-loam paddy fields</t>
        </is>
      </c>
      <c r="AH297" t="inlineStr">
        <is>
          <t>Wet Tillage (Puddling): 2 plowings + thorough harrowing under flooded condition</t>
        </is>
      </c>
      <c r="AI297" t="inlineStr">
        <is>
          <t>Continuous flooding 2–5 cm depth during vegetative stage; drain 2 weeks before harvest</t>
        </is>
      </c>
      <c r="AJ297" t="n">
        <v>17.54</v>
      </c>
      <c r="AK297" t="n">
        <v>31.06</v>
      </c>
      <c r="AL297" t="n">
        <v>1.77</v>
      </c>
      <c r="AM297" t="inlineStr">
        <is>
          <t>No</t>
        </is>
      </c>
      <c r="AN297" t="inlineStr">
        <is>
          <t>Observed harvest</t>
        </is>
      </c>
    </row>
    <row r="298">
      <c r="A298" t="inlineStr">
        <is>
          <t>Palay</t>
        </is>
      </c>
      <c r="B298" t="inlineStr">
        <is>
          <t>Dumayat</t>
        </is>
      </c>
      <c r="C298" t="inlineStr">
        <is>
          <t>WS 2016</t>
        </is>
      </c>
      <c r="D298" t="inlineStr">
        <is>
          <t>June</t>
        </is>
      </c>
      <c r="E298" t="inlineStr">
        <is>
          <t>2016</t>
        </is>
      </c>
      <c r="F298" t="inlineStr">
        <is>
          <t>October</t>
        </is>
      </c>
      <c r="G298" t="inlineStr">
        <is>
          <t>2016</t>
        </is>
      </c>
      <c r="H298" t="n">
        <v>6.97</v>
      </c>
      <c r="I298" t="n">
        <v>27.43</v>
      </c>
      <c r="J298" t="n">
        <v>23.57</v>
      </c>
      <c r="K298" t="n">
        <v>33.6</v>
      </c>
      <c r="L298" t="n">
        <v>81.41</v>
      </c>
      <c r="M298" t="n">
        <v>98.33</v>
      </c>
      <c r="N298" t="n">
        <v>20.67</v>
      </c>
      <c r="O298" t="n">
        <v>16.23</v>
      </c>
      <c r="P298" t="n">
        <v>26</v>
      </c>
      <c r="Q298" t="n">
        <v>21.16</v>
      </c>
      <c r="R298" t="n">
        <v>32.03</v>
      </c>
      <c r="S298" t="n">
        <v>87.93000000000001</v>
      </c>
      <c r="T298" t="n">
        <v>98.16</v>
      </c>
      <c r="U298" t="n">
        <v>16.33</v>
      </c>
      <c r="V298" t="inlineStr">
        <is>
          <t>Type I – Tropical Monsoon (PAGASA)</t>
        </is>
      </c>
      <c r="W298" t="inlineStr">
        <is>
          <t>Wet</t>
        </is>
      </c>
      <c r="X298" t="inlineStr">
        <is>
          <t>Wet</t>
        </is>
      </c>
      <c r="Y298" t="inlineStr">
        <is>
          <t>Silty Clay Loam</t>
        </is>
      </c>
      <c r="Z298" t="inlineStr">
        <is>
          <t>Flat / Lowland</t>
        </is>
      </c>
      <c r="AA298" t="n">
        <v>30</v>
      </c>
      <c r="AB298" t="inlineStr">
        <is>
          <t>—</t>
        </is>
      </c>
      <c r="AC298" t="n">
        <v>266.28</v>
      </c>
      <c r="AD298" t="n">
        <v>56</v>
      </c>
      <c r="AE298" t="n">
        <v>30</v>
      </c>
      <c r="AF298" t="n">
        <v>86</v>
      </c>
      <c r="AG298" t="inlineStr">
        <is>
          <t>Transplanting (Pindot) — optimal for clay-loam paddy fields</t>
        </is>
      </c>
      <c r="AH298" t="inlineStr">
        <is>
          <t>Wet Tillage (Puddling): 2 plowings + thorough harrowing under flooded condition</t>
        </is>
      </c>
      <c r="AI298" t="inlineStr">
        <is>
          <t>Continuous flooding 2–5 cm depth during vegetative stage; drain 2 weeks before harvest</t>
        </is>
      </c>
      <c r="AJ298" t="n">
        <v>8</v>
      </c>
      <c r="AK298" t="n">
        <v>30.24</v>
      </c>
      <c r="AL298" t="n">
        <v>3.78</v>
      </c>
      <c r="AM298" t="inlineStr">
        <is>
          <t>No</t>
        </is>
      </c>
      <c r="AN298" t="inlineStr">
        <is>
          <t>Observed harvest</t>
        </is>
      </c>
    </row>
    <row r="299">
      <c r="A299" t="inlineStr">
        <is>
          <t>Palay</t>
        </is>
      </c>
      <c r="B299" t="inlineStr">
        <is>
          <t>Linmansangan</t>
        </is>
      </c>
      <c r="C299" t="inlineStr">
        <is>
          <t>WS 2016</t>
        </is>
      </c>
      <c r="D299" t="inlineStr">
        <is>
          <t>June</t>
        </is>
      </c>
      <c r="E299" t="inlineStr">
        <is>
          <t>2016</t>
        </is>
      </c>
      <c r="F299" t="inlineStr">
        <is>
          <t>October</t>
        </is>
      </c>
      <c r="G299" t="inlineStr">
        <is>
          <t>2016</t>
        </is>
      </c>
      <c r="H299" t="n">
        <v>6.97</v>
      </c>
      <c r="I299" t="n">
        <v>27.43</v>
      </c>
      <c r="J299" t="n">
        <v>23.57</v>
      </c>
      <c r="K299" t="n">
        <v>33.6</v>
      </c>
      <c r="L299" t="n">
        <v>81.41</v>
      </c>
      <c r="M299" t="n">
        <v>98.33</v>
      </c>
      <c r="N299" t="n">
        <v>20.67</v>
      </c>
      <c r="O299" t="n">
        <v>16.23</v>
      </c>
      <c r="P299" t="n">
        <v>26</v>
      </c>
      <c r="Q299" t="n">
        <v>21.16</v>
      </c>
      <c r="R299" t="n">
        <v>32.03</v>
      </c>
      <c r="S299" t="n">
        <v>87.93000000000001</v>
      </c>
      <c r="T299" t="n">
        <v>98.16</v>
      </c>
      <c r="U299" t="n">
        <v>16.33</v>
      </c>
      <c r="V299" t="inlineStr">
        <is>
          <t>Type I – Tropical Monsoon (PAGASA)</t>
        </is>
      </c>
      <c r="W299" t="inlineStr">
        <is>
          <t>Wet</t>
        </is>
      </c>
      <c r="X299" t="inlineStr">
        <is>
          <t>Wet</t>
        </is>
      </c>
      <c r="Y299" t="inlineStr">
        <is>
          <t>Silty Clay Loam</t>
        </is>
      </c>
      <c r="Z299" t="inlineStr">
        <is>
          <t>Flat / Lowland</t>
        </is>
      </c>
      <c r="AA299" t="n">
        <v>30</v>
      </c>
      <c r="AB299" t="inlineStr">
        <is>
          <t>—</t>
        </is>
      </c>
      <c r="AC299" t="n">
        <v>492.24</v>
      </c>
      <c r="AD299" t="n">
        <v>65.5</v>
      </c>
      <c r="AE299" t="n">
        <v>150.5</v>
      </c>
      <c r="AF299" t="n">
        <v>216</v>
      </c>
      <c r="AG299" t="inlineStr">
        <is>
          <t>Transplanting (Pindot) — optimal for clay-loam paddy fields</t>
        </is>
      </c>
      <c r="AH299" t="inlineStr">
        <is>
          <t>Wet Tillage (Puddling): 2 plowings + thorough harrowing under flooded condition</t>
        </is>
      </c>
      <c r="AI299" t="inlineStr">
        <is>
          <t>Continuous flooding 2–5 cm depth during vegetative stage; drain 2 weeks before harvest</t>
        </is>
      </c>
      <c r="AJ299" t="n">
        <v>40.86</v>
      </c>
      <c r="AK299" t="n">
        <v>20.23</v>
      </c>
      <c r="AL299" t="n">
        <v>0.5</v>
      </c>
      <c r="AM299" t="inlineStr">
        <is>
          <t>No</t>
        </is>
      </c>
      <c r="AN299" t="inlineStr">
        <is>
          <t>Observed harvest</t>
        </is>
      </c>
    </row>
    <row r="300">
      <c r="A300" t="inlineStr">
        <is>
          <t>Palay</t>
        </is>
      </c>
      <c r="B300" t="inlineStr">
        <is>
          <t>Mangkasuy</t>
        </is>
      </c>
      <c r="C300" t="inlineStr">
        <is>
          <t>WS 2016</t>
        </is>
      </c>
      <c r="D300" t="inlineStr">
        <is>
          <t>June</t>
        </is>
      </c>
      <c r="E300" t="inlineStr">
        <is>
          <t>2016</t>
        </is>
      </c>
      <c r="F300" t="inlineStr">
        <is>
          <t>October</t>
        </is>
      </c>
      <c r="G300" t="inlineStr">
        <is>
          <t>2016</t>
        </is>
      </c>
      <c r="H300" t="n">
        <v>6.97</v>
      </c>
      <c r="I300" t="n">
        <v>27.43</v>
      </c>
      <c r="J300" t="n">
        <v>23.57</v>
      </c>
      <c r="K300" t="n">
        <v>33.6</v>
      </c>
      <c r="L300" t="n">
        <v>81.41</v>
      </c>
      <c r="M300" t="n">
        <v>98.33</v>
      </c>
      <c r="N300" t="n">
        <v>20.67</v>
      </c>
      <c r="O300" t="n">
        <v>16.23</v>
      </c>
      <c r="P300" t="n">
        <v>26</v>
      </c>
      <c r="Q300" t="n">
        <v>21.16</v>
      </c>
      <c r="R300" t="n">
        <v>32.03</v>
      </c>
      <c r="S300" t="n">
        <v>87.93000000000001</v>
      </c>
      <c r="T300" t="n">
        <v>98.16</v>
      </c>
      <c r="U300" t="n">
        <v>16.33</v>
      </c>
      <c r="V300" t="inlineStr">
        <is>
          <t>Type I – Tropical Monsoon (PAGASA)</t>
        </is>
      </c>
      <c r="W300" t="inlineStr">
        <is>
          <t>Wet</t>
        </is>
      </c>
      <c r="X300" t="inlineStr">
        <is>
          <t>Wet</t>
        </is>
      </c>
      <c r="Y300" t="inlineStr">
        <is>
          <t>Sandy Loam</t>
        </is>
      </c>
      <c r="Z300" t="inlineStr">
        <is>
          <t>Flat / Lowland</t>
        </is>
      </c>
      <c r="AA300" t="n">
        <v>30</v>
      </c>
      <c r="AB300" t="inlineStr">
        <is>
          <t>Tagamusing River</t>
        </is>
      </c>
      <c r="AC300" t="n">
        <v>802.2</v>
      </c>
      <c r="AD300" t="n">
        <v>90</v>
      </c>
      <c r="AE300" t="n">
        <v>262</v>
      </c>
      <c r="AF300" t="n">
        <v>352</v>
      </c>
      <c r="AG300" t="inlineStr">
        <is>
          <t>Transplanting (Pindot) or Direct Seeding (Pinaghandaan)</t>
        </is>
      </c>
      <c r="AH300" t="inlineStr">
        <is>
          <t>Conventional Tillage: 2 plowings + 2 harrowings; soil workable when moist</t>
        </is>
      </c>
      <c r="AI300" t="inlineStr">
        <is>
          <t>Intermittent irrigation (Alternate Wetting and Drying — AWD); moderate retention</t>
        </is>
      </c>
      <c r="AJ300" t="n">
        <v>11</v>
      </c>
      <c r="AK300" t="n">
        <v>55.99</v>
      </c>
      <c r="AL300" t="n">
        <v>5.09</v>
      </c>
      <c r="AM300" t="inlineStr">
        <is>
          <t>No</t>
        </is>
      </c>
      <c r="AN300" t="inlineStr">
        <is>
          <t>Observed harvest</t>
        </is>
      </c>
    </row>
    <row r="301">
      <c r="A301" t="inlineStr">
        <is>
          <t>Palay</t>
        </is>
      </c>
      <c r="B301" t="inlineStr">
        <is>
          <t>Moreno</t>
        </is>
      </c>
      <c r="C301" t="inlineStr">
        <is>
          <t>WS 2016</t>
        </is>
      </c>
      <c r="D301" t="inlineStr">
        <is>
          <t>June</t>
        </is>
      </c>
      <c r="E301" t="inlineStr">
        <is>
          <t>2016</t>
        </is>
      </c>
      <c r="F301" t="inlineStr">
        <is>
          <t>October</t>
        </is>
      </c>
      <c r="G301" t="inlineStr">
        <is>
          <t>2016</t>
        </is>
      </c>
      <c r="H301" t="n">
        <v>6.97</v>
      </c>
      <c r="I301" t="n">
        <v>27.43</v>
      </c>
      <c r="J301" t="n">
        <v>23.57</v>
      </c>
      <c r="K301" t="n">
        <v>33.6</v>
      </c>
      <c r="L301" t="n">
        <v>81.41</v>
      </c>
      <c r="M301" t="n">
        <v>98.33</v>
      </c>
      <c r="N301" t="n">
        <v>20.67</v>
      </c>
      <c r="O301" t="n">
        <v>16.23</v>
      </c>
      <c r="P301" t="n">
        <v>26</v>
      </c>
      <c r="Q301" t="n">
        <v>21.16</v>
      </c>
      <c r="R301" t="n">
        <v>32.03</v>
      </c>
      <c r="S301" t="n">
        <v>87.93000000000001</v>
      </c>
      <c r="T301" t="n">
        <v>98.16</v>
      </c>
      <c r="U301" t="n">
        <v>16.33</v>
      </c>
      <c r="V301" t="inlineStr">
        <is>
          <t>Type I – Tropical Monsoon (PAGASA)</t>
        </is>
      </c>
      <c r="W301" t="inlineStr">
        <is>
          <t>Wet</t>
        </is>
      </c>
      <c r="X301" t="inlineStr">
        <is>
          <t>Wet</t>
        </is>
      </c>
      <c r="Y301" t="inlineStr">
        <is>
          <t>Sandy Loam</t>
        </is>
      </c>
      <c r="Z301" t="inlineStr">
        <is>
          <t>Moderately Sloping / Highland</t>
        </is>
      </c>
      <c r="AA301" t="n">
        <v>90</v>
      </c>
      <c r="AB301" t="inlineStr">
        <is>
          <t>Alibeng River</t>
        </is>
      </c>
      <c r="AC301" t="n">
        <v>641.76</v>
      </c>
      <c r="AD301" t="n">
        <v>47.4</v>
      </c>
      <c r="AE301" t="n">
        <v>116.6</v>
      </c>
      <c r="AF301" t="n">
        <v>164</v>
      </c>
      <c r="AG301" t="inlineStr">
        <is>
          <t>Transplanting (Pindot) or Direct Seeding (Pinaghandaan)</t>
        </is>
      </c>
      <c r="AH301" t="inlineStr">
        <is>
          <t>Conventional Tillage: 2 plowings + 2 harrowings; soil workable when moist</t>
        </is>
      </c>
      <c r="AI301" t="inlineStr">
        <is>
          <t>Intermittent irrigation (Alternate Wetting and Drying — AWD); moderate retention; terrace or bund-assisted water retention essential on slopes</t>
        </is>
      </c>
      <c r="AJ301" t="n">
        <v>19</v>
      </c>
      <c r="AK301" t="n">
        <v>76.19</v>
      </c>
      <c r="AL301" t="n">
        <v>4.01</v>
      </c>
      <c r="AM301" t="inlineStr">
        <is>
          <t>No</t>
        </is>
      </c>
      <c r="AN301" t="inlineStr">
        <is>
          <t>Observed harvest</t>
        </is>
      </c>
    </row>
    <row r="302">
      <c r="A302" t="inlineStr">
        <is>
          <t>Palay</t>
        </is>
      </c>
      <c r="B302" t="inlineStr">
        <is>
          <t>Pasileng Norte</t>
        </is>
      </c>
      <c r="C302" t="inlineStr">
        <is>
          <t>WS 2016</t>
        </is>
      </c>
      <c r="D302" t="inlineStr">
        <is>
          <t>June</t>
        </is>
      </c>
      <c r="E302" t="inlineStr">
        <is>
          <t>2016</t>
        </is>
      </c>
      <c r="F302" t="inlineStr">
        <is>
          <t>October</t>
        </is>
      </c>
      <c r="G302" t="inlineStr">
        <is>
          <t>2016</t>
        </is>
      </c>
      <c r="H302" t="n">
        <v>6.97</v>
      </c>
      <c r="I302" t="n">
        <v>27.43</v>
      </c>
      <c r="J302" t="n">
        <v>23.57</v>
      </c>
      <c r="K302" t="n">
        <v>33.6</v>
      </c>
      <c r="L302" t="n">
        <v>81.41</v>
      </c>
      <c r="M302" t="n">
        <v>98.33</v>
      </c>
      <c r="N302" t="n">
        <v>20.67</v>
      </c>
      <c r="O302" t="n">
        <v>16.23</v>
      </c>
      <c r="P302" t="n">
        <v>26</v>
      </c>
      <c r="Q302" t="n">
        <v>21.16</v>
      </c>
      <c r="R302" t="n">
        <v>32.03</v>
      </c>
      <c r="S302" t="n">
        <v>87.93000000000001</v>
      </c>
      <c r="T302" t="n">
        <v>98.16</v>
      </c>
      <c r="U302" t="n">
        <v>16.33</v>
      </c>
      <c r="V302" t="inlineStr">
        <is>
          <t>Type I – Tropical Monsoon (PAGASA)</t>
        </is>
      </c>
      <c r="W302" t="inlineStr">
        <is>
          <t>Wet</t>
        </is>
      </c>
      <c r="X302" t="inlineStr">
        <is>
          <t>Wet</t>
        </is>
      </c>
      <c r="Y302" t="inlineStr">
        <is>
          <t>Sandy Loam</t>
        </is>
      </c>
      <c r="Z302" t="inlineStr">
        <is>
          <t>Flat / Lowland</t>
        </is>
      </c>
      <c r="AA302" t="n">
        <v>30</v>
      </c>
      <c r="AB302" t="inlineStr">
        <is>
          <t>Tagamusing River</t>
        </is>
      </c>
      <c r="AC302" t="n">
        <v>140.28</v>
      </c>
      <c r="AD302" t="n">
        <v>78.34999999999999</v>
      </c>
      <c r="AE302" t="n">
        <v>2.65</v>
      </c>
      <c r="AF302" t="n">
        <v>81</v>
      </c>
      <c r="AG302" t="inlineStr">
        <is>
          <t>Transplanting (Pindot) or Direct Seeding (Pinaghandaan)</t>
        </is>
      </c>
      <c r="AH302" t="inlineStr">
        <is>
          <t>Conventional Tillage: 2 plowings + 2 harrowings; soil workable when moist</t>
        </is>
      </c>
      <c r="AI302" t="inlineStr">
        <is>
          <t>Intermittent irrigation (Alternate Wetting and Drying — AWD); moderate retention</t>
        </is>
      </c>
      <c r="AJ302" t="n">
        <v>2.17</v>
      </c>
      <c r="AK302" t="n">
        <v>17.36</v>
      </c>
      <c r="AL302" t="n">
        <v>8</v>
      </c>
      <c r="AM302" t="inlineStr">
        <is>
          <t>No</t>
        </is>
      </c>
      <c r="AN302" t="inlineStr">
        <is>
          <t>Observed harvest</t>
        </is>
      </c>
    </row>
    <row r="303">
      <c r="A303" t="inlineStr">
        <is>
          <t>Palay</t>
        </is>
      </c>
      <c r="B303" t="inlineStr">
        <is>
          <t>Pasileng Sur</t>
        </is>
      </c>
      <c r="C303" t="inlineStr">
        <is>
          <t>WS 2016</t>
        </is>
      </c>
      <c r="D303" t="inlineStr">
        <is>
          <t>June</t>
        </is>
      </c>
      <c r="E303" t="inlineStr">
        <is>
          <t>2016</t>
        </is>
      </c>
      <c r="F303" t="inlineStr">
        <is>
          <t>October</t>
        </is>
      </c>
      <c r="G303" t="inlineStr">
        <is>
          <t>2016</t>
        </is>
      </c>
      <c r="H303" t="n">
        <v>6.97</v>
      </c>
      <c r="I303" t="n">
        <v>27.43</v>
      </c>
      <c r="J303" t="n">
        <v>23.57</v>
      </c>
      <c r="K303" t="n">
        <v>33.6</v>
      </c>
      <c r="L303" t="n">
        <v>81.41</v>
      </c>
      <c r="M303" t="n">
        <v>98.33</v>
      </c>
      <c r="N303" t="n">
        <v>20.67</v>
      </c>
      <c r="O303" t="n">
        <v>16.23</v>
      </c>
      <c r="P303" t="n">
        <v>26</v>
      </c>
      <c r="Q303" t="n">
        <v>21.16</v>
      </c>
      <c r="R303" t="n">
        <v>32.03</v>
      </c>
      <c r="S303" t="n">
        <v>87.93000000000001</v>
      </c>
      <c r="T303" t="n">
        <v>98.16</v>
      </c>
      <c r="U303" t="n">
        <v>16.33</v>
      </c>
      <c r="V303" t="inlineStr">
        <is>
          <t>Type I – Tropical Monsoon (PAGASA)</t>
        </is>
      </c>
      <c r="W303" t="inlineStr">
        <is>
          <t>Wet</t>
        </is>
      </c>
      <c r="X303" t="inlineStr">
        <is>
          <t>Wet</t>
        </is>
      </c>
      <c r="Y303" t="inlineStr">
        <is>
          <t>Sandy Loam</t>
        </is>
      </c>
      <c r="Z303" t="inlineStr">
        <is>
          <t>Flat / Lowland</t>
        </is>
      </c>
      <c r="AA303" t="n">
        <v>30</v>
      </c>
      <c r="AB303" t="inlineStr">
        <is>
          <t>Tagamusing River</t>
        </is>
      </c>
      <c r="AC303" t="n">
        <v>414.96</v>
      </c>
      <c r="AD303" t="n">
        <v>150.9</v>
      </c>
      <c r="AE303" t="n">
        <v>29.1</v>
      </c>
      <c r="AF303" t="n">
        <v>180</v>
      </c>
      <c r="AG303" t="inlineStr">
        <is>
          <t>Transplanting (Pindot) or Direct Seeding (Pinaghandaan)</t>
        </is>
      </c>
      <c r="AH303" t="inlineStr">
        <is>
          <t>Conventional Tillage: 2 plowings + 2 harrowings; soil workable when moist</t>
        </is>
      </c>
      <c r="AI303" t="inlineStr">
        <is>
          <t>Intermittent irrigation (Alternate Wetting and Drying — AWD); moderate retention</t>
        </is>
      </c>
      <c r="AJ303" t="n">
        <v>6.6</v>
      </c>
      <c r="AK303" t="n">
        <v>31.64</v>
      </c>
      <c r="AL303" t="n">
        <v>4.79</v>
      </c>
      <c r="AM303" t="inlineStr">
        <is>
          <t>No</t>
        </is>
      </c>
      <c r="AN303" t="inlineStr">
        <is>
          <t>Observed harvest</t>
        </is>
      </c>
    </row>
    <row r="304">
      <c r="A304" t="inlineStr">
        <is>
          <t>Palay</t>
        </is>
      </c>
      <c r="B304" t="inlineStr">
        <is>
          <t>San Felipe Central</t>
        </is>
      </c>
      <c r="C304" t="inlineStr">
        <is>
          <t>WS 2016</t>
        </is>
      </c>
      <c r="D304" t="inlineStr">
        <is>
          <t>June</t>
        </is>
      </c>
      <c r="E304" t="inlineStr">
        <is>
          <t>2016</t>
        </is>
      </c>
      <c r="F304" t="inlineStr">
        <is>
          <t>October</t>
        </is>
      </c>
      <c r="G304" t="inlineStr">
        <is>
          <t>2016</t>
        </is>
      </c>
      <c r="H304" t="n">
        <v>6.97</v>
      </c>
      <c r="I304" t="n">
        <v>27.43</v>
      </c>
      <c r="J304" t="n">
        <v>23.57</v>
      </c>
      <c r="K304" t="n">
        <v>33.6</v>
      </c>
      <c r="L304" t="n">
        <v>81.41</v>
      </c>
      <c r="M304" t="n">
        <v>98.33</v>
      </c>
      <c r="N304" t="n">
        <v>20.67</v>
      </c>
      <c r="O304" t="n">
        <v>16.23</v>
      </c>
      <c r="P304" t="n">
        <v>26</v>
      </c>
      <c r="Q304" t="n">
        <v>21.16</v>
      </c>
      <c r="R304" t="n">
        <v>32.03</v>
      </c>
      <c r="S304" t="n">
        <v>87.93000000000001</v>
      </c>
      <c r="T304" t="n">
        <v>98.16</v>
      </c>
      <c r="U304" t="n">
        <v>16.33</v>
      </c>
      <c r="V304" t="inlineStr">
        <is>
          <t>Type I – Tropical Monsoon (PAGASA)</t>
        </is>
      </c>
      <c r="W304" t="inlineStr">
        <is>
          <t>Wet</t>
        </is>
      </c>
      <c r="X304" t="inlineStr">
        <is>
          <t>Wet</t>
        </is>
      </c>
      <c r="Y304" t="inlineStr">
        <is>
          <t>Sandy Loam</t>
        </is>
      </c>
      <c r="Z304" t="inlineStr">
        <is>
          <t>Flat / Lowland</t>
        </is>
      </c>
      <c r="AA304" t="n">
        <v>30</v>
      </c>
      <c r="AB304" t="inlineStr">
        <is>
          <t>—</t>
        </is>
      </c>
      <c r="AC304" t="n">
        <v>452.76</v>
      </c>
      <c r="AD304" t="n">
        <v>117</v>
      </c>
      <c r="AE304" t="n">
        <v>62</v>
      </c>
      <c r="AF304" t="n">
        <v>179</v>
      </c>
      <c r="AG304" t="inlineStr">
        <is>
          <t>Transplanting (Pindot) or Direct Seeding (Pinaghandaan)</t>
        </is>
      </c>
      <c r="AH304" t="inlineStr">
        <is>
          <t>Conventional Tillage: 2 plowings + 2 harrowings; soil workable when moist</t>
        </is>
      </c>
      <c r="AI304" t="inlineStr">
        <is>
          <t>Intermittent irrigation (Alternate Wetting and Drying — AWD); moderate retention</t>
        </is>
      </c>
      <c r="AJ304" t="n">
        <v>10</v>
      </c>
      <c r="AK304" t="n">
        <v>46.15</v>
      </c>
      <c r="AL304" t="n">
        <v>4.62</v>
      </c>
      <c r="AM304" t="inlineStr">
        <is>
          <t>No</t>
        </is>
      </c>
      <c r="AN304" t="inlineStr">
        <is>
          <t>Observed harvest</t>
        </is>
      </c>
    </row>
    <row r="305">
      <c r="A305" t="inlineStr">
        <is>
          <t>Palay</t>
        </is>
      </c>
      <c r="B305" t="inlineStr">
        <is>
          <t>San Felipe Sur</t>
        </is>
      </c>
      <c r="C305" t="inlineStr">
        <is>
          <t>WS 2016</t>
        </is>
      </c>
      <c r="D305" t="inlineStr">
        <is>
          <t>June</t>
        </is>
      </c>
      <c r="E305" t="inlineStr">
        <is>
          <t>2016</t>
        </is>
      </c>
      <c r="F305" t="inlineStr">
        <is>
          <t>October</t>
        </is>
      </c>
      <c r="G305" t="inlineStr">
        <is>
          <t>2016</t>
        </is>
      </c>
      <c r="H305" t="n">
        <v>6.97</v>
      </c>
      <c r="I305" t="n">
        <v>27.43</v>
      </c>
      <c r="J305" t="n">
        <v>23.57</v>
      </c>
      <c r="K305" t="n">
        <v>33.6</v>
      </c>
      <c r="L305" t="n">
        <v>81.41</v>
      </c>
      <c r="M305" t="n">
        <v>98.33</v>
      </c>
      <c r="N305" t="n">
        <v>20.67</v>
      </c>
      <c r="O305" t="n">
        <v>16.23</v>
      </c>
      <c r="P305" t="n">
        <v>26</v>
      </c>
      <c r="Q305" t="n">
        <v>21.16</v>
      </c>
      <c r="R305" t="n">
        <v>32.03</v>
      </c>
      <c r="S305" t="n">
        <v>87.93000000000001</v>
      </c>
      <c r="T305" t="n">
        <v>98.16</v>
      </c>
      <c r="U305" t="n">
        <v>16.33</v>
      </c>
      <c r="V305" t="inlineStr">
        <is>
          <t>Type I – Tropical Monsoon (PAGASA)</t>
        </is>
      </c>
      <c r="W305" t="inlineStr">
        <is>
          <t>Wet</t>
        </is>
      </c>
      <c r="X305" t="inlineStr">
        <is>
          <t>Wet</t>
        </is>
      </c>
      <c r="Y305" t="inlineStr">
        <is>
          <t>Sandy Loam</t>
        </is>
      </c>
      <c r="Z305" t="inlineStr">
        <is>
          <t>Flat / Lowland</t>
        </is>
      </c>
      <c r="AA305" t="n">
        <v>30</v>
      </c>
      <c r="AB305" t="inlineStr">
        <is>
          <t>Tagamusing River</t>
        </is>
      </c>
      <c r="AC305" t="n">
        <v>504</v>
      </c>
      <c r="AD305" t="n">
        <v>127.5</v>
      </c>
      <c r="AE305" t="n">
        <v>50.5</v>
      </c>
      <c r="AF305" t="n">
        <v>178</v>
      </c>
      <c r="AG305" t="inlineStr">
        <is>
          <t>Transplanting (Pindot) or Direct Seeding (Pinaghandaan)</t>
        </is>
      </c>
      <c r="AH305" t="inlineStr">
        <is>
          <t>Conventional Tillage: 2 plowings + 2 harrowings; soil workable when moist</t>
        </is>
      </c>
      <c r="AI305" t="inlineStr">
        <is>
          <t>Intermittent irrigation (Alternate Wetting and Drying — AWD); moderate retention</t>
        </is>
      </c>
      <c r="AJ305" t="n">
        <v>5.75</v>
      </c>
      <c r="AK305" t="n">
        <v>25.56</v>
      </c>
      <c r="AL305" t="n">
        <v>4.45</v>
      </c>
      <c r="AM305" t="inlineStr">
        <is>
          <t>No</t>
        </is>
      </c>
      <c r="AN305" t="inlineStr">
        <is>
          <t>Observed harvest</t>
        </is>
      </c>
    </row>
    <row r="306">
      <c r="A306" t="inlineStr">
        <is>
          <t>Palay</t>
        </is>
      </c>
      <c r="B306" t="inlineStr">
        <is>
          <t>San Pablo</t>
        </is>
      </c>
      <c r="C306" t="inlineStr">
        <is>
          <t>WS 2016</t>
        </is>
      </c>
      <c r="D306" t="inlineStr">
        <is>
          <t>June</t>
        </is>
      </c>
      <c r="E306" t="inlineStr">
        <is>
          <t>2016</t>
        </is>
      </c>
      <c r="F306" t="inlineStr">
        <is>
          <t>October</t>
        </is>
      </c>
      <c r="G306" t="inlineStr">
        <is>
          <t>2016</t>
        </is>
      </c>
      <c r="H306" t="n">
        <v>6.97</v>
      </c>
      <c r="I306" t="n">
        <v>27.43</v>
      </c>
      <c r="J306" t="n">
        <v>23.57</v>
      </c>
      <c r="K306" t="n">
        <v>33.6</v>
      </c>
      <c r="L306" t="n">
        <v>81.41</v>
      </c>
      <c r="M306" t="n">
        <v>98.33</v>
      </c>
      <c r="N306" t="n">
        <v>20.67</v>
      </c>
      <c r="O306" t="n">
        <v>16.23</v>
      </c>
      <c r="P306" t="n">
        <v>26</v>
      </c>
      <c r="Q306" t="n">
        <v>21.16</v>
      </c>
      <c r="R306" t="n">
        <v>32.03</v>
      </c>
      <c r="S306" t="n">
        <v>87.93000000000001</v>
      </c>
      <c r="T306" t="n">
        <v>98.16</v>
      </c>
      <c r="U306" t="n">
        <v>16.33</v>
      </c>
      <c r="V306" t="inlineStr">
        <is>
          <t>Type I – Tropical Monsoon (PAGASA)</t>
        </is>
      </c>
      <c r="W306" t="inlineStr">
        <is>
          <t>Wet</t>
        </is>
      </c>
      <c r="X306" t="inlineStr">
        <is>
          <t>Wet</t>
        </is>
      </c>
      <c r="Y306" t="inlineStr">
        <is>
          <t>Sandy Loam</t>
        </is>
      </c>
      <c r="Z306" t="inlineStr">
        <is>
          <t>Flat / Lowland</t>
        </is>
      </c>
      <c r="AA306" t="n">
        <v>30</v>
      </c>
      <c r="AB306" t="inlineStr">
        <is>
          <t>San Pablo Creek</t>
        </is>
      </c>
      <c r="AC306" t="n">
        <v>215.04</v>
      </c>
      <c r="AD306" t="n">
        <v>103.5</v>
      </c>
      <c r="AE306" t="n">
        <v>30.5</v>
      </c>
      <c r="AF306" t="n">
        <v>134</v>
      </c>
      <c r="AG306" t="inlineStr">
        <is>
          <t>Transplanting (Pindot) or Direct Seeding (Pinaghandaan)</t>
        </is>
      </c>
      <c r="AH306" t="inlineStr">
        <is>
          <t>Conventional Tillage: 2 plowings + 2 harrowings; soil workable when moist</t>
        </is>
      </c>
      <c r="AI306" t="inlineStr">
        <is>
          <t>Intermittent irrigation (Alternate Wetting and Drying — AWD); moderate retention</t>
        </is>
      </c>
      <c r="AJ306" t="n">
        <v>1.05</v>
      </c>
      <c r="AK306" t="n">
        <v>8.4</v>
      </c>
      <c r="AL306" t="n">
        <v>8</v>
      </c>
      <c r="AM306" t="inlineStr">
        <is>
          <t>No</t>
        </is>
      </c>
      <c r="AN306" t="inlineStr">
        <is>
          <t>Observed harvest</t>
        </is>
      </c>
    </row>
    <row r="307">
      <c r="A307" t="inlineStr">
        <is>
          <t>Palay</t>
        </is>
      </c>
      <c r="B307" t="inlineStr">
        <is>
          <t>Santiago</t>
        </is>
      </c>
      <c r="C307" t="inlineStr">
        <is>
          <t>WS 2016</t>
        </is>
      </c>
      <c r="D307" t="inlineStr">
        <is>
          <t>June</t>
        </is>
      </c>
      <c r="E307" t="inlineStr">
        <is>
          <t>2016</t>
        </is>
      </c>
      <c r="F307" t="inlineStr">
        <is>
          <t>October</t>
        </is>
      </c>
      <c r="G307" t="inlineStr">
        <is>
          <t>2016</t>
        </is>
      </c>
      <c r="H307" t="n">
        <v>6.97</v>
      </c>
      <c r="I307" t="n">
        <v>27.43</v>
      </c>
      <c r="J307" t="n">
        <v>23.57</v>
      </c>
      <c r="K307" t="n">
        <v>33.6</v>
      </c>
      <c r="L307" t="n">
        <v>81.41</v>
      </c>
      <c r="M307" t="n">
        <v>98.33</v>
      </c>
      <c r="N307" t="n">
        <v>20.67</v>
      </c>
      <c r="O307" t="n">
        <v>16.23</v>
      </c>
      <c r="P307" t="n">
        <v>26</v>
      </c>
      <c r="Q307" t="n">
        <v>21.16</v>
      </c>
      <c r="R307" t="n">
        <v>32.03</v>
      </c>
      <c r="S307" t="n">
        <v>87.93000000000001</v>
      </c>
      <c r="T307" t="n">
        <v>98.16</v>
      </c>
      <c r="U307" t="n">
        <v>16.33</v>
      </c>
      <c r="V307" t="inlineStr">
        <is>
          <t>Type I – Tropical Monsoon (PAGASA)</t>
        </is>
      </c>
      <c r="W307" t="inlineStr">
        <is>
          <t>Wet</t>
        </is>
      </c>
      <c r="X307" t="inlineStr">
        <is>
          <t>Wet</t>
        </is>
      </c>
      <c r="Y307" t="inlineStr">
        <is>
          <t>Silty Clay Loam</t>
        </is>
      </c>
      <c r="Z307" t="inlineStr">
        <is>
          <t>Flat / Lowland</t>
        </is>
      </c>
      <c r="AA307" t="n">
        <v>30</v>
      </c>
      <c r="AB307" t="inlineStr">
        <is>
          <t>—</t>
        </is>
      </c>
      <c r="AC307" t="n">
        <v>283.08</v>
      </c>
      <c r="AD307" t="n">
        <v>103.6</v>
      </c>
      <c r="AE307" t="n">
        <v>147.4</v>
      </c>
      <c r="AF307" t="n">
        <v>251</v>
      </c>
      <c r="AG307" t="inlineStr">
        <is>
          <t>Transplanting (Pindot) — optimal for clay-loam paddy fields</t>
        </is>
      </c>
      <c r="AH307" t="inlineStr">
        <is>
          <t>Wet Tillage (Puddling): 2 plowings + thorough harrowing under flooded condition</t>
        </is>
      </c>
      <c r="AI307" t="inlineStr">
        <is>
          <t>Continuous flooding 2–5 cm depth during vegetative stage; drain 2 weeks before harvest</t>
        </is>
      </c>
      <c r="AJ307" t="n">
        <v>3.47</v>
      </c>
      <c r="AK307" t="n">
        <v>10.92</v>
      </c>
      <c r="AL307" t="n">
        <v>3.15</v>
      </c>
      <c r="AM307" t="inlineStr">
        <is>
          <t>No</t>
        </is>
      </c>
      <c r="AN307" t="inlineStr">
        <is>
          <t>Observed harvest</t>
        </is>
      </c>
    </row>
    <row r="308">
      <c r="A308" t="inlineStr">
        <is>
          <t>Palay</t>
        </is>
      </c>
      <c r="B308" t="inlineStr">
        <is>
          <t>Sta. Catalina</t>
        </is>
      </c>
      <c r="C308" t="inlineStr">
        <is>
          <t>WS 2016</t>
        </is>
      </c>
      <c r="D308" t="inlineStr">
        <is>
          <t>June</t>
        </is>
      </c>
      <c r="E308" t="inlineStr">
        <is>
          <t>2016</t>
        </is>
      </c>
      <c r="F308" t="inlineStr">
        <is>
          <t>October</t>
        </is>
      </c>
      <c r="G308" t="inlineStr">
        <is>
          <t>2016</t>
        </is>
      </c>
      <c r="H308" t="n">
        <v>6.97</v>
      </c>
      <c r="I308" t="n">
        <v>27.43</v>
      </c>
      <c r="J308" t="n">
        <v>23.57</v>
      </c>
      <c r="K308" t="n">
        <v>33.6</v>
      </c>
      <c r="L308" t="n">
        <v>81.41</v>
      </c>
      <c r="M308" t="n">
        <v>98.33</v>
      </c>
      <c r="N308" t="n">
        <v>20.67</v>
      </c>
      <c r="O308" t="n">
        <v>16.23</v>
      </c>
      <c r="P308" t="n">
        <v>26</v>
      </c>
      <c r="Q308" t="n">
        <v>21.16</v>
      </c>
      <c r="R308" t="n">
        <v>32.03</v>
      </c>
      <c r="S308" t="n">
        <v>87.93000000000001</v>
      </c>
      <c r="T308" t="n">
        <v>98.16</v>
      </c>
      <c r="U308" t="n">
        <v>16.33</v>
      </c>
      <c r="V308" t="inlineStr">
        <is>
          <t>Type I – Tropical Monsoon (PAGASA)</t>
        </is>
      </c>
      <c r="W308" t="inlineStr">
        <is>
          <t>Wet</t>
        </is>
      </c>
      <c r="X308" t="inlineStr">
        <is>
          <t>Wet</t>
        </is>
      </c>
      <c r="Y308" t="inlineStr">
        <is>
          <t>Fine Sand / Sandy Loam</t>
        </is>
      </c>
      <c r="Z308" t="inlineStr">
        <is>
          <t>Moderately Sloping / Highland</t>
        </is>
      </c>
      <c r="AA308" t="n">
        <v>90</v>
      </c>
      <c r="AB308" t="inlineStr">
        <is>
          <t>—</t>
        </is>
      </c>
      <c r="AC308" t="n">
        <v>709.8</v>
      </c>
      <c r="AD308" t="n">
        <v>49</v>
      </c>
      <c r="AE308" t="n">
        <v>180</v>
      </c>
      <c r="AF308" t="n">
        <v>229</v>
      </c>
      <c r="AG308" t="inlineStr">
        <is>
          <t>Transplanting (Pindot)</t>
        </is>
      </c>
      <c r="AH308" t="inlineStr">
        <is>
          <t>Minimum Tillage (avoid compaction; sandy structure fragile)</t>
        </is>
      </c>
      <c r="AI308" t="inlineStr">
        <is>
          <t>Continuous flooding or frequent irrigation; high percolation risk; terrace or bund-assisted water retention essential on slopes</t>
        </is>
      </c>
      <c r="AJ308" t="n">
        <v>21</v>
      </c>
      <c r="AK308" t="n">
        <v>83.58</v>
      </c>
      <c r="AL308" t="n">
        <v>3.98</v>
      </c>
      <c r="AM308" t="inlineStr">
        <is>
          <t>No</t>
        </is>
      </c>
      <c r="AN308" t="inlineStr">
        <is>
          <t>Observed harvest</t>
        </is>
      </c>
    </row>
    <row r="309">
      <c r="A309" t="inlineStr">
        <is>
          <t>Palay</t>
        </is>
      </c>
      <c r="B309" t="inlineStr">
        <is>
          <t>Sta. Maria Norte</t>
        </is>
      </c>
      <c r="C309" t="inlineStr">
        <is>
          <t>WS 2016</t>
        </is>
      </c>
      <c r="D309" t="inlineStr">
        <is>
          <t>June</t>
        </is>
      </c>
      <c r="E309" t="inlineStr">
        <is>
          <t>2016</t>
        </is>
      </c>
      <c r="F309" t="inlineStr">
        <is>
          <t>October</t>
        </is>
      </c>
      <c r="G309" t="inlineStr">
        <is>
          <t>2016</t>
        </is>
      </c>
      <c r="H309" t="n">
        <v>6.97</v>
      </c>
      <c r="I309" t="n">
        <v>27.43</v>
      </c>
      <c r="J309" t="n">
        <v>23.57</v>
      </c>
      <c r="K309" t="n">
        <v>33.6</v>
      </c>
      <c r="L309" t="n">
        <v>81.41</v>
      </c>
      <c r="M309" t="n">
        <v>98.33</v>
      </c>
      <c r="N309" t="n">
        <v>20.67</v>
      </c>
      <c r="O309" t="n">
        <v>16.23</v>
      </c>
      <c r="P309" t="n">
        <v>26</v>
      </c>
      <c r="Q309" t="n">
        <v>21.16</v>
      </c>
      <c r="R309" t="n">
        <v>32.03</v>
      </c>
      <c r="S309" t="n">
        <v>87.93000000000001</v>
      </c>
      <c r="T309" t="n">
        <v>98.16</v>
      </c>
      <c r="U309" t="n">
        <v>16.33</v>
      </c>
      <c r="V309" t="inlineStr">
        <is>
          <t>Type I – Tropical Monsoon (PAGASA)</t>
        </is>
      </c>
      <c r="W309" t="inlineStr">
        <is>
          <t>Wet</t>
        </is>
      </c>
      <c r="X309" t="inlineStr">
        <is>
          <t>Wet</t>
        </is>
      </c>
      <c r="Y309" t="inlineStr">
        <is>
          <t>Sandy Loam</t>
        </is>
      </c>
      <c r="Z309" t="inlineStr">
        <is>
          <t>Flat / Lowland</t>
        </is>
      </c>
      <c r="AA309" t="n">
        <v>30</v>
      </c>
      <c r="AB309" t="inlineStr">
        <is>
          <t>Tagamusing River</t>
        </is>
      </c>
      <c r="AC309" t="n">
        <v>157.08</v>
      </c>
      <c r="AD309" t="n">
        <v>24.5</v>
      </c>
      <c r="AE309" t="n">
        <v>43.5</v>
      </c>
      <c r="AF309" t="n">
        <v>68</v>
      </c>
      <c r="AG309" t="inlineStr">
        <is>
          <t>Transplanting (Pindot) or Direct Seeding (Pinaghandaan)</t>
        </is>
      </c>
      <c r="AH309" t="inlineStr">
        <is>
          <t>Conventional Tillage: 2 plowings + 2 harrowings; soil workable when moist</t>
        </is>
      </c>
      <c r="AI309" t="inlineStr">
        <is>
          <t>Intermittent irrigation (Alternate Wetting and Drying — AWD); moderate retention</t>
        </is>
      </c>
      <c r="AJ309" t="n">
        <v>1.05</v>
      </c>
      <c r="AK309" t="n">
        <v>5.38</v>
      </c>
      <c r="AL309" t="n">
        <v>5.12</v>
      </c>
      <c r="AM309" t="inlineStr">
        <is>
          <t>No</t>
        </is>
      </c>
      <c r="AN309" t="inlineStr">
        <is>
          <t>Observed harvest</t>
        </is>
      </c>
    </row>
    <row r="310">
      <c r="A310" t="inlineStr">
        <is>
          <t>Palay</t>
        </is>
      </c>
      <c r="B310" t="inlineStr">
        <is>
          <t>Sumabnit</t>
        </is>
      </c>
      <c r="C310" t="inlineStr">
        <is>
          <t>WS 2016</t>
        </is>
      </c>
      <c r="D310" t="inlineStr">
        <is>
          <t>June</t>
        </is>
      </c>
      <c r="E310" t="inlineStr">
        <is>
          <t>2016</t>
        </is>
      </c>
      <c r="F310" t="inlineStr">
        <is>
          <t>October</t>
        </is>
      </c>
      <c r="G310" t="inlineStr">
        <is>
          <t>2016</t>
        </is>
      </c>
      <c r="H310" t="n">
        <v>6.97</v>
      </c>
      <c r="I310" t="n">
        <v>27.43</v>
      </c>
      <c r="J310" t="n">
        <v>23.57</v>
      </c>
      <c r="K310" t="n">
        <v>33.6</v>
      </c>
      <c r="L310" t="n">
        <v>81.41</v>
      </c>
      <c r="M310" t="n">
        <v>98.33</v>
      </c>
      <c r="N310" t="n">
        <v>20.67</v>
      </c>
      <c r="O310" t="n">
        <v>16.23</v>
      </c>
      <c r="P310" t="n">
        <v>26</v>
      </c>
      <c r="Q310" t="n">
        <v>21.16</v>
      </c>
      <c r="R310" t="n">
        <v>32.03</v>
      </c>
      <c r="S310" t="n">
        <v>87.93000000000001</v>
      </c>
      <c r="T310" t="n">
        <v>98.16</v>
      </c>
      <c r="U310" t="n">
        <v>16.33</v>
      </c>
      <c r="V310" t="inlineStr">
        <is>
          <t>Type I – Tropical Monsoon (PAGASA)</t>
        </is>
      </c>
      <c r="W310" t="inlineStr">
        <is>
          <t>Wet</t>
        </is>
      </c>
      <c r="X310" t="inlineStr">
        <is>
          <t>Wet</t>
        </is>
      </c>
      <c r="Y310" t="inlineStr">
        <is>
          <t>Silty Clay Loam / Fine Sandy Loam</t>
        </is>
      </c>
      <c r="Z310" t="inlineStr">
        <is>
          <t>Flat / Lowland</t>
        </is>
      </c>
      <c r="AA310" t="n">
        <v>30</v>
      </c>
      <c r="AB310" t="inlineStr">
        <is>
          <t>Tagamusing River</t>
        </is>
      </c>
      <c r="AC310" t="n">
        <v>406.56</v>
      </c>
      <c r="AD310" t="n">
        <v>133.3</v>
      </c>
      <c r="AE310" t="n">
        <v>123.7</v>
      </c>
      <c r="AF310" t="n">
        <v>257</v>
      </c>
      <c r="AG310" t="inlineStr">
        <is>
          <t>Transplanting (Pindot)</t>
        </is>
      </c>
      <c r="AH310" t="inlineStr">
        <is>
          <t>Minimum Tillage (avoid compaction; sandy structure fragile)</t>
        </is>
      </c>
      <c r="AI310" t="inlineStr">
        <is>
          <t>Continuous flooding or frequent irrigation; high percolation risk</t>
        </is>
      </c>
      <c r="AJ310" t="n">
        <v>3.23</v>
      </c>
      <c r="AK310" t="n">
        <v>9.57</v>
      </c>
      <c r="AL310" t="n">
        <v>2.96</v>
      </c>
      <c r="AM310" t="inlineStr">
        <is>
          <t>No</t>
        </is>
      </c>
      <c r="AN310" t="inlineStr">
        <is>
          <t>Observed harvest</t>
        </is>
      </c>
    </row>
    <row r="311">
      <c r="A311" t="inlineStr">
        <is>
          <t>Palay</t>
        </is>
      </c>
      <c r="B311" t="inlineStr">
        <is>
          <t>Tabuyoc</t>
        </is>
      </c>
      <c r="C311" t="inlineStr">
        <is>
          <t>WS 2016</t>
        </is>
      </c>
      <c r="D311" t="inlineStr">
        <is>
          <t>June</t>
        </is>
      </c>
      <c r="E311" t="inlineStr">
        <is>
          <t>2016</t>
        </is>
      </c>
      <c r="F311" t="inlineStr">
        <is>
          <t>October</t>
        </is>
      </c>
      <c r="G311" t="inlineStr">
        <is>
          <t>2016</t>
        </is>
      </c>
      <c r="H311" t="n">
        <v>6.97</v>
      </c>
      <c r="I311" t="n">
        <v>27.43</v>
      </c>
      <c r="J311" t="n">
        <v>23.57</v>
      </c>
      <c r="K311" t="n">
        <v>33.6</v>
      </c>
      <c r="L311" t="n">
        <v>81.41</v>
      </c>
      <c r="M311" t="n">
        <v>98.33</v>
      </c>
      <c r="N311" t="n">
        <v>20.67</v>
      </c>
      <c r="O311" t="n">
        <v>16.23</v>
      </c>
      <c r="P311" t="n">
        <v>26</v>
      </c>
      <c r="Q311" t="n">
        <v>21.16</v>
      </c>
      <c r="R311" t="n">
        <v>32.03</v>
      </c>
      <c r="S311" t="n">
        <v>87.93000000000001</v>
      </c>
      <c r="T311" t="n">
        <v>98.16</v>
      </c>
      <c r="U311" t="n">
        <v>16.33</v>
      </c>
      <c r="V311" t="inlineStr">
        <is>
          <t>Type I – Tropical Monsoon (PAGASA)</t>
        </is>
      </c>
      <c r="W311" t="inlineStr">
        <is>
          <t>Wet</t>
        </is>
      </c>
      <c r="X311" t="inlineStr">
        <is>
          <t>Wet</t>
        </is>
      </c>
      <c r="Y311" t="inlineStr">
        <is>
          <t>Silty Clay Loam</t>
        </is>
      </c>
      <c r="Z311" t="inlineStr">
        <is>
          <t>Flat / Lowland</t>
        </is>
      </c>
      <c r="AA311" t="n">
        <v>30</v>
      </c>
      <c r="AB311" t="inlineStr">
        <is>
          <t>—</t>
        </is>
      </c>
      <c r="AC311" t="n">
        <v>277.2</v>
      </c>
      <c r="AD311" t="n">
        <v>134</v>
      </c>
      <c r="AE311" t="n">
        <v>5</v>
      </c>
      <c r="AF311" t="n">
        <v>139</v>
      </c>
      <c r="AG311" t="inlineStr">
        <is>
          <t>Transplanting (Pindot) — optimal for clay-loam paddy fields</t>
        </is>
      </c>
      <c r="AH311" t="inlineStr">
        <is>
          <t>Wet Tillage (Puddling): 2 plowings + thorough harrowing under flooded condition</t>
        </is>
      </c>
      <c r="AI311" t="inlineStr">
        <is>
          <t>Continuous flooding 2–5 cm depth during vegetative stage; drain 2 weeks before harvest</t>
        </is>
      </c>
      <c r="AJ311" t="n">
        <v>4</v>
      </c>
      <c r="AK311" t="n">
        <v>10.87</v>
      </c>
      <c r="AL311" t="n">
        <v>2.72</v>
      </c>
      <c r="AM311" t="inlineStr">
        <is>
          <t>No</t>
        </is>
      </c>
      <c r="AN311" t="inlineStr">
        <is>
          <t>Observed harvest</t>
        </is>
      </c>
    </row>
    <row r="312">
      <c r="A312" t="inlineStr">
        <is>
          <t>Palay</t>
        </is>
      </c>
      <c r="B312" t="inlineStr">
        <is>
          <t>Vacante</t>
        </is>
      </c>
      <c r="C312" t="inlineStr">
        <is>
          <t>WS 2016</t>
        </is>
      </c>
      <c r="D312" t="inlineStr">
        <is>
          <t>June</t>
        </is>
      </c>
      <c r="E312" t="inlineStr">
        <is>
          <t>2016</t>
        </is>
      </c>
      <c r="F312" t="inlineStr">
        <is>
          <t>October</t>
        </is>
      </c>
      <c r="G312" t="inlineStr">
        <is>
          <t>2016</t>
        </is>
      </c>
      <c r="H312" t="n">
        <v>6.97</v>
      </c>
      <c r="I312" t="n">
        <v>27.43</v>
      </c>
      <c r="J312" t="n">
        <v>23.57</v>
      </c>
      <c r="K312" t="n">
        <v>33.6</v>
      </c>
      <c r="L312" t="n">
        <v>81.41</v>
      </c>
      <c r="M312" t="n">
        <v>98.33</v>
      </c>
      <c r="N312" t="n">
        <v>20.67</v>
      </c>
      <c r="O312" t="n">
        <v>16.23</v>
      </c>
      <c r="P312" t="n">
        <v>26</v>
      </c>
      <c r="Q312" t="n">
        <v>21.16</v>
      </c>
      <c r="R312" t="n">
        <v>32.03</v>
      </c>
      <c r="S312" t="n">
        <v>87.93000000000001</v>
      </c>
      <c r="T312" t="n">
        <v>98.16</v>
      </c>
      <c r="U312" t="n">
        <v>16.33</v>
      </c>
      <c r="V312" t="inlineStr">
        <is>
          <t>Type I – Tropical Monsoon (PAGASA)</t>
        </is>
      </c>
      <c r="W312" t="inlineStr">
        <is>
          <t>Wet</t>
        </is>
      </c>
      <c r="X312" t="inlineStr">
        <is>
          <t>Wet</t>
        </is>
      </c>
      <c r="Y312" t="inlineStr">
        <is>
          <t>Silty Clay Loam</t>
        </is>
      </c>
      <c r="Z312" t="inlineStr">
        <is>
          <t>Flat / Lowland</t>
        </is>
      </c>
      <c r="AA312" t="n">
        <v>30</v>
      </c>
      <c r="AB312" t="inlineStr">
        <is>
          <t>Aloragat River</t>
        </is>
      </c>
      <c r="AC312" t="n">
        <v>484.68</v>
      </c>
      <c r="AD312" t="n">
        <v>28</v>
      </c>
      <c r="AE312" t="n">
        <v>81</v>
      </c>
      <c r="AF312" t="n">
        <v>109</v>
      </c>
      <c r="AG312" t="inlineStr">
        <is>
          <t>Transplanting (Pindot) — optimal for clay-loam paddy fields</t>
        </is>
      </c>
      <c r="AH312" t="inlineStr">
        <is>
          <t>Wet Tillage (Puddling): 2 plowings + thorough harrowing under flooded condition</t>
        </is>
      </c>
      <c r="AI312" t="inlineStr">
        <is>
          <t>Continuous flooding 2–5 cm depth during vegetative stage; drain 2 weeks before harvest</t>
        </is>
      </c>
      <c r="AJ312" t="n">
        <v>2.68</v>
      </c>
      <c r="AK312" t="n">
        <v>7.77</v>
      </c>
      <c r="AL312" t="n">
        <v>2.9</v>
      </c>
      <c r="AM312" t="inlineStr">
        <is>
          <t>No</t>
        </is>
      </c>
      <c r="AN312" t="inlineStr">
        <is>
          <t>Observed harvest</t>
        </is>
      </c>
    </row>
    <row r="313">
      <c r="A313" t="inlineStr">
        <is>
          <t>Palay</t>
        </is>
      </c>
      <c r="B313" t="inlineStr">
        <is>
          <t>Balangobong</t>
        </is>
      </c>
      <c r="C313" t="inlineStr">
        <is>
          <t>WS 2017</t>
        </is>
      </c>
      <c r="D313" t="inlineStr">
        <is>
          <t>June</t>
        </is>
      </c>
      <c r="E313" t="inlineStr">
        <is>
          <t>2017</t>
        </is>
      </c>
      <c r="F313" t="inlineStr">
        <is>
          <t>October</t>
        </is>
      </c>
      <c r="G313" t="inlineStr">
        <is>
          <t>2017</t>
        </is>
      </c>
      <c r="H313" t="n">
        <v>8.73</v>
      </c>
      <c r="I313" t="n">
        <v>27.2</v>
      </c>
      <c r="J313" t="n">
        <v>22.27</v>
      </c>
      <c r="K313" t="n">
        <v>32.27</v>
      </c>
      <c r="L313" t="n">
        <v>83.43000000000001</v>
      </c>
      <c r="M313" t="n">
        <v>98.3</v>
      </c>
      <c r="N313" t="n">
        <v>21.97</v>
      </c>
      <c r="O313" t="n">
        <v>6.92</v>
      </c>
      <c r="P313" t="n">
        <v>26.35</v>
      </c>
      <c r="Q313" t="n">
        <v>21.79</v>
      </c>
      <c r="R313" t="n">
        <v>32.06</v>
      </c>
      <c r="S313" t="n">
        <v>85.04000000000001</v>
      </c>
      <c r="T313" t="n">
        <v>98.08</v>
      </c>
      <c r="U313" t="n">
        <v>16.96</v>
      </c>
      <c r="V313" t="inlineStr">
        <is>
          <t>Type I – Tropical Monsoon (PAGASA)</t>
        </is>
      </c>
      <c r="W313" t="inlineStr">
        <is>
          <t>Wet</t>
        </is>
      </c>
      <c r="X313" t="inlineStr">
        <is>
          <t>Wet</t>
        </is>
      </c>
      <c r="Y313" t="inlineStr">
        <is>
          <t>Silty Clay Loam</t>
        </is>
      </c>
      <c r="Z313" t="inlineStr">
        <is>
          <t>Flat / Lowland</t>
        </is>
      </c>
      <c r="AA313" t="n">
        <v>30</v>
      </c>
      <c r="AB313" t="inlineStr">
        <is>
          <t>—</t>
        </is>
      </c>
      <c r="AC313" t="n">
        <v>281.4</v>
      </c>
      <c r="AD313" t="n">
        <v>120</v>
      </c>
      <c r="AE313" t="n">
        <v>15</v>
      </c>
      <c r="AF313" t="n">
        <v>135</v>
      </c>
      <c r="AG313" t="inlineStr">
        <is>
          <t>Transplanting (Pindot) — optimal for clay-loam paddy fields</t>
        </is>
      </c>
      <c r="AH313" t="inlineStr">
        <is>
          <t>Wet Tillage (Puddling): 2 plowings + thorough harrowing under flooded condition</t>
        </is>
      </c>
      <c r="AI313" t="inlineStr">
        <is>
          <t>Continuous flooding 2–5 cm depth during vegetative stage; drain 2 weeks before harvest</t>
        </is>
      </c>
      <c r="AJ313" t="n">
        <v>39.98</v>
      </c>
      <c r="AK313" t="n">
        <v>194.73</v>
      </c>
      <c r="AL313" t="n">
        <v>4.87</v>
      </c>
      <c r="AM313" t="inlineStr">
        <is>
          <t>No</t>
        </is>
      </c>
      <c r="AN313" t="inlineStr">
        <is>
          <t>Observed harvest</t>
        </is>
      </c>
    </row>
    <row r="314">
      <c r="A314" t="inlineStr">
        <is>
          <t>Palay</t>
        </is>
      </c>
      <c r="B314" t="inlineStr">
        <is>
          <t>Bued</t>
        </is>
      </c>
      <c r="C314" t="inlineStr">
        <is>
          <t>WS 2017</t>
        </is>
      </c>
      <c r="D314" t="inlineStr">
        <is>
          <t>June</t>
        </is>
      </c>
      <c r="E314" t="inlineStr">
        <is>
          <t>2017</t>
        </is>
      </c>
      <c r="F314" t="inlineStr">
        <is>
          <t>October</t>
        </is>
      </c>
      <c r="G314" t="inlineStr">
        <is>
          <t>2017</t>
        </is>
      </c>
      <c r="H314" t="n">
        <v>8.73</v>
      </c>
      <c r="I314" t="n">
        <v>27.2</v>
      </c>
      <c r="J314" t="n">
        <v>22.27</v>
      </c>
      <c r="K314" t="n">
        <v>32.27</v>
      </c>
      <c r="L314" t="n">
        <v>83.43000000000001</v>
      </c>
      <c r="M314" t="n">
        <v>98.3</v>
      </c>
      <c r="N314" t="n">
        <v>21.97</v>
      </c>
      <c r="O314" t="n">
        <v>6.92</v>
      </c>
      <c r="P314" t="n">
        <v>26.35</v>
      </c>
      <c r="Q314" t="n">
        <v>21.79</v>
      </c>
      <c r="R314" t="n">
        <v>32.06</v>
      </c>
      <c r="S314" t="n">
        <v>85.04000000000001</v>
      </c>
      <c r="T314" t="n">
        <v>98.08</v>
      </c>
      <c r="U314" t="n">
        <v>16.96</v>
      </c>
      <c r="V314" t="inlineStr">
        <is>
          <t>Type I – Tropical Monsoon (PAGASA)</t>
        </is>
      </c>
      <c r="W314" t="inlineStr">
        <is>
          <t>Wet</t>
        </is>
      </c>
      <c r="X314" t="inlineStr">
        <is>
          <t>Wet</t>
        </is>
      </c>
      <c r="Y314" t="inlineStr">
        <is>
          <t>Silty Clay Loam</t>
        </is>
      </c>
      <c r="Z314" t="inlineStr">
        <is>
          <t>Flat / Lowland</t>
        </is>
      </c>
      <c r="AA314" t="n">
        <v>30</v>
      </c>
      <c r="AB314" t="inlineStr">
        <is>
          <t>Tagamusing River</t>
        </is>
      </c>
      <c r="AC314" t="n">
        <v>210.84</v>
      </c>
      <c r="AD314" t="n">
        <v>56.5</v>
      </c>
      <c r="AE314" t="n">
        <v>37.5</v>
      </c>
      <c r="AF314" t="n">
        <v>94</v>
      </c>
      <c r="AG314" t="inlineStr">
        <is>
          <t>Transplanting (Pindot) — optimal for clay-loam paddy fields</t>
        </is>
      </c>
      <c r="AH314" t="inlineStr">
        <is>
          <t>Wet Tillage (Puddling): 2 plowings + thorough harrowing under flooded condition</t>
        </is>
      </c>
      <c r="AI314" t="inlineStr">
        <is>
          <t>Continuous flooding 2–5 cm depth during vegetative stage; drain 2 weeks before harvest</t>
        </is>
      </c>
      <c r="AJ314" t="n">
        <v>24.54</v>
      </c>
      <c r="AK314" t="n">
        <v>109.51</v>
      </c>
      <c r="AL314" t="n">
        <v>4.46</v>
      </c>
      <c r="AM314" t="inlineStr">
        <is>
          <t>No</t>
        </is>
      </c>
      <c r="AN314" t="inlineStr">
        <is>
          <t>Observed harvest</t>
        </is>
      </c>
    </row>
    <row r="315">
      <c r="A315" t="inlineStr">
        <is>
          <t>Palay</t>
        </is>
      </c>
      <c r="B315" t="inlineStr">
        <is>
          <t>Bugayong</t>
        </is>
      </c>
      <c r="C315" t="inlineStr">
        <is>
          <t>WS 2017</t>
        </is>
      </c>
      <c r="D315" t="inlineStr">
        <is>
          <t>June</t>
        </is>
      </c>
      <c r="E315" t="inlineStr">
        <is>
          <t>2017</t>
        </is>
      </c>
      <c r="F315" t="inlineStr">
        <is>
          <t>October</t>
        </is>
      </c>
      <c r="G315" t="inlineStr">
        <is>
          <t>2017</t>
        </is>
      </c>
      <c r="H315" t="n">
        <v>8.73</v>
      </c>
      <c r="I315" t="n">
        <v>27.2</v>
      </c>
      <c r="J315" t="n">
        <v>22.27</v>
      </c>
      <c r="K315" t="n">
        <v>32.27</v>
      </c>
      <c r="L315" t="n">
        <v>83.43000000000001</v>
      </c>
      <c r="M315" t="n">
        <v>98.3</v>
      </c>
      <c r="N315" t="n">
        <v>21.97</v>
      </c>
      <c r="O315" t="n">
        <v>6.92</v>
      </c>
      <c r="P315" t="n">
        <v>26.35</v>
      </c>
      <c r="Q315" t="n">
        <v>21.79</v>
      </c>
      <c r="R315" t="n">
        <v>32.06</v>
      </c>
      <c r="S315" t="n">
        <v>85.04000000000001</v>
      </c>
      <c r="T315" t="n">
        <v>98.08</v>
      </c>
      <c r="U315" t="n">
        <v>16.96</v>
      </c>
      <c r="V315" t="inlineStr">
        <is>
          <t>Type I – Tropical Monsoon (PAGASA)</t>
        </is>
      </c>
      <c r="W315" t="inlineStr">
        <is>
          <t>Wet</t>
        </is>
      </c>
      <c r="X315" t="inlineStr">
        <is>
          <t>Wet</t>
        </is>
      </c>
      <c r="Y315" t="inlineStr">
        <is>
          <t>Sandy Loam / Silty Clay Loam</t>
        </is>
      </c>
      <c r="Z315" t="inlineStr">
        <is>
          <t>Flat / Lowland</t>
        </is>
      </c>
      <c r="AA315" t="n">
        <v>30</v>
      </c>
      <c r="AB315" t="inlineStr">
        <is>
          <t>Aloragat River</t>
        </is>
      </c>
      <c r="AC315" t="n">
        <v>346.08</v>
      </c>
      <c r="AD315" t="n">
        <v>25.95</v>
      </c>
      <c r="AE315" t="n">
        <v>52.05</v>
      </c>
      <c r="AF315" t="n">
        <v>78</v>
      </c>
      <c r="AG315" t="inlineStr">
        <is>
          <t>Transplanting (Pindot) — recommended; Direct Seeding possible in dry season</t>
        </is>
      </c>
      <c r="AH315" t="inlineStr">
        <is>
          <t>Conventional Tillage: 2 plowings + harrowing; puddle thoroughly for transplanting</t>
        </is>
      </c>
      <c r="AI315" t="inlineStr">
        <is>
          <t>Intermittent to continuous flooding; manage according to drainage section present</t>
        </is>
      </c>
      <c r="AJ315" t="n">
        <v>25.48</v>
      </c>
      <c r="AK315" t="n">
        <v>203.35</v>
      </c>
      <c r="AL315" t="n">
        <v>7.98</v>
      </c>
      <c r="AM315" t="inlineStr">
        <is>
          <t>No</t>
        </is>
      </c>
      <c r="AN315" t="inlineStr">
        <is>
          <t>Observed harvest</t>
        </is>
      </c>
    </row>
    <row r="316">
      <c r="A316" t="inlineStr">
        <is>
          <t>Palay</t>
        </is>
      </c>
      <c r="B316" t="inlineStr">
        <is>
          <t>Camanggaan</t>
        </is>
      </c>
      <c r="C316" t="inlineStr">
        <is>
          <t>WS 2017</t>
        </is>
      </c>
      <c r="D316" t="inlineStr">
        <is>
          <t>June</t>
        </is>
      </c>
      <c r="E316" t="inlineStr">
        <is>
          <t>2017</t>
        </is>
      </c>
      <c r="F316" t="inlineStr">
        <is>
          <t>October</t>
        </is>
      </c>
      <c r="G316" t="inlineStr">
        <is>
          <t>2017</t>
        </is>
      </c>
      <c r="H316" t="n">
        <v>8.73</v>
      </c>
      <c r="I316" t="n">
        <v>27.2</v>
      </c>
      <c r="J316" t="n">
        <v>22.27</v>
      </c>
      <c r="K316" t="n">
        <v>32.27</v>
      </c>
      <c r="L316" t="n">
        <v>83.43000000000001</v>
      </c>
      <c r="M316" t="n">
        <v>98.3</v>
      </c>
      <c r="N316" t="n">
        <v>21.97</v>
      </c>
      <c r="O316" t="n">
        <v>6.92</v>
      </c>
      <c r="P316" t="n">
        <v>26.35</v>
      </c>
      <c r="Q316" t="n">
        <v>21.79</v>
      </c>
      <c r="R316" t="n">
        <v>32.06</v>
      </c>
      <c r="S316" t="n">
        <v>85.04000000000001</v>
      </c>
      <c r="T316" t="n">
        <v>98.08</v>
      </c>
      <c r="U316" t="n">
        <v>16.96</v>
      </c>
      <c r="V316" t="inlineStr">
        <is>
          <t>Type I – Tropical Monsoon (PAGASA)</t>
        </is>
      </c>
      <c r="W316" t="inlineStr">
        <is>
          <t>Wet</t>
        </is>
      </c>
      <c r="X316" t="inlineStr">
        <is>
          <t>Wet</t>
        </is>
      </c>
      <c r="Y316" t="inlineStr">
        <is>
          <t>Sandy Loam</t>
        </is>
      </c>
      <c r="Z316" t="inlineStr">
        <is>
          <t>Flat / Lowland</t>
        </is>
      </c>
      <c r="AA316" t="n">
        <v>30</v>
      </c>
      <c r="AB316" t="inlineStr">
        <is>
          <t>—</t>
        </is>
      </c>
      <c r="AC316" t="n">
        <v>244.44</v>
      </c>
      <c r="AD316" t="n">
        <v>19</v>
      </c>
      <c r="AE316" t="n">
        <v>68</v>
      </c>
      <c r="AF316" t="n">
        <v>87</v>
      </c>
      <c r="AG316" t="inlineStr">
        <is>
          <t>Transplanting (Pindot) or Direct Seeding (Pinaghandaan)</t>
        </is>
      </c>
      <c r="AH316" t="inlineStr">
        <is>
          <t>Conventional Tillage: 2 plowings + 2 harrowings; soil workable when moist</t>
        </is>
      </c>
      <c r="AI316" t="inlineStr">
        <is>
          <t>Intermittent irrigation (Alternate Wetting and Drying — AWD); moderate retention</t>
        </is>
      </c>
      <c r="AJ316" t="n">
        <v>2.5</v>
      </c>
      <c r="AK316" t="n">
        <v>20</v>
      </c>
      <c r="AL316" t="n">
        <v>8</v>
      </c>
      <c r="AM316" t="inlineStr">
        <is>
          <t>No</t>
        </is>
      </c>
      <c r="AN316" t="inlineStr">
        <is>
          <t>Observed harvest</t>
        </is>
      </c>
    </row>
    <row r="317">
      <c r="A317" t="inlineStr">
        <is>
          <t>Palay</t>
        </is>
      </c>
      <c r="B317" t="inlineStr">
        <is>
          <t>Capas</t>
        </is>
      </c>
      <c r="C317" t="inlineStr">
        <is>
          <t>WS 2017</t>
        </is>
      </c>
      <c r="D317" t="inlineStr">
        <is>
          <t>June</t>
        </is>
      </c>
      <c r="E317" t="inlineStr">
        <is>
          <t>2017</t>
        </is>
      </c>
      <c r="F317" t="inlineStr">
        <is>
          <t>October</t>
        </is>
      </c>
      <c r="G317" t="inlineStr">
        <is>
          <t>2017</t>
        </is>
      </c>
      <c r="H317" t="n">
        <v>8.73</v>
      </c>
      <c r="I317" t="n">
        <v>27.2</v>
      </c>
      <c r="J317" t="n">
        <v>22.27</v>
      </c>
      <c r="K317" t="n">
        <v>32.27</v>
      </c>
      <c r="L317" t="n">
        <v>83.43000000000001</v>
      </c>
      <c r="M317" t="n">
        <v>98.3</v>
      </c>
      <c r="N317" t="n">
        <v>21.97</v>
      </c>
      <c r="O317" t="n">
        <v>6.92</v>
      </c>
      <c r="P317" t="n">
        <v>26.35</v>
      </c>
      <c r="Q317" t="n">
        <v>21.79</v>
      </c>
      <c r="R317" t="n">
        <v>32.06</v>
      </c>
      <c r="S317" t="n">
        <v>85.04000000000001</v>
      </c>
      <c r="T317" t="n">
        <v>98.08</v>
      </c>
      <c r="U317" t="n">
        <v>16.96</v>
      </c>
      <c r="V317" t="inlineStr">
        <is>
          <t>Type I – Tropical Monsoon (PAGASA)</t>
        </is>
      </c>
      <c r="W317" t="inlineStr">
        <is>
          <t>Wet</t>
        </is>
      </c>
      <c r="X317" t="inlineStr">
        <is>
          <t>Wet</t>
        </is>
      </c>
      <c r="Y317" t="inlineStr">
        <is>
          <t>Sandy Loam</t>
        </is>
      </c>
      <c r="Z317" t="inlineStr">
        <is>
          <t>Flat / Lowland</t>
        </is>
      </c>
      <c r="AA317" t="n">
        <v>30</v>
      </c>
      <c r="AB317" t="inlineStr">
        <is>
          <t>—</t>
        </is>
      </c>
      <c r="AC317" t="n">
        <v>377.16</v>
      </c>
      <c r="AD317" t="n">
        <v>139</v>
      </c>
      <c r="AE317" t="n">
        <v>164</v>
      </c>
      <c r="AF317" t="n">
        <v>303</v>
      </c>
      <c r="AG317" t="inlineStr">
        <is>
          <t>Transplanting (Pindot) or Direct Seeding (Pinaghandaan)</t>
        </is>
      </c>
      <c r="AH317" t="inlineStr">
        <is>
          <t>Conventional Tillage: 2 plowings + 2 harrowings; soil workable when moist</t>
        </is>
      </c>
      <c r="AI317" t="inlineStr">
        <is>
          <t>Intermittent irrigation (Alternate Wetting and Drying — AWD); moderate retention</t>
        </is>
      </c>
      <c r="AJ317" t="n">
        <v>2</v>
      </c>
      <c r="AK317" t="n">
        <v>16</v>
      </c>
      <c r="AL317" t="n">
        <v>8</v>
      </c>
      <c r="AM317" t="inlineStr">
        <is>
          <t>No</t>
        </is>
      </c>
      <c r="AN317" t="inlineStr">
        <is>
          <t>Observed harvest</t>
        </is>
      </c>
    </row>
    <row r="318">
      <c r="A318" t="inlineStr">
        <is>
          <t>Palay</t>
        </is>
      </c>
      <c r="B318" t="inlineStr">
        <is>
          <t>Cili</t>
        </is>
      </c>
      <c r="C318" t="inlineStr">
        <is>
          <t>WS 2017</t>
        </is>
      </c>
      <c r="D318" t="inlineStr">
        <is>
          <t>June</t>
        </is>
      </c>
      <c r="E318" t="inlineStr">
        <is>
          <t>2017</t>
        </is>
      </c>
      <c r="F318" t="inlineStr">
        <is>
          <t>October</t>
        </is>
      </c>
      <c r="G318" t="inlineStr">
        <is>
          <t>2017</t>
        </is>
      </c>
      <c r="H318" t="n">
        <v>8.73</v>
      </c>
      <c r="I318" t="n">
        <v>27.2</v>
      </c>
      <c r="J318" t="n">
        <v>22.27</v>
      </c>
      <c r="K318" t="n">
        <v>32.27</v>
      </c>
      <c r="L318" t="n">
        <v>83.43000000000001</v>
      </c>
      <c r="M318" t="n">
        <v>98.3</v>
      </c>
      <c r="N318" t="n">
        <v>21.97</v>
      </c>
      <c r="O318" t="n">
        <v>6.92</v>
      </c>
      <c r="P318" t="n">
        <v>26.35</v>
      </c>
      <c r="Q318" t="n">
        <v>21.79</v>
      </c>
      <c r="R318" t="n">
        <v>32.06</v>
      </c>
      <c r="S318" t="n">
        <v>85.04000000000001</v>
      </c>
      <c r="T318" t="n">
        <v>98.08</v>
      </c>
      <c r="U318" t="n">
        <v>16.96</v>
      </c>
      <c r="V318" t="inlineStr">
        <is>
          <t>Type I – Tropical Monsoon (PAGASA)</t>
        </is>
      </c>
      <c r="W318" t="inlineStr">
        <is>
          <t>Wet</t>
        </is>
      </c>
      <c r="X318" t="inlineStr">
        <is>
          <t>Wet</t>
        </is>
      </c>
      <c r="Y318" t="inlineStr">
        <is>
          <t>Silty Clay Loam</t>
        </is>
      </c>
      <c r="Z318" t="inlineStr">
        <is>
          <t>Flat / Lowland</t>
        </is>
      </c>
      <c r="AA318" t="n">
        <v>30</v>
      </c>
      <c r="AB318" t="inlineStr">
        <is>
          <t>Alibeng River</t>
        </is>
      </c>
      <c r="AC318" t="n">
        <v>264.6</v>
      </c>
      <c r="AD318" t="n">
        <v>40</v>
      </c>
      <c r="AE318" t="n">
        <v>128</v>
      </c>
      <c r="AF318" t="n">
        <v>168</v>
      </c>
      <c r="AG318" t="inlineStr">
        <is>
          <t>Transplanting (Pindot) — optimal for clay-loam paddy fields</t>
        </is>
      </c>
      <c r="AH318" t="inlineStr">
        <is>
          <t>Wet Tillage (Puddling): 2 plowings + thorough harrowing under flooded condition</t>
        </is>
      </c>
      <c r="AI318" t="inlineStr">
        <is>
          <t>Continuous flooding 2–5 cm depth during vegetative stage; drain 2 weeks before harvest</t>
        </is>
      </c>
      <c r="AJ318" t="n">
        <v>20.04</v>
      </c>
      <c r="AK318" t="n">
        <v>24.44</v>
      </c>
      <c r="AL318" t="n">
        <v>1.22</v>
      </c>
      <c r="AM318" t="inlineStr">
        <is>
          <t>No</t>
        </is>
      </c>
      <c r="AN318" t="inlineStr">
        <is>
          <t>Observed harvest</t>
        </is>
      </c>
    </row>
    <row r="319">
      <c r="A319" t="inlineStr">
        <is>
          <t>Palay</t>
        </is>
      </c>
      <c r="B319" t="inlineStr">
        <is>
          <t>Dumayat</t>
        </is>
      </c>
      <c r="C319" t="inlineStr">
        <is>
          <t>WS 2017</t>
        </is>
      </c>
      <c r="D319" t="inlineStr">
        <is>
          <t>June</t>
        </is>
      </c>
      <c r="E319" t="inlineStr">
        <is>
          <t>2017</t>
        </is>
      </c>
      <c r="F319" t="inlineStr">
        <is>
          <t>October</t>
        </is>
      </c>
      <c r="G319" t="inlineStr">
        <is>
          <t>2017</t>
        </is>
      </c>
      <c r="H319" t="n">
        <v>8.73</v>
      </c>
      <c r="I319" t="n">
        <v>27.2</v>
      </c>
      <c r="J319" t="n">
        <v>22.27</v>
      </c>
      <c r="K319" t="n">
        <v>32.27</v>
      </c>
      <c r="L319" t="n">
        <v>83.43000000000001</v>
      </c>
      <c r="M319" t="n">
        <v>98.3</v>
      </c>
      <c r="N319" t="n">
        <v>21.97</v>
      </c>
      <c r="O319" t="n">
        <v>6.92</v>
      </c>
      <c r="P319" t="n">
        <v>26.35</v>
      </c>
      <c r="Q319" t="n">
        <v>21.79</v>
      </c>
      <c r="R319" t="n">
        <v>32.06</v>
      </c>
      <c r="S319" t="n">
        <v>85.04000000000001</v>
      </c>
      <c r="T319" t="n">
        <v>98.08</v>
      </c>
      <c r="U319" t="n">
        <v>16.96</v>
      </c>
      <c r="V319" t="inlineStr">
        <is>
          <t>Type I – Tropical Monsoon (PAGASA)</t>
        </is>
      </c>
      <c r="W319" t="inlineStr">
        <is>
          <t>Wet</t>
        </is>
      </c>
      <c r="X319" t="inlineStr">
        <is>
          <t>Wet</t>
        </is>
      </c>
      <c r="Y319" t="inlineStr">
        <is>
          <t>Silty Clay Loam</t>
        </is>
      </c>
      <c r="Z319" t="inlineStr">
        <is>
          <t>Flat / Lowland</t>
        </is>
      </c>
      <c r="AA319" t="n">
        <v>30</v>
      </c>
      <c r="AB319" t="inlineStr">
        <is>
          <t>—</t>
        </is>
      </c>
      <c r="AC319" t="n">
        <v>266.28</v>
      </c>
      <c r="AD319" t="n">
        <v>56</v>
      </c>
      <c r="AE319" t="n">
        <v>30</v>
      </c>
      <c r="AF319" t="n">
        <v>86</v>
      </c>
      <c r="AG319" t="inlineStr">
        <is>
          <t>Transplanting (Pindot) — optimal for clay-loam paddy fields</t>
        </is>
      </c>
      <c r="AH319" t="inlineStr">
        <is>
          <t>Wet Tillage (Puddling): 2 plowings + thorough harrowing under flooded condition</t>
        </is>
      </c>
      <c r="AI319" t="inlineStr">
        <is>
          <t>Continuous flooding 2–5 cm depth during vegetative stage; drain 2 weeks before harvest</t>
        </is>
      </c>
      <c r="AJ319" t="n">
        <v>19.09</v>
      </c>
      <c r="AK319" t="n">
        <v>25.11</v>
      </c>
      <c r="AL319" t="n">
        <v>1.32</v>
      </c>
      <c r="AM319" t="inlineStr">
        <is>
          <t>No</t>
        </is>
      </c>
      <c r="AN319" t="inlineStr">
        <is>
          <t>Observed harvest</t>
        </is>
      </c>
    </row>
    <row r="320">
      <c r="A320" t="inlineStr">
        <is>
          <t>Palay</t>
        </is>
      </c>
      <c r="B320" t="inlineStr">
        <is>
          <t>Linmansangan</t>
        </is>
      </c>
      <c r="C320" t="inlineStr">
        <is>
          <t>WS 2017</t>
        </is>
      </c>
      <c r="D320" t="inlineStr">
        <is>
          <t>June</t>
        </is>
      </c>
      <c r="E320" t="inlineStr">
        <is>
          <t>2017</t>
        </is>
      </c>
      <c r="F320" t="inlineStr">
        <is>
          <t>October</t>
        </is>
      </c>
      <c r="G320" t="inlineStr">
        <is>
          <t>2017</t>
        </is>
      </c>
      <c r="H320" t="n">
        <v>8.73</v>
      </c>
      <c r="I320" t="n">
        <v>27.2</v>
      </c>
      <c r="J320" t="n">
        <v>22.27</v>
      </c>
      <c r="K320" t="n">
        <v>32.27</v>
      </c>
      <c r="L320" t="n">
        <v>83.43000000000001</v>
      </c>
      <c r="M320" t="n">
        <v>98.3</v>
      </c>
      <c r="N320" t="n">
        <v>21.97</v>
      </c>
      <c r="O320" t="n">
        <v>6.92</v>
      </c>
      <c r="P320" t="n">
        <v>26.35</v>
      </c>
      <c r="Q320" t="n">
        <v>21.79</v>
      </c>
      <c r="R320" t="n">
        <v>32.06</v>
      </c>
      <c r="S320" t="n">
        <v>85.04000000000001</v>
      </c>
      <c r="T320" t="n">
        <v>98.08</v>
      </c>
      <c r="U320" t="n">
        <v>16.96</v>
      </c>
      <c r="V320" t="inlineStr">
        <is>
          <t>Type I – Tropical Monsoon (PAGASA)</t>
        </is>
      </c>
      <c r="W320" t="inlineStr">
        <is>
          <t>Wet</t>
        </is>
      </c>
      <c r="X320" t="inlineStr">
        <is>
          <t>Wet</t>
        </is>
      </c>
      <c r="Y320" t="inlineStr">
        <is>
          <t>Silty Clay Loam</t>
        </is>
      </c>
      <c r="Z320" t="inlineStr">
        <is>
          <t>Flat / Lowland</t>
        </is>
      </c>
      <c r="AA320" t="n">
        <v>30</v>
      </c>
      <c r="AB320" t="inlineStr">
        <is>
          <t>—</t>
        </is>
      </c>
      <c r="AC320" t="n">
        <v>492.24</v>
      </c>
      <c r="AD320" t="n">
        <v>65.5</v>
      </c>
      <c r="AE320" t="n">
        <v>150.5</v>
      </c>
      <c r="AF320" t="n">
        <v>216</v>
      </c>
      <c r="AG320" t="inlineStr">
        <is>
          <t>Transplanting (Pindot) — optimal for clay-loam paddy fields</t>
        </is>
      </c>
      <c r="AH320" t="inlineStr">
        <is>
          <t>Wet Tillage (Puddling): 2 plowings + thorough harrowing under flooded condition</t>
        </is>
      </c>
      <c r="AI320" t="inlineStr">
        <is>
          <t>Continuous flooding 2–5 cm depth during vegetative stage; drain 2 weeks before harvest</t>
        </is>
      </c>
      <c r="AJ320" t="n">
        <v>42.7</v>
      </c>
      <c r="AK320" t="n">
        <v>16.79</v>
      </c>
      <c r="AL320" t="n">
        <v>0.39</v>
      </c>
      <c r="AM320" t="inlineStr">
        <is>
          <t>No</t>
        </is>
      </c>
      <c r="AN320" t="inlineStr">
        <is>
          <t>Observed harvest</t>
        </is>
      </c>
    </row>
    <row r="321">
      <c r="A321" t="inlineStr">
        <is>
          <t>Palay</t>
        </is>
      </c>
      <c r="B321" t="inlineStr">
        <is>
          <t>Mangkasuy</t>
        </is>
      </c>
      <c r="C321" t="inlineStr">
        <is>
          <t>WS 2017</t>
        </is>
      </c>
      <c r="D321" t="inlineStr">
        <is>
          <t>June</t>
        </is>
      </c>
      <c r="E321" t="inlineStr">
        <is>
          <t>2017</t>
        </is>
      </c>
      <c r="F321" t="inlineStr">
        <is>
          <t>October</t>
        </is>
      </c>
      <c r="G321" t="inlineStr">
        <is>
          <t>2017</t>
        </is>
      </c>
      <c r="H321" t="n">
        <v>8.73</v>
      </c>
      <c r="I321" t="n">
        <v>27.2</v>
      </c>
      <c r="J321" t="n">
        <v>22.27</v>
      </c>
      <c r="K321" t="n">
        <v>32.27</v>
      </c>
      <c r="L321" t="n">
        <v>83.43000000000001</v>
      </c>
      <c r="M321" t="n">
        <v>98.3</v>
      </c>
      <c r="N321" t="n">
        <v>21.97</v>
      </c>
      <c r="O321" t="n">
        <v>6.92</v>
      </c>
      <c r="P321" t="n">
        <v>26.35</v>
      </c>
      <c r="Q321" t="n">
        <v>21.79</v>
      </c>
      <c r="R321" t="n">
        <v>32.06</v>
      </c>
      <c r="S321" t="n">
        <v>85.04000000000001</v>
      </c>
      <c r="T321" t="n">
        <v>98.08</v>
      </c>
      <c r="U321" t="n">
        <v>16.96</v>
      </c>
      <c r="V321" t="inlineStr">
        <is>
          <t>Type I – Tropical Monsoon (PAGASA)</t>
        </is>
      </c>
      <c r="W321" t="inlineStr">
        <is>
          <t>Wet</t>
        </is>
      </c>
      <c r="X321" t="inlineStr">
        <is>
          <t>Wet</t>
        </is>
      </c>
      <c r="Y321" t="inlineStr">
        <is>
          <t>Sandy Loam</t>
        </is>
      </c>
      <c r="Z321" t="inlineStr">
        <is>
          <t>Flat / Lowland</t>
        </is>
      </c>
      <c r="AA321" t="n">
        <v>30</v>
      </c>
      <c r="AB321" t="inlineStr">
        <is>
          <t>Tagamusing River</t>
        </is>
      </c>
      <c r="AC321" t="n">
        <v>802.2</v>
      </c>
      <c r="AD321" t="n">
        <v>90</v>
      </c>
      <c r="AE321" t="n">
        <v>262</v>
      </c>
      <c r="AF321" t="n">
        <v>352</v>
      </c>
      <c r="AG321" t="inlineStr">
        <is>
          <t>Transplanting (Pindot) or Direct Seeding (Pinaghandaan)</t>
        </is>
      </c>
      <c r="AH321" t="inlineStr">
        <is>
          <t>Conventional Tillage: 2 plowings + 2 harrowings; soil workable when moist</t>
        </is>
      </c>
      <c r="AI321" t="inlineStr">
        <is>
          <t>Intermittent irrigation (Alternate Wetting and Drying — AWD); moderate retention</t>
        </is>
      </c>
      <c r="AJ321" t="n">
        <v>8.44</v>
      </c>
      <c r="AK321" t="n">
        <v>23.76</v>
      </c>
      <c r="AL321" t="n">
        <v>2.82</v>
      </c>
      <c r="AM321" t="inlineStr">
        <is>
          <t>No</t>
        </is>
      </c>
      <c r="AN321" t="inlineStr">
        <is>
          <t>Observed harvest</t>
        </is>
      </c>
    </row>
    <row r="322">
      <c r="A322" t="inlineStr">
        <is>
          <t>Palay</t>
        </is>
      </c>
      <c r="B322" t="inlineStr">
        <is>
          <t>Moreno</t>
        </is>
      </c>
      <c r="C322" t="inlineStr">
        <is>
          <t>WS 2017</t>
        </is>
      </c>
      <c r="D322" t="inlineStr">
        <is>
          <t>June</t>
        </is>
      </c>
      <c r="E322" t="inlineStr">
        <is>
          <t>2017</t>
        </is>
      </c>
      <c r="F322" t="inlineStr">
        <is>
          <t>October</t>
        </is>
      </c>
      <c r="G322" t="inlineStr">
        <is>
          <t>2017</t>
        </is>
      </c>
      <c r="H322" t="n">
        <v>8.73</v>
      </c>
      <c r="I322" t="n">
        <v>27.2</v>
      </c>
      <c r="J322" t="n">
        <v>22.27</v>
      </c>
      <c r="K322" t="n">
        <v>32.27</v>
      </c>
      <c r="L322" t="n">
        <v>83.43000000000001</v>
      </c>
      <c r="M322" t="n">
        <v>98.3</v>
      </c>
      <c r="N322" t="n">
        <v>21.97</v>
      </c>
      <c r="O322" t="n">
        <v>6.92</v>
      </c>
      <c r="P322" t="n">
        <v>26.35</v>
      </c>
      <c r="Q322" t="n">
        <v>21.79</v>
      </c>
      <c r="R322" t="n">
        <v>32.06</v>
      </c>
      <c r="S322" t="n">
        <v>85.04000000000001</v>
      </c>
      <c r="T322" t="n">
        <v>98.08</v>
      </c>
      <c r="U322" t="n">
        <v>16.96</v>
      </c>
      <c r="V322" t="inlineStr">
        <is>
          <t>Type I – Tropical Monsoon (PAGASA)</t>
        </is>
      </c>
      <c r="W322" t="inlineStr">
        <is>
          <t>Wet</t>
        </is>
      </c>
      <c r="X322" t="inlineStr">
        <is>
          <t>Wet</t>
        </is>
      </c>
      <c r="Y322" t="inlineStr">
        <is>
          <t>Sandy Loam</t>
        </is>
      </c>
      <c r="Z322" t="inlineStr">
        <is>
          <t>Moderately Sloping / Highland</t>
        </is>
      </c>
      <c r="AA322" t="n">
        <v>90</v>
      </c>
      <c r="AB322" t="inlineStr">
        <is>
          <t>Alibeng River</t>
        </is>
      </c>
      <c r="AC322" t="n">
        <v>641.76</v>
      </c>
      <c r="AD322" t="n">
        <v>47.4</v>
      </c>
      <c r="AE322" t="n">
        <v>116.6</v>
      </c>
      <c r="AF322" t="n">
        <v>164</v>
      </c>
      <c r="AG322" t="inlineStr">
        <is>
          <t>Transplanting (Pindot) or Direct Seeding (Pinaghandaan)</t>
        </is>
      </c>
      <c r="AH322" t="inlineStr">
        <is>
          <t>Conventional Tillage: 2 plowings + 2 harrowings; soil workable when moist</t>
        </is>
      </c>
      <c r="AI322" t="inlineStr">
        <is>
          <t>Intermittent irrigation (Alternate Wetting and Drying — AWD); moderate retention; terrace or bund-assisted water retention essential on slopes</t>
        </is>
      </c>
      <c r="AJ322" t="n">
        <v>11.5</v>
      </c>
      <c r="AK322" t="n">
        <v>33.43</v>
      </c>
      <c r="AL322" t="n">
        <v>2.91</v>
      </c>
      <c r="AM322" t="inlineStr">
        <is>
          <t>No</t>
        </is>
      </c>
      <c r="AN322" t="inlineStr">
        <is>
          <t>Observed harvest</t>
        </is>
      </c>
    </row>
    <row r="323">
      <c r="A323" t="inlineStr">
        <is>
          <t>Palay</t>
        </is>
      </c>
      <c r="B323" t="inlineStr">
        <is>
          <t>Pasileng Norte</t>
        </is>
      </c>
      <c r="C323" t="inlineStr">
        <is>
          <t>WS 2017</t>
        </is>
      </c>
      <c r="D323" t="inlineStr">
        <is>
          <t>June</t>
        </is>
      </c>
      <c r="E323" t="inlineStr">
        <is>
          <t>2017</t>
        </is>
      </c>
      <c r="F323" t="inlineStr">
        <is>
          <t>October</t>
        </is>
      </c>
      <c r="G323" t="inlineStr">
        <is>
          <t>2017</t>
        </is>
      </c>
      <c r="H323" t="n">
        <v>8.73</v>
      </c>
      <c r="I323" t="n">
        <v>27.2</v>
      </c>
      <c r="J323" t="n">
        <v>22.27</v>
      </c>
      <c r="K323" t="n">
        <v>32.27</v>
      </c>
      <c r="L323" t="n">
        <v>83.43000000000001</v>
      </c>
      <c r="M323" t="n">
        <v>98.3</v>
      </c>
      <c r="N323" t="n">
        <v>21.97</v>
      </c>
      <c r="O323" t="n">
        <v>6.92</v>
      </c>
      <c r="P323" t="n">
        <v>26.35</v>
      </c>
      <c r="Q323" t="n">
        <v>21.79</v>
      </c>
      <c r="R323" t="n">
        <v>32.06</v>
      </c>
      <c r="S323" t="n">
        <v>85.04000000000001</v>
      </c>
      <c r="T323" t="n">
        <v>98.08</v>
      </c>
      <c r="U323" t="n">
        <v>16.96</v>
      </c>
      <c r="V323" t="inlineStr">
        <is>
          <t>Type I – Tropical Monsoon (PAGASA)</t>
        </is>
      </c>
      <c r="W323" t="inlineStr">
        <is>
          <t>Wet</t>
        </is>
      </c>
      <c r="X323" t="inlineStr">
        <is>
          <t>Wet</t>
        </is>
      </c>
      <c r="Y323" t="inlineStr">
        <is>
          <t>Sandy Loam</t>
        </is>
      </c>
      <c r="Z323" t="inlineStr">
        <is>
          <t>Flat / Lowland</t>
        </is>
      </c>
      <c r="AA323" t="n">
        <v>30</v>
      </c>
      <c r="AB323" t="inlineStr">
        <is>
          <t>Tagamusing River</t>
        </is>
      </c>
      <c r="AC323" t="n">
        <v>140.28</v>
      </c>
      <c r="AD323" t="n">
        <v>78.34999999999999</v>
      </c>
      <c r="AE323" t="n">
        <v>2.65</v>
      </c>
      <c r="AF323" t="n">
        <v>81</v>
      </c>
      <c r="AG323" t="inlineStr">
        <is>
          <t>Transplanting (Pindot) or Direct Seeding (Pinaghandaan)</t>
        </is>
      </c>
      <c r="AH323" t="inlineStr">
        <is>
          <t>Conventional Tillage: 2 plowings + 2 harrowings; soil workable when moist</t>
        </is>
      </c>
      <c r="AI323" t="inlineStr">
        <is>
          <t>Intermittent irrigation (Alternate Wetting and Drying — AWD); moderate retention</t>
        </is>
      </c>
      <c r="AJ323" t="n">
        <v>2.25</v>
      </c>
      <c r="AK323" t="n">
        <v>18</v>
      </c>
      <c r="AL323" t="n">
        <v>8</v>
      </c>
      <c r="AM323" t="inlineStr">
        <is>
          <t>No</t>
        </is>
      </c>
      <c r="AN323" t="inlineStr">
        <is>
          <t>Observed harvest</t>
        </is>
      </c>
    </row>
    <row r="324">
      <c r="A324" t="inlineStr">
        <is>
          <t>Palay</t>
        </is>
      </c>
      <c r="B324" t="inlineStr">
        <is>
          <t>Pasileng Sur</t>
        </is>
      </c>
      <c r="C324" t="inlineStr">
        <is>
          <t>WS 2017</t>
        </is>
      </c>
      <c r="D324" t="inlineStr">
        <is>
          <t>June</t>
        </is>
      </c>
      <c r="E324" t="inlineStr">
        <is>
          <t>2017</t>
        </is>
      </c>
      <c r="F324" t="inlineStr">
        <is>
          <t>October</t>
        </is>
      </c>
      <c r="G324" t="inlineStr">
        <is>
          <t>2017</t>
        </is>
      </c>
      <c r="H324" t="n">
        <v>8.73</v>
      </c>
      <c r="I324" t="n">
        <v>27.2</v>
      </c>
      <c r="J324" t="n">
        <v>22.27</v>
      </c>
      <c r="K324" t="n">
        <v>32.27</v>
      </c>
      <c r="L324" t="n">
        <v>83.43000000000001</v>
      </c>
      <c r="M324" t="n">
        <v>98.3</v>
      </c>
      <c r="N324" t="n">
        <v>21.97</v>
      </c>
      <c r="O324" t="n">
        <v>6.92</v>
      </c>
      <c r="P324" t="n">
        <v>26.35</v>
      </c>
      <c r="Q324" t="n">
        <v>21.79</v>
      </c>
      <c r="R324" t="n">
        <v>32.06</v>
      </c>
      <c r="S324" t="n">
        <v>85.04000000000001</v>
      </c>
      <c r="T324" t="n">
        <v>98.08</v>
      </c>
      <c r="U324" t="n">
        <v>16.96</v>
      </c>
      <c r="V324" t="inlineStr">
        <is>
          <t>Type I – Tropical Monsoon (PAGASA)</t>
        </is>
      </c>
      <c r="W324" t="inlineStr">
        <is>
          <t>Wet</t>
        </is>
      </c>
      <c r="X324" t="inlineStr">
        <is>
          <t>Wet</t>
        </is>
      </c>
      <c r="Y324" t="inlineStr">
        <is>
          <t>Sandy Loam</t>
        </is>
      </c>
      <c r="Z324" t="inlineStr">
        <is>
          <t>Flat / Lowland</t>
        </is>
      </c>
      <c r="AA324" t="n">
        <v>30</v>
      </c>
      <c r="AB324" t="inlineStr">
        <is>
          <t>Tagamusing River</t>
        </is>
      </c>
      <c r="AC324" t="n">
        <v>414.96</v>
      </c>
      <c r="AD324" t="n">
        <v>150.9</v>
      </c>
      <c r="AE324" t="n">
        <v>29.1</v>
      </c>
      <c r="AF324" t="n">
        <v>180</v>
      </c>
      <c r="AG324" t="inlineStr">
        <is>
          <t>Transplanting (Pindot) or Direct Seeding (Pinaghandaan)</t>
        </is>
      </c>
      <c r="AH324" t="inlineStr">
        <is>
          <t>Conventional Tillage: 2 plowings + 2 harrowings; soil workable when moist</t>
        </is>
      </c>
      <c r="AI324" t="inlineStr">
        <is>
          <t>Intermittent irrigation (Alternate Wetting and Drying — AWD); moderate retention</t>
        </is>
      </c>
      <c r="AJ324" t="n">
        <v>6.91</v>
      </c>
      <c r="AK324" t="n">
        <v>29.51</v>
      </c>
      <c r="AL324" t="n">
        <v>4.27</v>
      </c>
      <c r="AM324" t="inlineStr">
        <is>
          <t>No</t>
        </is>
      </c>
      <c r="AN324" t="inlineStr">
        <is>
          <t>Observed harvest</t>
        </is>
      </c>
    </row>
    <row r="325">
      <c r="A325" t="inlineStr">
        <is>
          <t>Palay</t>
        </is>
      </c>
      <c r="B325" t="inlineStr">
        <is>
          <t>San Felipe Central</t>
        </is>
      </c>
      <c r="C325" t="inlineStr">
        <is>
          <t>WS 2017</t>
        </is>
      </c>
      <c r="D325" t="inlineStr">
        <is>
          <t>June</t>
        </is>
      </c>
      <c r="E325" t="inlineStr">
        <is>
          <t>2017</t>
        </is>
      </c>
      <c r="F325" t="inlineStr">
        <is>
          <t>October</t>
        </is>
      </c>
      <c r="G325" t="inlineStr">
        <is>
          <t>2017</t>
        </is>
      </c>
      <c r="H325" t="n">
        <v>8.73</v>
      </c>
      <c r="I325" t="n">
        <v>27.2</v>
      </c>
      <c r="J325" t="n">
        <v>22.27</v>
      </c>
      <c r="K325" t="n">
        <v>32.27</v>
      </c>
      <c r="L325" t="n">
        <v>83.43000000000001</v>
      </c>
      <c r="M325" t="n">
        <v>98.3</v>
      </c>
      <c r="N325" t="n">
        <v>21.97</v>
      </c>
      <c r="O325" t="n">
        <v>6.92</v>
      </c>
      <c r="P325" t="n">
        <v>26.35</v>
      </c>
      <c r="Q325" t="n">
        <v>21.79</v>
      </c>
      <c r="R325" t="n">
        <v>32.06</v>
      </c>
      <c r="S325" t="n">
        <v>85.04000000000001</v>
      </c>
      <c r="T325" t="n">
        <v>98.08</v>
      </c>
      <c r="U325" t="n">
        <v>16.96</v>
      </c>
      <c r="V325" t="inlineStr">
        <is>
          <t>Type I – Tropical Monsoon (PAGASA)</t>
        </is>
      </c>
      <c r="W325" t="inlineStr">
        <is>
          <t>Wet</t>
        </is>
      </c>
      <c r="X325" t="inlineStr">
        <is>
          <t>Wet</t>
        </is>
      </c>
      <c r="Y325" t="inlineStr">
        <is>
          <t>Sandy Loam</t>
        </is>
      </c>
      <c r="Z325" t="inlineStr">
        <is>
          <t>Flat / Lowland</t>
        </is>
      </c>
      <c r="AA325" t="n">
        <v>30</v>
      </c>
      <c r="AB325" t="inlineStr">
        <is>
          <t>—</t>
        </is>
      </c>
      <c r="AC325" t="n">
        <v>452.76</v>
      </c>
      <c r="AD325" t="n">
        <v>117</v>
      </c>
      <c r="AE325" t="n">
        <v>62</v>
      </c>
      <c r="AF325" t="n">
        <v>179</v>
      </c>
      <c r="AG325" t="inlineStr">
        <is>
          <t>Transplanting (Pindot) or Direct Seeding (Pinaghandaan)</t>
        </is>
      </c>
      <c r="AH325" t="inlineStr">
        <is>
          <t>Conventional Tillage: 2 plowings + 2 harrowings; soil workable when moist</t>
        </is>
      </c>
      <c r="AI325" t="inlineStr">
        <is>
          <t>Intermittent irrigation (Alternate Wetting and Drying — AWD); moderate retention</t>
        </is>
      </c>
      <c r="AJ325" t="n">
        <v>5.7</v>
      </c>
      <c r="AK325" t="n">
        <v>25.65</v>
      </c>
      <c r="AL325" t="n">
        <v>4.5</v>
      </c>
      <c r="AM325" t="inlineStr">
        <is>
          <t>No</t>
        </is>
      </c>
      <c r="AN325" t="inlineStr">
        <is>
          <t>Observed harvest</t>
        </is>
      </c>
    </row>
    <row r="326">
      <c r="A326" t="inlineStr">
        <is>
          <t>Palay</t>
        </is>
      </c>
      <c r="B326" t="inlineStr">
        <is>
          <t>San Felipe Sur</t>
        </is>
      </c>
      <c r="C326" t="inlineStr">
        <is>
          <t>WS 2017</t>
        </is>
      </c>
      <c r="D326" t="inlineStr">
        <is>
          <t>June</t>
        </is>
      </c>
      <c r="E326" t="inlineStr">
        <is>
          <t>2017</t>
        </is>
      </c>
      <c r="F326" t="inlineStr">
        <is>
          <t>October</t>
        </is>
      </c>
      <c r="G326" t="inlineStr">
        <is>
          <t>2017</t>
        </is>
      </c>
      <c r="H326" t="n">
        <v>8.73</v>
      </c>
      <c r="I326" t="n">
        <v>27.2</v>
      </c>
      <c r="J326" t="n">
        <v>22.27</v>
      </c>
      <c r="K326" t="n">
        <v>32.27</v>
      </c>
      <c r="L326" t="n">
        <v>83.43000000000001</v>
      </c>
      <c r="M326" t="n">
        <v>98.3</v>
      </c>
      <c r="N326" t="n">
        <v>21.97</v>
      </c>
      <c r="O326" t="n">
        <v>6.92</v>
      </c>
      <c r="P326" t="n">
        <v>26.35</v>
      </c>
      <c r="Q326" t="n">
        <v>21.79</v>
      </c>
      <c r="R326" t="n">
        <v>32.06</v>
      </c>
      <c r="S326" t="n">
        <v>85.04000000000001</v>
      </c>
      <c r="T326" t="n">
        <v>98.08</v>
      </c>
      <c r="U326" t="n">
        <v>16.96</v>
      </c>
      <c r="V326" t="inlineStr">
        <is>
          <t>Type I – Tropical Monsoon (PAGASA)</t>
        </is>
      </c>
      <c r="W326" t="inlineStr">
        <is>
          <t>Wet</t>
        </is>
      </c>
      <c r="X326" t="inlineStr">
        <is>
          <t>Wet</t>
        </is>
      </c>
      <c r="Y326" t="inlineStr">
        <is>
          <t>Sandy Loam</t>
        </is>
      </c>
      <c r="Z326" t="inlineStr">
        <is>
          <t>Flat / Lowland</t>
        </is>
      </c>
      <c r="AA326" t="n">
        <v>30</v>
      </c>
      <c r="AB326" t="inlineStr">
        <is>
          <t>Tagamusing River</t>
        </is>
      </c>
      <c r="AC326" t="n">
        <v>504</v>
      </c>
      <c r="AD326" t="n">
        <v>127.5</v>
      </c>
      <c r="AE326" t="n">
        <v>50.5</v>
      </c>
      <c r="AF326" t="n">
        <v>178</v>
      </c>
      <c r="AG326" t="inlineStr">
        <is>
          <t>Transplanting (Pindot) or Direct Seeding (Pinaghandaan)</t>
        </is>
      </c>
      <c r="AH326" t="inlineStr">
        <is>
          <t>Conventional Tillage: 2 plowings + 2 harrowings; soil workable when moist</t>
        </is>
      </c>
      <c r="AI326" t="inlineStr">
        <is>
          <t>Intermittent irrigation (Alternate Wetting and Drying — AWD); moderate retention</t>
        </is>
      </c>
      <c r="AJ326" t="n">
        <v>5</v>
      </c>
      <c r="AK326" t="n">
        <v>18.13</v>
      </c>
      <c r="AL326" t="n">
        <v>3.63</v>
      </c>
      <c r="AM326" t="inlineStr">
        <is>
          <t>No</t>
        </is>
      </c>
      <c r="AN326" t="inlineStr">
        <is>
          <t>Observed harvest</t>
        </is>
      </c>
    </row>
    <row r="327">
      <c r="A327" t="inlineStr">
        <is>
          <t>Palay</t>
        </is>
      </c>
      <c r="B327" t="inlineStr">
        <is>
          <t>San Pablo</t>
        </is>
      </c>
      <c r="C327" t="inlineStr">
        <is>
          <t>WS 2017</t>
        </is>
      </c>
      <c r="D327" t="inlineStr">
        <is>
          <t>June</t>
        </is>
      </c>
      <c r="E327" t="inlineStr">
        <is>
          <t>2017</t>
        </is>
      </c>
      <c r="F327" t="inlineStr">
        <is>
          <t>October</t>
        </is>
      </c>
      <c r="G327" t="inlineStr">
        <is>
          <t>2017</t>
        </is>
      </c>
      <c r="H327" t="n">
        <v>8.73</v>
      </c>
      <c r="I327" t="n">
        <v>27.2</v>
      </c>
      <c r="J327" t="n">
        <v>22.27</v>
      </c>
      <c r="K327" t="n">
        <v>32.27</v>
      </c>
      <c r="L327" t="n">
        <v>83.43000000000001</v>
      </c>
      <c r="M327" t="n">
        <v>98.3</v>
      </c>
      <c r="N327" t="n">
        <v>21.97</v>
      </c>
      <c r="O327" t="n">
        <v>6.92</v>
      </c>
      <c r="P327" t="n">
        <v>26.35</v>
      </c>
      <c r="Q327" t="n">
        <v>21.79</v>
      </c>
      <c r="R327" t="n">
        <v>32.06</v>
      </c>
      <c r="S327" t="n">
        <v>85.04000000000001</v>
      </c>
      <c r="T327" t="n">
        <v>98.08</v>
      </c>
      <c r="U327" t="n">
        <v>16.96</v>
      </c>
      <c r="V327" t="inlineStr">
        <is>
          <t>Type I – Tropical Monsoon (PAGASA)</t>
        </is>
      </c>
      <c r="W327" t="inlineStr">
        <is>
          <t>Wet</t>
        </is>
      </c>
      <c r="X327" t="inlineStr">
        <is>
          <t>Wet</t>
        </is>
      </c>
      <c r="Y327" t="inlineStr">
        <is>
          <t>Sandy Loam</t>
        </is>
      </c>
      <c r="Z327" t="inlineStr">
        <is>
          <t>Flat / Lowland</t>
        </is>
      </c>
      <c r="AA327" t="n">
        <v>30</v>
      </c>
      <c r="AB327" t="inlineStr">
        <is>
          <t>San Pablo Creek</t>
        </is>
      </c>
      <c r="AC327" t="n">
        <v>215.04</v>
      </c>
      <c r="AD327" t="n">
        <v>103.5</v>
      </c>
      <c r="AE327" t="n">
        <v>30.5</v>
      </c>
      <c r="AF327" t="n">
        <v>134</v>
      </c>
      <c r="AG327" t="inlineStr">
        <is>
          <t>Transplanting (Pindot) or Direct Seeding (Pinaghandaan)</t>
        </is>
      </c>
      <c r="AH327" t="inlineStr">
        <is>
          <t>Conventional Tillage: 2 plowings + 2 harrowings; soil workable when moist</t>
        </is>
      </c>
      <c r="AI327" t="inlineStr">
        <is>
          <t>Intermittent irrigation (Alternate Wetting and Drying — AWD); moderate retention</t>
        </is>
      </c>
      <c r="AJ327" t="n">
        <v>1.05</v>
      </c>
      <c r="AK327" t="n">
        <v>6.66</v>
      </c>
      <c r="AL327" t="n">
        <v>6.34</v>
      </c>
      <c r="AM327" t="inlineStr">
        <is>
          <t>No</t>
        </is>
      </c>
      <c r="AN327" t="inlineStr">
        <is>
          <t>Observed harvest</t>
        </is>
      </c>
    </row>
    <row r="328">
      <c r="A328" t="inlineStr">
        <is>
          <t>Palay</t>
        </is>
      </c>
      <c r="B328" t="inlineStr">
        <is>
          <t>Santiago</t>
        </is>
      </c>
      <c r="C328" t="inlineStr">
        <is>
          <t>WS 2017</t>
        </is>
      </c>
      <c r="D328" t="inlineStr">
        <is>
          <t>June</t>
        </is>
      </c>
      <c r="E328" t="inlineStr">
        <is>
          <t>2017</t>
        </is>
      </c>
      <c r="F328" t="inlineStr">
        <is>
          <t>October</t>
        </is>
      </c>
      <c r="G328" t="inlineStr">
        <is>
          <t>2017</t>
        </is>
      </c>
      <c r="H328" t="n">
        <v>8.73</v>
      </c>
      <c r="I328" t="n">
        <v>27.2</v>
      </c>
      <c r="J328" t="n">
        <v>22.27</v>
      </c>
      <c r="K328" t="n">
        <v>32.27</v>
      </c>
      <c r="L328" t="n">
        <v>83.43000000000001</v>
      </c>
      <c r="M328" t="n">
        <v>98.3</v>
      </c>
      <c r="N328" t="n">
        <v>21.97</v>
      </c>
      <c r="O328" t="n">
        <v>6.92</v>
      </c>
      <c r="P328" t="n">
        <v>26.35</v>
      </c>
      <c r="Q328" t="n">
        <v>21.79</v>
      </c>
      <c r="R328" t="n">
        <v>32.06</v>
      </c>
      <c r="S328" t="n">
        <v>85.04000000000001</v>
      </c>
      <c r="T328" t="n">
        <v>98.08</v>
      </c>
      <c r="U328" t="n">
        <v>16.96</v>
      </c>
      <c r="V328" t="inlineStr">
        <is>
          <t>Type I – Tropical Monsoon (PAGASA)</t>
        </is>
      </c>
      <c r="W328" t="inlineStr">
        <is>
          <t>Wet</t>
        </is>
      </c>
      <c r="X328" t="inlineStr">
        <is>
          <t>Wet</t>
        </is>
      </c>
      <c r="Y328" t="inlineStr">
        <is>
          <t>Silty Clay Loam</t>
        </is>
      </c>
      <c r="Z328" t="inlineStr">
        <is>
          <t>Flat / Lowland</t>
        </is>
      </c>
      <c r="AA328" t="n">
        <v>30</v>
      </c>
      <c r="AB328" t="inlineStr">
        <is>
          <t>—</t>
        </is>
      </c>
      <c r="AC328" t="n">
        <v>283.08</v>
      </c>
      <c r="AD328" t="n">
        <v>103.6</v>
      </c>
      <c r="AE328" t="n">
        <v>147.4</v>
      </c>
      <c r="AF328" t="n">
        <v>251</v>
      </c>
      <c r="AG328" t="inlineStr">
        <is>
          <t>Transplanting (Pindot) — optimal for clay-loam paddy fields</t>
        </is>
      </c>
      <c r="AH328" t="inlineStr">
        <is>
          <t>Wet Tillage (Puddling): 2 plowings + thorough harrowing under flooded condition</t>
        </is>
      </c>
      <c r="AI328" t="inlineStr">
        <is>
          <t>Continuous flooding 2–5 cm depth during vegetative stage; drain 2 weeks before harvest</t>
        </is>
      </c>
      <c r="AJ328" t="n">
        <v>4</v>
      </c>
      <c r="AK328" t="n">
        <v>11.11</v>
      </c>
      <c r="AL328" t="n">
        <v>2.78</v>
      </c>
      <c r="AM328" t="inlineStr">
        <is>
          <t>No</t>
        </is>
      </c>
      <c r="AN328" t="inlineStr">
        <is>
          <t>Observed harvest</t>
        </is>
      </c>
    </row>
    <row r="329">
      <c r="A329" t="inlineStr">
        <is>
          <t>Palay</t>
        </is>
      </c>
      <c r="B329" t="inlineStr">
        <is>
          <t>Sta. Catalina</t>
        </is>
      </c>
      <c r="C329" t="inlineStr">
        <is>
          <t>WS 2017</t>
        </is>
      </c>
      <c r="D329" t="inlineStr">
        <is>
          <t>June</t>
        </is>
      </c>
      <c r="E329" t="inlineStr">
        <is>
          <t>2017</t>
        </is>
      </c>
      <c r="F329" t="inlineStr">
        <is>
          <t>October</t>
        </is>
      </c>
      <c r="G329" t="inlineStr">
        <is>
          <t>2017</t>
        </is>
      </c>
      <c r="H329" t="n">
        <v>8.73</v>
      </c>
      <c r="I329" t="n">
        <v>27.2</v>
      </c>
      <c r="J329" t="n">
        <v>22.27</v>
      </c>
      <c r="K329" t="n">
        <v>32.27</v>
      </c>
      <c r="L329" t="n">
        <v>83.43000000000001</v>
      </c>
      <c r="M329" t="n">
        <v>98.3</v>
      </c>
      <c r="N329" t="n">
        <v>21.97</v>
      </c>
      <c r="O329" t="n">
        <v>6.92</v>
      </c>
      <c r="P329" t="n">
        <v>26.35</v>
      </c>
      <c r="Q329" t="n">
        <v>21.79</v>
      </c>
      <c r="R329" t="n">
        <v>32.06</v>
      </c>
      <c r="S329" t="n">
        <v>85.04000000000001</v>
      </c>
      <c r="T329" t="n">
        <v>98.08</v>
      </c>
      <c r="U329" t="n">
        <v>16.96</v>
      </c>
      <c r="V329" t="inlineStr">
        <is>
          <t>Type I – Tropical Monsoon (PAGASA)</t>
        </is>
      </c>
      <c r="W329" t="inlineStr">
        <is>
          <t>Wet</t>
        </is>
      </c>
      <c r="X329" t="inlineStr">
        <is>
          <t>Wet</t>
        </is>
      </c>
      <c r="Y329" t="inlineStr">
        <is>
          <t>Fine Sand / Sandy Loam</t>
        </is>
      </c>
      <c r="Z329" t="inlineStr">
        <is>
          <t>Moderately Sloping / Highland</t>
        </is>
      </c>
      <c r="AA329" t="n">
        <v>90</v>
      </c>
      <c r="AB329" t="inlineStr">
        <is>
          <t>—</t>
        </is>
      </c>
      <c r="AC329" t="n">
        <v>709.8</v>
      </c>
      <c r="AD329" t="n">
        <v>49</v>
      </c>
      <c r="AE329" t="n">
        <v>180</v>
      </c>
      <c r="AF329" t="n">
        <v>229</v>
      </c>
      <c r="AG329" t="inlineStr">
        <is>
          <t>Transplanting (Pindot)</t>
        </is>
      </c>
      <c r="AH329" t="inlineStr">
        <is>
          <t>Minimum Tillage (avoid compaction; sandy structure fragile)</t>
        </is>
      </c>
      <c r="AI329" t="inlineStr">
        <is>
          <t>Continuous flooding or frequent irrigation; high percolation risk; terrace or bund-assisted water retention essential on slopes</t>
        </is>
      </c>
      <c r="AJ329" t="n">
        <v>13</v>
      </c>
      <c r="AK329" t="n">
        <v>32.23</v>
      </c>
      <c r="AL329" t="n">
        <v>2.48</v>
      </c>
      <c r="AM329" t="inlineStr">
        <is>
          <t>No</t>
        </is>
      </c>
      <c r="AN329" t="inlineStr">
        <is>
          <t>Observed harvest</t>
        </is>
      </c>
    </row>
    <row r="330">
      <c r="A330" t="inlineStr">
        <is>
          <t>Palay</t>
        </is>
      </c>
      <c r="B330" t="inlineStr">
        <is>
          <t>Sta. Maria Norte</t>
        </is>
      </c>
      <c r="C330" t="inlineStr">
        <is>
          <t>WS 2017</t>
        </is>
      </c>
      <c r="D330" t="inlineStr">
        <is>
          <t>June</t>
        </is>
      </c>
      <c r="E330" t="inlineStr">
        <is>
          <t>2017</t>
        </is>
      </c>
      <c r="F330" t="inlineStr">
        <is>
          <t>October</t>
        </is>
      </c>
      <c r="G330" t="inlineStr">
        <is>
          <t>2017</t>
        </is>
      </c>
      <c r="H330" t="n">
        <v>8.73</v>
      </c>
      <c r="I330" t="n">
        <v>27.2</v>
      </c>
      <c r="J330" t="n">
        <v>22.27</v>
      </c>
      <c r="K330" t="n">
        <v>32.27</v>
      </c>
      <c r="L330" t="n">
        <v>83.43000000000001</v>
      </c>
      <c r="M330" t="n">
        <v>98.3</v>
      </c>
      <c r="N330" t="n">
        <v>21.97</v>
      </c>
      <c r="O330" t="n">
        <v>6.92</v>
      </c>
      <c r="P330" t="n">
        <v>26.35</v>
      </c>
      <c r="Q330" t="n">
        <v>21.79</v>
      </c>
      <c r="R330" t="n">
        <v>32.06</v>
      </c>
      <c r="S330" t="n">
        <v>85.04000000000001</v>
      </c>
      <c r="T330" t="n">
        <v>98.08</v>
      </c>
      <c r="U330" t="n">
        <v>16.96</v>
      </c>
      <c r="V330" t="inlineStr">
        <is>
          <t>Type I – Tropical Monsoon (PAGASA)</t>
        </is>
      </c>
      <c r="W330" t="inlineStr">
        <is>
          <t>Wet</t>
        </is>
      </c>
      <c r="X330" t="inlineStr">
        <is>
          <t>Wet</t>
        </is>
      </c>
      <c r="Y330" t="inlineStr">
        <is>
          <t>Sandy Loam</t>
        </is>
      </c>
      <c r="Z330" t="inlineStr">
        <is>
          <t>Flat / Lowland</t>
        </is>
      </c>
      <c r="AA330" t="n">
        <v>30</v>
      </c>
      <c r="AB330" t="inlineStr">
        <is>
          <t>Tagamusing River</t>
        </is>
      </c>
      <c r="AC330" t="n">
        <v>157.08</v>
      </c>
      <c r="AD330" t="n">
        <v>24.5</v>
      </c>
      <c r="AE330" t="n">
        <v>43.5</v>
      </c>
      <c r="AF330" t="n">
        <v>68</v>
      </c>
      <c r="AG330" t="inlineStr">
        <is>
          <t>Transplanting (Pindot) or Direct Seeding (Pinaghandaan)</t>
        </is>
      </c>
      <c r="AH330" t="inlineStr">
        <is>
          <t>Conventional Tillage: 2 plowings + 2 harrowings; soil workable when moist</t>
        </is>
      </c>
      <c r="AI330" t="inlineStr">
        <is>
          <t>Intermittent irrigation (Alternate Wetting and Drying — AWD); moderate retention</t>
        </is>
      </c>
      <c r="AJ330" t="n">
        <v>1.35</v>
      </c>
      <c r="AK330" t="n">
        <v>3.98</v>
      </c>
      <c r="AL330" t="n">
        <v>2.95</v>
      </c>
      <c r="AM330" t="inlineStr">
        <is>
          <t>No</t>
        </is>
      </c>
      <c r="AN330" t="inlineStr">
        <is>
          <t>Observed harvest</t>
        </is>
      </c>
    </row>
    <row r="331">
      <c r="A331" t="inlineStr">
        <is>
          <t>Palay</t>
        </is>
      </c>
      <c r="B331" t="inlineStr">
        <is>
          <t>Sumabnit</t>
        </is>
      </c>
      <c r="C331" t="inlineStr">
        <is>
          <t>WS 2017</t>
        </is>
      </c>
      <c r="D331" t="inlineStr">
        <is>
          <t>June</t>
        </is>
      </c>
      <c r="E331" t="inlineStr">
        <is>
          <t>2017</t>
        </is>
      </c>
      <c r="F331" t="inlineStr">
        <is>
          <t>October</t>
        </is>
      </c>
      <c r="G331" t="inlineStr">
        <is>
          <t>2017</t>
        </is>
      </c>
      <c r="H331" t="n">
        <v>8.73</v>
      </c>
      <c r="I331" t="n">
        <v>27.2</v>
      </c>
      <c r="J331" t="n">
        <v>22.27</v>
      </c>
      <c r="K331" t="n">
        <v>32.27</v>
      </c>
      <c r="L331" t="n">
        <v>83.43000000000001</v>
      </c>
      <c r="M331" t="n">
        <v>98.3</v>
      </c>
      <c r="N331" t="n">
        <v>21.97</v>
      </c>
      <c r="O331" t="n">
        <v>6.92</v>
      </c>
      <c r="P331" t="n">
        <v>26.35</v>
      </c>
      <c r="Q331" t="n">
        <v>21.79</v>
      </c>
      <c r="R331" t="n">
        <v>32.06</v>
      </c>
      <c r="S331" t="n">
        <v>85.04000000000001</v>
      </c>
      <c r="T331" t="n">
        <v>98.08</v>
      </c>
      <c r="U331" t="n">
        <v>16.96</v>
      </c>
      <c r="V331" t="inlineStr">
        <is>
          <t>Type I – Tropical Monsoon (PAGASA)</t>
        </is>
      </c>
      <c r="W331" t="inlineStr">
        <is>
          <t>Wet</t>
        </is>
      </c>
      <c r="X331" t="inlineStr">
        <is>
          <t>Wet</t>
        </is>
      </c>
      <c r="Y331" t="inlineStr">
        <is>
          <t>Silty Clay Loam / Fine Sandy Loam</t>
        </is>
      </c>
      <c r="Z331" t="inlineStr">
        <is>
          <t>Flat / Lowland</t>
        </is>
      </c>
      <c r="AA331" t="n">
        <v>30</v>
      </c>
      <c r="AB331" t="inlineStr">
        <is>
          <t>Tagamusing River</t>
        </is>
      </c>
      <c r="AC331" t="n">
        <v>406.56</v>
      </c>
      <c r="AD331" t="n">
        <v>133.3</v>
      </c>
      <c r="AE331" t="n">
        <v>123.7</v>
      </c>
      <c r="AF331" t="n">
        <v>257</v>
      </c>
      <c r="AG331" t="inlineStr">
        <is>
          <t>Transplanting (Pindot)</t>
        </is>
      </c>
      <c r="AH331" t="inlineStr">
        <is>
          <t>Minimum Tillage (avoid compaction; sandy structure fragile)</t>
        </is>
      </c>
      <c r="AI331" t="inlineStr">
        <is>
          <t>Continuous flooding or frequent irrigation; high percolation risk</t>
        </is>
      </c>
      <c r="AJ331" t="n">
        <v>3.14</v>
      </c>
      <c r="AK331" t="n">
        <v>8.94</v>
      </c>
      <c r="AL331" t="n">
        <v>2.85</v>
      </c>
      <c r="AM331" t="inlineStr">
        <is>
          <t>No</t>
        </is>
      </c>
      <c r="AN331" t="inlineStr">
        <is>
          <t>Observed harvest</t>
        </is>
      </c>
    </row>
    <row r="332">
      <c r="A332" t="inlineStr">
        <is>
          <t>Palay</t>
        </is>
      </c>
      <c r="B332" t="inlineStr">
        <is>
          <t>Tabuyoc</t>
        </is>
      </c>
      <c r="C332" t="inlineStr">
        <is>
          <t>WS 2017</t>
        </is>
      </c>
      <c r="D332" t="inlineStr">
        <is>
          <t>June</t>
        </is>
      </c>
      <c r="E332" t="inlineStr">
        <is>
          <t>2017</t>
        </is>
      </c>
      <c r="F332" t="inlineStr">
        <is>
          <t>October</t>
        </is>
      </c>
      <c r="G332" t="inlineStr">
        <is>
          <t>2017</t>
        </is>
      </c>
      <c r="H332" t="n">
        <v>8.73</v>
      </c>
      <c r="I332" t="n">
        <v>27.2</v>
      </c>
      <c r="J332" t="n">
        <v>22.27</v>
      </c>
      <c r="K332" t="n">
        <v>32.27</v>
      </c>
      <c r="L332" t="n">
        <v>83.43000000000001</v>
      </c>
      <c r="M332" t="n">
        <v>98.3</v>
      </c>
      <c r="N332" t="n">
        <v>21.97</v>
      </c>
      <c r="O332" t="n">
        <v>6.92</v>
      </c>
      <c r="P332" t="n">
        <v>26.35</v>
      </c>
      <c r="Q332" t="n">
        <v>21.79</v>
      </c>
      <c r="R332" t="n">
        <v>32.06</v>
      </c>
      <c r="S332" t="n">
        <v>85.04000000000001</v>
      </c>
      <c r="T332" t="n">
        <v>98.08</v>
      </c>
      <c r="U332" t="n">
        <v>16.96</v>
      </c>
      <c r="V332" t="inlineStr">
        <is>
          <t>Type I – Tropical Monsoon (PAGASA)</t>
        </is>
      </c>
      <c r="W332" t="inlineStr">
        <is>
          <t>Wet</t>
        </is>
      </c>
      <c r="X332" t="inlineStr">
        <is>
          <t>Wet</t>
        </is>
      </c>
      <c r="Y332" t="inlineStr">
        <is>
          <t>Silty Clay Loam</t>
        </is>
      </c>
      <c r="Z332" t="inlineStr">
        <is>
          <t>Flat / Lowland</t>
        </is>
      </c>
      <c r="AA332" t="n">
        <v>30</v>
      </c>
      <c r="AB332" t="inlineStr">
        <is>
          <t>—</t>
        </is>
      </c>
      <c r="AC332" t="n">
        <v>277.2</v>
      </c>
      <c r="AD332" t="n">
        <v>134</v>
      </c>
      <c r="AE332" t="n">
        <v>5</v>
      </c>
      <c r="AF332" t="n">
        <v>139</v>
      </c>
      <c r="AG332" t="inlineStr">
        <is>
          <t>Transplanting (Pindot) — optimal for clay-loam paddy fields</t>
        </is>
      </c>
      <c r="AH332" t="inlineStr">
        <is>
          <t>Wet Tillage (Puddling): 2 plowings + thorough harrowing under flooded condition</t>
        </is>
      </c>
      <c r="AI332" t="inlineStr">
        <is>
          <t>Continuous flooding 2–5 cm depth during vegetative stage; drain 2 weeks before harvest</t>
        </is>
      </c>
      <c r="AJ332" t="n">
        <v>4</v>
      </c>
      <c r="AK332" t="n">
        <v>11.07</v>
      </c>
      <c r="AL332" t="n">
        <v>2.77</v>
      </c>
      <c r="AM332" t="inlineStr">
        <is>
          <t>No</t>
        </is>
      </c>
      <c r="AN332" t="inlineStr">
        <is>
          <t>Observed harvest</t>
        </is>
      </c>
    </row>
    <row r="333">
      <c r="A333" t="inlineStr">
        <is>
          <t>Palay</t>
        </is>
      </c>
      <c r="B333" t="inlineStr">
        <is>
          <t>Vacante</t>
        </is>
      </c>
      <c r="C333" t="inlineStr">
        <is>
          <t>WS 2017</t>
        </is>
      </c>
      <c r="D333" t="inlineStr">
        <is>
          <t>June</t>
        </is>
      </c>
      <c r="E333" t="inlineStr">
        <is>
          <t>2017</t>
        </is>
      </c>
      <c r="F333" t="inlineStr">
        <is>
          <t>October</t>
        </is>
      </c>
      <c r="G333" t="inlineStr">
        <is>
          <t>2017</t>
        </is>
      </c>
      <c r="H333" t="n">
        <v>8.73</v>
      </c>
      <c r="I333" t="n">
        <v>27.2</v>
      </c>
      <c r="J333" t="n">
        <v>22.27</v>
      </c>
      <c r="K333" t="n">
        <v>32.27</v>
      </c>
      <c r="L333" t="n">
        <v>83.43000000000001</v>
      </c>
      <c r="M333" t="n">
        <v>98.3</v>
      </c>
      <c r="N333" t="n">
        <v>21.97</v>
      </c>
      <c r="O333" t="n">
        <v>6.92</v>
      </c>
      <c r="P333" t="n">
        <v>26.35</v>
      </c>
      <c r="Q333" t="n">
        <v>21.79</v>
      </c>
      <c r="R333" t="n">
        <v>32.06</v>
      </c>
      <c r="S333" t="n">
        <v>85.04000000000001</v>
      </c>
      <c r="T333" t="n">
        <v>98.08</v>
      </c>
      <c r="U333" t="n">
        <v>16.96</v>
      </c>
      <c r="V333" t="inlineStr">
        <is>
          <t>Type I – Tropical Monsoon (PAGASA)</t>
        </is>
      </c>
      <c r="W333" t="inlineStr">
        <is>
          <t>Wet</t>
        </is>
      </c>
      <c r="X333" t="inlineStr">
        <is>
          <t>Wet</t>
        </is>
      </c>
      <c r="Y333" t="inlineStr">
        <is>
          <t>Silty Clay Loam</t>
        </is>
      </c>
      <c r="Z333" t="inlineStr">
        <is>
          <t>Flat / Lowland</t>
        </is>
      </c>
      <c r="AA333" t="n">
        <v>30</v>
      </c>
      <c r="AB333" t="inlineStr">
        <is>
          <t>Aloragat River</t>
        </is>
      </c>
      <c r="AC333" t="n">
        <v>484.68</v>
      </c>
      <c r="AD333" t="n">
        <v>28</v>
      </c>
      <c r="AE333" t="n">
        <v>81</v>
      </c>
      <c r="AF333" t="n">
        <v>109</v>
      </c>
      <c r="AG333" t="inlineStr">
        <is>
          <t>Transplanting (Pindot) — optimal for clay-loam paddy fields</t>
        </is>
      </c>
      <c r="AH333" t="inlineStr">
        <is>
          <t>Wet Tillage (Puddling): 2 plowings + thorough harrowing under flooded condition</t>
        </is>
      </c>
      <c r="AI333" t="inlineStr">
        <is>
          <t>Continuous flooding 2–5 cm depth during vegetative stage; drain 2 weeks before harvest</t>
        </is>
      </c>
      <c r="AJ333" t="n">
        <v>2.63</v>
      </c>
      <c r="AK333" t="n">
        <v>5.27</v>
      </c>
      <c r="AL333" t="n">
        <v>2</v>
      </c>
      <c r="AM333" t="inlineStr">
        <is>
          <t>No</t>
        </is>
      </c>
      <c r="AN333" t="inlineStr">
        <is>
          <t>Observed harvest</t>
        </is>
      </c>
    </row>
    <row r="334">
      <c r="A334" t="inlineStr">
        <is>
          <t>Palay</t>
        </is>
      </c>
      <c r="B334" t="inlineStr">
        <is>
          <t>Balangobong</t>
        </is>
      </c>
      <c r="C334" t="inlineStr">
        <is>
          <t>WS 2018</t>
        </is>
      </c>
      <c r="D334" t="inlineStr">
        <is>
          <t>June</t>
        </is>
      </c>
      <c r="E334" t="inlineStr">
        <is>
          <t>2018</t>
        </is>
      </c>
      <c r="F334" t="inlineStr">
        <is>
          <t>October</t>
        </is>
      </c>
      <c r="G334" t="inlineStr">
        <is>
          <t>2018</t>
        </is>
      </c>
      <c r="H334" t="n">
        <v>18.3</v>
      </c>
      <c r="I334" t="n">
        <v>26.62</v>
      </c>
      <c r="J334" t="n">
        <v>22.61</v>
      </c>
      <c r="K334" t="n">
        <v>33.57</v>
      </c>
      <c r="L334" t="n">
        <v>86.8</v>
      </c>
      <c r="M334" t="n">
        <v>98.13</v>
      </c>
      <c r="N334" t="n">
        <v>16.51</v>
      </c>
      <c r="O334" t="n">
        <v>6.4</v>
      </c>
      <c r="P334" t="n">
        <v>26.08</v>
      </c>
      <c r="Q334" t="n">
        <v>17.07</v>
      </c>
      <c r="R334" t="n">
        <v>32.15</v>
      </c>
      <c r="S334" t="n">
        <v>82.73999999999999</v>
      </c>
      <c r="T334" t="n">
        <v>98.33</v>
      </c>
      <c r="U334" t="n">
        <v>19.8</v>
      </c>
      <c r="V334" t="inlineStr">
        <is>
          <t>Type I – Tropical Monsoon (PAGASA)</t>
        </is>
      </c>
      <c r="W334" t="inlineStr">
        <is>
          <t>Wet</t>
        </is>
      </c>
      <c r="X334" t="inlineStr">
        <is>
          <t>Wet</t>
        </is>
      </c>
      <c r="Y334" t="inlineStr">
        <is>
          <t>Silty Clay Loam</t>
        </is>
      </c>
      <c r="Z334" t="inlineStr">
        <is>
          <t>Flat / Lowland</t>
        </is>
      </c>
      <c r="AA334" t="n">
        <v>30</v>
      </c>
      <c r="AB334" t="inlineStr">
        <is>
          <t>—</t>
        </is>
      </c>
      <c r="AC334" t="n">
        <v>281.4</v>
      </c>
      <c r="AD334" t="n">
        <v>120</v>
      </c>
      <c r="AE334" t="n">
        <v>15</v>
      </c>
      <c r="AF334" t="n">
        <v>135</v>
      </c>
      <c r="AG334" t="inlineStr">
        <is>
          <t>Transplanting (Pindot) — optimal for clay-loam paddy fields</t>
        </is>
      </c>
      <c r="AH334" t="inlineStr">
        <is>
          <t>Wet Tillage (Puddling): 2 plowings + thorough harrowing under flooded condition</t>
        </is>
      </c>
      <c r="AI334" t="inlineStr">
        <is>
          <t>Continuous flooding 2–5 cm depth during vegetative stage; drain 2 weeks before harvest</t>
        </is>
      </c>
      <c r="AJ334" t="n">
        <v>47.33</v>
      </c>
      <c r="AK334" t="n">
        <v>180.84</v>
      </c>
      <c r="AL334" t="n">
        <v>3.82</v>
      </c>
      <c r="AM334" t="inlineStr">
        <is>
          <t>No</t>
        </is>
      </c>
      <c r="AN334" t="inlineStr">
        <is>
          <t>Observed harvest</t>
        </is>
      </c>
    </row>
    <row r="335">
      <c r="A335" t="inlineStr">
        <is>
          <t>Palay</t>
        </is>
      </c>
      <c r="B335" t="inlineStr">
        <is>
          <t>Bued</t>
        </is>
      </c>
      <c r="C335" t="inlineStr">
        <is>
          <t>WS 2018</t>
        </is>
      </c>
      <c r="D335" t="inlineStr">
        <is>
          <t>June</t>
        </is>
      </c>
      <c r="E335" t="inlineStr">
        <is>
          <t>2018</t>
        </is>
      </c>
      <c r="F335" t="inlineStr">
        <is>
          <t>October</t>
        </is>
      </c>
      <c r="G335" t="inlineStr">
        <is>
          <t>2018</t>
        </is>
      </c>
      <c r="H335" t="n">
        <v>18.3</v>
      </c>
      <c r="I335" t="n">
        <v>26.62</v>
      </c>
      <c r="J335" t="n">
        <v>22.61</v>
      </c>
      <c r="K335" t="n">
        <v>33.57</v>
      </c>
      <c r="L335" t="n">
        <v>86.8</v>
      </c>
      <c r="M335" t="n">
        <v>98.13</v>
      </c>
      <c r="N335" t="n">
        <v>16.51</v>
      </c>
      <c r="O335" t="n">
        <v>6.4</v>
      </c>
      <c r="P335" t="n">
        <v>26.08</v>
      </c>
      <c r="Q335" t="n">
        <v>17.07</v>
      </c>
      <c r="R335" t="n">
        <v>32.15</v>
      </c>
      <c r="S335" t="n">
        <v>82.73999999999999</v>
      </c>
      <c r="T335" t="n">
        <v>98.33</v>
      </c>
      <c r="U335" t="n">
        <v>19.8</v>
      </c>
      <c r="V335" t="inlineStr">
        <is>
          <t>Type I – Tropical Monsoon (PAGASA)</t>
        </is>
      </c>
      <c r="W335" t="inlineStr">
        <is>
          <t>Wet</t>
        </is>
      </c>
      <c r="X335" t="inlineStr">
        <is>
          <t>Wet</t>
        </is>
      </c>
      <c r="Y335" t="inlineStr">
        <is>
          <t>Silty Clay Loam</t>
        </is>
      </c>
      <c r="Z335" t="inlineStr">
        <is>
          <t>Flat / Lowland</t>
        </is>
      </c>
      <c r="AA335" t="n">
        <v>30</v>
      </c>
      <c r="AB335" t="inlineStr">
        <is>
          <t>Tagamusing River</t>
        </is>
      </c>
      <c r="AC335" t="n">
        <v>210.84</v>
      </c>
      <c r="AD335" t="n">
        <v>56.5</v>
      </c>
      <c r="AE335" t="n">
        <v>37.5</v>
      </c>
      <c r="AF335" t="n">
        <v>94</v>
      </c>
      <c r="AG335" t="inlineStr">
        <is>
          <t>Transplanting (Pindot) — optimal for clay-loam paddy fields</t>
        </is>
      </c>
      <c r="AH335" t="inlineStr">
        <is>
          <t>Wet Tillage (Puddling): 2 plowings + thorough harrowing under flooded condition</t>
        </is>
      </c>
      <c r="AI335" t="inlineStr">
        <is>
          <t>Continuous flooding 2–5 cm depth during vegetative stage; drain 2 weeks before harvest</t>
        </is>
      </c>
      <c r="AJ335" t="n">
        <v>38.97</v>
      </c>
      <c r="AK335" t="n">
        <v>182.36</v>
      </c>
      <c r="AL335" t="n">
        <v>4.68</v>
      </c>
      <c r="AM335" t="inlineStr">
        <is>
          <t>No</t>
        </is>
      </c>
      <c r="AN335" t="inlineStr">
        <is>
          <t>Observed harvest</t>
        </is>
      </c>
    </row>
    <row r="336">
      <c r="A336" t="inlineStr">
        <is>
          <t>Palay</t>
        </is>
      </c>
      <c r="B336" t="inlineStr">
        <is>
          <t>Bugayong</t>
        </is>
      </c>
      <c r="C336" t="inlineStr">
        <is>
          <t>WS 2018</t>
        </is>
      </c>
      <c r="D336" t="inlineStr">
        <is>
          <t>June</t>
        </is>
      </c>
      <c r="E336" t="inlineStr">
        <is>
          <t>2018</t>
        </is>
      </c>
      <c r="F336" t="inlineStr">
        <is>
          <t>October</t>
        </is>
      </c>
      <c r="G336" t="inlineStr">
        <is>
          <t>2018</t>
        </is>
      </c>
      <c r="H336" t="n">
        <v>18.3</v>
      </c>
      <c r="I336" t="n">
        <v>26.62</v>
      </c>
      <c r="J336" t="n">
        <v>22.61</v>
      </c>
      <c r="K336" t="n">
        <v>33.57</v>
      </c>
      <c r="L336" t="n">
        <v>86.8</v>
      </c>
      <c r="M336" t="n">
        <v>98.13</v>
      </c>
      <c r="N336" t="n">
        <v>16.51</v>
      </c>
      <c r="O336" t="n">
        <v>6.4</v>
      </c>
      <c r="P336" t="n">
        <v>26.08</v>
      </c>
      <c r="Q336" t="n">
        <v>17.07</v>
      </c>
      <c r="R336" t="n">
        <v>32.15</v>
      </c>
      <c r="S336" t="n">
        <v>82.73999999999999</v>
      </c>
      <c r="T336" t="n">
        <v>98.33</v>
      </c>
      <c r="U336" t="n">
        <v>19.8</v>
      </c>
      <c r="V336" t="inlineStr">
        <is>
          <t>Type I – Tropical Monsoon (PAGASA)</t>
        </is>
      </c>
      <c r="W336" t="inlineStr">
        <is>
          <t>Wet</t>
        </is>
      </c>
      <c r="X336" t="inlineStr">
        <is>
          <t>Wet</t>
        </is>
      </c>
      <c r="Y336" t="inlineStr">
        <is>
          <t>Sandy Loam / Silty Clay Loam</t>
        </is>
      </c>
      <c r="Z336" t="inlineStr">
        <is>
          <t>Flat / Lowland</t>
        </is>
      </c>
      <c r="AA336" t="n">
        <v>30</v>
      </c>
      <c r="AB336" t="inlineStr">
        <is>
          <t>Aloragat River</t>
        </is>
      </c>
      <c r="AC336" t="n">
        <v>346.08</v>
      </c>
      <c r="AD336" t="n">
        <v>25.95</v>
      </c>
      <c r="AE336" t="n">
        <v>52.05</v>
      </c>
      <c r="AF336" t="n">
        <v>78</v>
      </c>
      <c r="AG336" t="inlineStr">
        <is>
          <t>Transplanting (Pindot) — recommended; Direct Seeding possible in dry season</t>
        </is>
      </c>
      <c r="AH336" t="inlineStr">
        <is>
          <t>Conventional Tillage: 2 plowings + harrowing; puddle thoroughly for transplanting</t>
        </is>
      </c>
      <c r="AI336" t="inlineStr">
        <is>
          <t>Intermittent to continuous flooding; manage according to drainage section present</t>
        </is>
      </c>
      <c r="AJ336" t="n">
        <v>26.39</v>
      </c>
      <c r="AK336" t="n">
        <v>211.12</v>
      </c>
      <c r="AL336" t="n">
        <v>8</v>
      </c>
      <c r="AM336" t="inlineStr">
        <is>
          <t>No</t>
        </is>
      </c>
      <c r="AN336" t="inlineStr">
        <is>
          <t>Observed harvest</t>
        </is>
      </c>
    </row>
    <row r="337">
      <c r="A337" t="inlineStr">
        <is>
          <t>Palay</t>
        </is>
      </c>
      <c r="B337" t="inlineStr">
        <is>
          <t>Camanggaan</t>
        </is>
      </c>
      <c r="C337" t="inlineStr">
        <is>
          <t>WS 2018</t>
        </is>
      </c>
      <c r="D337" t="inlineStr">
        <is>
          <t>June</t>
        </is>
      </c>
      <c r="E337" t="inlineStr">
        <is>
          <t>2018</t>
        </is>
      </c>
      <c r="F337" t="inlineStr">
        <is>
          <t>October</t>
        </is>
      </c>
      <c r="G337" t="inlineStr">
        <is>
          <t>2018</t>
        </is>
      </c>
      <c r="H337" t="n">
        <v>18.3</v>
      </c>
      <c r="I337" t="n">
        <v>26.62</v>
      </c>
      <c r="J337" t="n">
        <v>22.61</v>
      </c>
      <c r="K337" t="n">
        <v>33.57</v>
      </c>
      <c r="L337" t="n">
        <v>86.8</v>
      </c>
      <c r="M337" t="n">
        <v>98.13</v>
      </c>
      <c r="N337" t="n">
        <v>16.51</v>
      </c>
      <c r="O337" t="n">
        <v>6.4</v>
      </c>
      <c r="P337" t="n">
        <v>26.08</v>
      </c>
      <c r="Q337" t="n">
        <v>17.07</v>
      </c>
      <c r="R337" t="n">
        <v>32.15</v>
      </c>
      <c r="S337" t="n">
        <v>82.73999999999999</v>
      </c>
      <c r="T337" t="n">
        <v>98.33</v>
      </c>
      <c r="U337" t="n">
        <v>19.8</v>
      </c>
      <c r="V337" t="inlineStr">
        <is>
          <t>Type I – Tropical Monsoon (PAGASA)</t>
        </is>
      </c>
      <c r="W337" t="inlineStr">
        <is>
          <t>Wet</t>
        </is>
      </c>
      <c r="X337" t="inlineStr">
        <is>
          <t>Wet</t>
        </is>
      </c>
      <c r="Y337" t="inlineStr">
        <is>
          <t>Sandy Loam</t>
        </is>
      </c>
      <c r="Z337" t="inlineStr">
        <is>
          <t>Flat / Lowland</t>
        </is>
      </c>
      <c r="AA337" t="n">
        <v>30</v>
      </c>
      <c r="AB337" t="inlineStr">
        <is>
          <t>—</t>
        </is>
      </c>
      <c r="AC337" t="n">
        <v>244.44</v>
      </c>
      <c r="AD337" t="n">
        <v>19</v>
      </c>
      <c r="AE337" t="n">
        <v>68</v>
      </c>
      <c r="AF337" t="n">
        <v>87</v>
      </c>
      <c r="AG337" t="inlineStr">
        <is>
          <t>Transplanting (Pindot) or Direct Seeding (Pinaghandaan)</t>
        </is>
      </c>
      <c r="AH337" t="inlineStr">
        <is>
          <t>Conventional Tillage: 2 plowings + 2 harrowings; soil workable when moist</t>
        </is>
      </c>
      <c r="AI337" t="inlineStr">
        <is>
          <t>Intermittent irrigation (Alternate Wetting and Drying — AWD); moderate retention</t>
        </is>
      </c>
      <c r="AJ337" t="n">
        <v>0.8</v>
      </c>
      <c r="AK337" t="n">
        <v>3.04</v>
      </c>
      <c r="AL337" t="n">
        <v>3.8</v>
      </c>
      <c r="AM337" t="inlineStr">
        <is>
          <t>No</t>
        </is>
      </c>
      <c r="AN337" t="inlineStr">
        <is>
          <t>Observed harvest</t>
        </is>
      </c>
    </row>
    <row r="338">
      <c r="A338" t="inlineStr">
        <is>
          <t>Palay</t>
        </is>
      </c>
      <c r="B338" t="inlineStr">
        <is>
          <t>Capas</t>
        </is>
      </c>
      <c r="C338" t="inlineStr">
        <is>
          <t>WS 2018</t>
        </is>
      </c>
      <c r="D338" t="inlineStr">
        <is>
          <t>June</t>
        </is>
      </c>
      <c r="E338" t="inlineStr">
        <is>
          <t>2018</t>
        </is>
      </c>
      <c r="F338" t="inlineStr">
        <is>
          <t>October</t>
        </is>
      </c>
      <c r="G338" t="inlineStr">
        <is>
          <t>2018</t>
        </is>
      </c>
      <c r="H338" t="n">
        <v>18.3</v>
      </c>
      <c r="I338" t="n">
        <v>26.62</v>
      </c>
      <c r="J338" t="n">
        <v>22.61</v>
      </c>
      <c r="K338" t="n">
        <v>33.57</v>
      </c>
      <c r="L338" t="n">
        <v>86.8</v>
      </c>
      <c r="M338" t="n">
        <v>98.13</v>
      </c>
      <c r="N338" t="n">
        <v>16.51</v>
      </c>
      <c r="O338" t="n">
        <v>6.4</v>
      </c>
      <c r="P338" t="n">
        <v>26.08</v>
      </c>
      <c r="Q338" t="n">
        <v>17.07</v>
      </c>
      <c r="R338" t="n">
        <v>32.15</v>
      </c>
      <c r="S338" t="n">
        <v>82.73999999999999</v>
      </c>
      <c r="T338" t="n">
        <v>98.33</v>
      </c>
      <c r="U338" t="n">
        <v>19.8</v>
      </c>
      <c r="V338" t="inlineStr">
        <is>
          <t>Type I – Tropical Monsoon (PAGASA)</t>
        </is>
      </c>
      <c r="W338" t="inlineStr">
        <is>
          <t>Wet</t>
        </is>
      </c>
      <c r="X338" t="inlineStr">
        <is>
          <t>Wet</t>
        </is>
      </c>
      <c r="Y338" t="inlineStr">
        <is>
          <t>Sandy Loam</t>
        </is>
      </c>
      <c r="Z338" t="inlineStr">
        <is>
          <t>Flat / Lowland</t>
        </is>
      </c>
      <c r="AA338" t="n">
        <v>30</v>
      </c>
      <c r="AB338" t="inlineStr">
        <is>
          <t>—</t>
        </is>
      </c>
      <c r="AC338" t="n">
        <v>377.16</v>
      </c>
      <c r="AD338" t="n">
        <v>139</v>
      </c>
      <c r="AE338" t="n">
        <v>164</v>
      </c>
      <c r="AF338" t="n">
        <v>303</v>
      </c>
      <c r="AG338" t="inlineStr">
        <is>
          <t>Transplanting (Pindot) or Direct Seeding (Pinaghandaan)</t>
        </is>
      </c>
      <c r="AH338" t="inlineStr">
        <is>
          <t>Conventional Tillage: 2 plowings + 2 harrowings; soil workable when moist</t>
        </is>
      </c>
      <c r="AI338" t="inlineStr">
        <is>
          <t>Intermittent irrigation (Alternate Wetting and Drying — AWD); moderate retention</t>
        </is>
      </c>
      <c r="AJ338" t="n">
        <v>4.82</v>
      </c>
      <c r="AK338" t="n">
        <v>26.21</v>
      </c>
      <c r="AL338" t="n">
        <v>5.44</v>
      </c>
      <c r="AM338" t="inlineStr">
        <is>
          <t>No</t>
        </is>
      </c>
      <c r="AN338" t="inlineStr">
        <is>
          <t>Observed harvest</t>
        </is>
      </c>
    </row>
    <row r="339">
      <c r="A339" t="inlineStr">
        <is>
          <t>Palay</t>
        </is>
      </c>
      <c r="B339" t="inlineStr">
        <is>
          <t>Cili</t>
        </is>
      </c>
      <c r="C339" t="inlineStr">
        <is>
          <t>WS 2018</t>
        </is>
      </c>
      <c r="D339" t="inlineStr">
        <is>
          <t>June</t>
        </is>
      </c>
      <c r="E339" t="inlineStr">
        <is>
          <t>2018</t>
        </is>
      </c>
      <c r="F339" t="inlineStr">
        <is>
          <t>October</t>
        </is>
      </c>
      <c r="G339" t="inlineStr">
        <is>
          <t>2018</t>
        </is>
      </c>
      <c r="H339" t="n">
        <v>18.3</v>
      </c>
      <c r="I339" t="n">
        <v>26.62</v>
      </c>
      <c r="J339" t="n">
        <v>22.61</v>
      </c>
      <c r="K339" t="n">
        <v>33.57</v>
      </c>
      <c r="L339" t="n">
        <v>86.8</v>
      </c>
      <c r="M339" t="n">
        <v>98.13</v>
      </c>
      <c r="N339" t="n">
        <v>16.51</v>
      </c>
      <c r="O339" t="n">
        <v>6.4</v>
      </c>
      <c r="P339" t="n">
        <v>26.08</v>
      </c>
      <c r="Q339" t="n">
        <v>17.07</v>
      </c>
      <c r="R339" t="n">
        <v>32.15</v>
      </c>
      <c r="S339" t="n">
        <v>82.73999999999999</v>
      </c>
      <c r="T339" t="n">
        <v>98.33</v>
      </c>
      <c r="U339" t="n">
        <v>19.8</v>
      </c>
      <c r="V339" t="inlineStr">
        <is>
          <t>Type I – Tropical Monsoon (PAGASA)</t>
        </is>
      </c>
      <c r="W339" t="inlineStr">
        <is>
          <t>Wet</t>
        </is>
      </c>
      <c r="X339" t="inlineStr">
        <is>
          <t>Wet</t>
        </is>
      </c>
      <c r="Y339" t="inlineStr">
        <is>
          <t>Silty Clay Loam</t>
        </is>
      </c>
      <c r="Z339" t="inlineStr">
        <is>
          <t>Flat / Lowland</t>
        </is>
      </c>
      <c r="AA339" t="n">
        <v>30</v>
      </c>
      <c r="AB339" t="inlineStr">
        <is>
          <t>Alibeng River</t>
        </is>
      </c>
      <c r="AC339" t="n">
        <v>264.6</v>
      </c>
      <c r="AD339" t="n">
        <v>40</v>
      </c>
      <c r="AE339" t="n">
        <v>128</v>
      </c>
      <c r="AF339" t="n">
        <v>168</v>
      </c>
      <c r="AG339" t="inlineStr">
        <is>
          <t>Transplanting (Pindot) — optimal for clay-loam paddy fields</t>
        </is>
      </c>
      <c r="AH339" t="inlineStr">
        <is>
          <t>Wet Tillage (Puddling): 2 plowings + thorough harrowing under flooded condition</t>
        </is>
      </c>
      <c r="AI339" t="inlineStr">
        <is>
          <t>Continuous flooding 2–5 cm depth during vegetative stage; drain 2 weeks before harvest</t>
        </is>
      </c>
      <c r="AJ339" t="n">
        <v>21.32</v>
      </c>
      <c r="AK339" t="n">
        <v>19.08</v>
      </c>
      <c r="AL339" t="n">
        <v>0.89</v>
      </c>
      <c r="AM339" t="inlineStr">
        <is>
          <t>No</t>
        </is>
      </c>
      <c r="AN339" t="inlineStr">
        <is>
          <t>Observed harvest</t>
        </is>
      </c>
    </row>
    <row r="340">
      <c r="A340" t="inlineStr">
        <is>
          <t>Palay</t>
        </is>
      </c>
      <c r="B340" t="inlineStr">
        <is>
          <t>Dumayat</t>
        </is>
      </c>
      <c r="C340" t="inlineStr">
        <is>
          <t>WS 2018</t>
        </is>
      </c>
      <c r="D340" t="inlineStr">
        <is>
          <t>June</t>
        </is>
      </c>
      <c r="E340" t="inlineStr">
        <is>
          <t>2018</t>
        </is>
      </c>
      <c r="F340" t="inlineStr">
        <is>
          <t>October</t>
        </is>
      </c>
      <c r="G340" t="inlineStr">
        <is>
          <t>2018</t>
        </is>
      </c>
      <c r="H340" t="n">
        <v>18.3</v>
      </c>
      <c r="I340" t="n">
        <v>26.62</v>
      </c>
      <c r="J340" t="n">
        <v>22.61</v>
      </c>
      <c r="K340" t="n">
        <v>33.57</v>
      </c>
      <c r="L340" t="n">
        <v>86.8</v>
      </c>
      <c r="M340" t="n">
        <v>98.13</v>
      </c>
      <c r="N340" t="n">
        <v>16.51</v>
      </c>
      <c r="O340" t="n">
        <v>6.4</v>
      </c>
      <c r="P340" t="n">
        <v>26.08</v>
      </c>
      <c r="Q340" t="n">
        <v>17.07</v>
      </c>
      <c r="R340" t="n">
        <v>32.15</v>
      </c>
      <c r="S340" t="n">
        <v>82.73999999999999</v>
      </c>
      <c r="T340" t="n">
        <v>98.33</v>
      </c>
      <c r="U340" t="n">
        <v>19.8</v>
      </c>
      <c r="V340" t="inlineStr">
        <is>
          <t>Type I – Tropical Monsoon (PAGASA)</t>
        </is>
      </c>
      <c r="W340" t="inlineStr">
        <is>
          <t>Wet</t>
        </is>
      </c>
      <c r="X340" t="inlineStr">
        <is>
          <t>Wet</t>
        </is>
      </c>
      <c r="Y340" t="inlineStr">
        <is>
          <t>Silty Clay Loam</t>
        </is>
      </c>
      <c r="Z340" t="inlineStr">
        <is>
          <t>Flat / Lowland</t>
        </is>
      </c>
      <c r="AA340" t="n">
        <v>30</v>
      </c>
      <c r="AB340" t="inlineStr">
        <is>
          <t>—</t>
        </is>
      </c>
      <c r="AC340" t="n">
        <v>266.28</v>
      </c>
      <c r="AD340" t="n">
        <v>56</v>
      </c>
      <c r="AE340" t="n">
        <v>30</v>
      </c>
      <c r="AF340" t="n">
        <v>86</v>
      </c>
      <c r="AG340" t="inlineStr">
        <is>
          <t>Transplanting (Pindot) — optimal for clay-loam paddy fields</t>
        </is>
      </c>
      <c r="AH340" t="inlineStr">
        <is>
          <t>Wet Tillage (Puddling): 2 plowings + thorough harrowing under flooded condition</t>
        </is>
      </c>
      <c r="AI340" t="inlineStr">
        <is>
          <t>Continuous flooding 2–5 cm depth during vegetative stage; drain 2 weeks before harvest</t>
        </is>
      </c>
      <c r="AJ340" t="n">
        <v>20.32</v>
      </c>
      <c r="AK340" t="n">
        <v>19.01</v>
      </c>
      <c r="AL340" t="n">
        <v>0.9399999999999999</v>
      </c>
      <c r="AM340" t="inlineStr">
        <is>
          <t>No</t>
        </is>
      </c>
      <c r="AN340" t="inlineStr">
        <is>
          <t>Observed harvest</t>
        </is>
      </c>
    </row>
    <row r="341">
      <c r="A341" t="inlineStr">
        <is>
          <t>Palay</t>
        </is>
      </c>
      <c r="B341" t="inlineStr">
        <is>
          <t>Linmansangan</t>
        </is>
      </c>
      <c r="C341" t="inlineStr">
        <is>
          <t>WS 2018</t>
        </is>
      </c>
      <c r="D341" t="inlineStr">
        <is>
          <t>June</t>
        </is>
      </c>
      <c r="E341" t="inlineStr">
        <is>
          <t>2018</t>
        </is>
      </c>
      <c r="F341" t="inlineStr">
        <is>
          <t>October</t>
        </is>
      </c>
      <c r="G341" t="inlineStr">
        <is>
          <t>2018</t>
        </is>
      </c>
      <c r="H341" t="n">
        <v>18.3</v>
      </c>
      <c r="I341" t="n">
        <v>26.62</v>
      </c>
      <c r="J341" t="n">
        <v>22.61</v>
      </c>
      <c r="K341" t="n">
        <v>33.57</v>
      </c>
      <c r="L341" t="n">
        <v>86.8</v>
      </c>
      <c r="M341" t="n">
        <v>98.13</v>
      </c>
      <c r="N341" t="n">
        <v>16.51</v>
      </c>
      <c r="O341" t="n">
        <v>6.4</v>
      </c>
      <c r="P341" t="n">
        <v>26.08</v>
      </c>
      <c r="Q341" t="n">
        <v>17.07</v>
      </c>
      <c r="R341" t="n">
        <v>32.15</v>
      </c>
      <c r="S341" t="n">
        <v>82.73999999999999</v>
      </c>
      <c r="T341" t="n">
        <v>98.33</v>
      </c>
      <c r="U341" t="n">
        <v>19.8</v>
      </c>
      <c r="V341" t="inlineStr">
        <is>
          <t>Type I – Tropical Monsoon (PAGASA)</t>
        </is>
      </c>
      <c r="W341" t="inlineStr">
        <is>
          <t>Wet</t>
        </is>
      </c>
      <c r="X341" t="inlineStr">
        <is>
          <t>Wet</t>
        </is>
      </c>
      <c r="Y341" t="inlineStr">
        <is>
          <t>Silty Clay Loam</t>
        </is>
      </c>
      <c r="Z341" t="inlineStr">
        <is>
          <t>Flat / Lowland</t>
        </is>
      </c>
      <c r="AA341" t="n">
        <v>30</v>
      </c>
      <c r="AB341" t="inlineStr">
        <is>
          <t>—</t>
        </is>
      </c>
      <c r="AC341" t="n">
        <v>492.24</v>
      </c>
      <c r="AD341" t="n">
        <v>65.5</v>
      </c>
      <c r="AE341" t="n">
        <v>150.5</v>
      </c>
      <c r="AF341" t="n">
        <v>216</v>
      </c>
      <c r="AG341" t="inlineStr">
        <is>
          <t>Transplanting (Pindot) — optimal for clay-loam paddy fields</t>
        </is>
      </c>
      <c r="AH341" t="inlineStr">
        <is>
          <t>Wet Tillage (Puddling): 2 plowings + thorough harrowing under flooded condition</t>
        </is>
      </c>
      <c r="AI341" t="inlineStr">
        <is>
          <t>Continuous flooding 2–5 cm depth during vegetative stage; drain 2 weeks before harvest</t>
        </is>
      </c>
      <c r="AJ341" t="n">
        <v>45.98</v>
      </c>
      <c r="AK341" t="n">
        <v>5.25</v>
      </c>
      <c r="AL341" t="n">
        <v>0.11</v>
      </c>
      <c r="AM341" t="inlineStr">
        <is>
          <t>No</t>
        </is>
      </c>
      <c r="AN341" t="inlineStr">
        <is>
          <t>Observed harvest</t>
        </is>
      </c>
    </row>
    <row r="342">
      <c r="A342" t="inlineStr">
        <is>
          <t>Palay</t>
        </is>
      </c>
      <c r="B342" t="inlineStr">
        <is>
          <t>Mangkasuy</t>
        </is>
      </c>
      <c r="C342" t="inlineStr">
        <is>
          <t>WS 2018</t>
        </is>
      </c>
      <c r="D342" t="inlineStr">
        <is>
          <t>June</t>
        </is>
      </c>
      <c r="E342" t="inlineStr">
        <is>
          <t>2018</t>
        </is>
      </c>
      <c r="F342" t="inlineStr">
        <is>
          <t>October</t>
        </is>
      </c>
      <c r="G342" t="inlineStr">
        <is>
          <t>2018</t>
        </is>
      </c>
      <c r="H342" t="n">
        <v>18.3</v>
      </c>
      <c r="I342" t="n">
        <v>26.62</v>
      </c>
      <c r="J342" t="n">
        <v>22.61</v>
      </c>
      <c r="K342" t="n">
        <v>33.57</v>
      </c>
      <c r="L342" t="n">
        <v>86.8</v>
      </c>
      <c r="M342" t="n">
        <v>98.13</v>
      </c>
      <c r="N342" t="n">
        <v>16.51</v>
      </c>
      <c r="O342" t="n">
        <v>6.4</v>
      </c>
      <c r="P342" t="n">
        <v>26.08</v>
      </c>
      <c r="Q342" t="n">
        <v>17.07</v>
      </c>
      <c r="R342" t="n">
        <v>32.15</v>
      </c>
      <c r="S342" t="n">
        <v>82.73999999999999</v>
      </c>
      <c r="T342" t="n">
        <v>98.33</v>
      </c>
      <c r="U342" t="n">
        <v>19.8</v>
      </c>
      <c r="V342" t="inlineStr">
        <is>
          <t>Type I – Tropical Monsoon (PAGASA)</t>
        </is>
      </c>
      <c r="W342" t="inlineStr">
        <is>
          <t>Wet</t>
        </is>
      </c>
      <c r="X342" t="inlineStr">
        <is>
          <t>Wet</t>
        </is>
      </c>
      <c r="Y342" t="inlineStr">
        <is>
          <t>Sandy Loam</t>
        </is>
      </c>
      <c r="Z342" t="inlineStr">
        <is>
          <t>Flat / Lowland</t>
        </is>
      </c>
      <c r="AA342" t="n">
        <v>30</v>
      </c>
      <c r="AB342" t="inlineStr">
        <is>
          <t>Tagamusing River</t>
        </is>
      </c>
      <c r="AC342" t="n">
        <v>802.2</v>
      </c>
      <c r="AD342" t="n">
        <v>90</v>
      </c>
      <c r="AE342" t="n">
        <v>262</v>
      </c>
      <c r="AF342" t="n">
        <v>352</v>
      </c>
      <c r="AG342" t="inlineStr">
        <is>
          <t>Transplanting (Pindot) or Direct Seeding (Pinaghandaan)</t>
        </is>
      </c>
      <c r="AH342" t="inlineStr">
        <is>
          <t>Conventional Tillage: 2 plowings + 2 harrowings; soil workable when moist</t>
        </is>
      </c>
      <c r="AI342" t="inlineStr">
        <is>
          <t>Intermittent irrigation (Alternate Wetting and Drying — AWD); moderate retention</t>
        </is>
      </c>
      <c r="AJ342" t="n">
        <v>1.25</v>
      </c>
      <c r="AK342" t="n">
        <v>5.31</v>
      </c>
      <c r="AL342" t="n">
        <v>4.25</v>
      </c>
      <c r="AM342" t="inlineStr">
        <is>
          <t>No</t>
        </is>
      </c>
      <c r="AN342" t="inlineStr">
        <is>
          <t>Observed harvest</t>
        </is>
      </c>
    </row>
    <row r="343">
      <c r="A343" t="inlineStr">
        <is>
          <t>Palay</t>
        </is>
      </c>
      <c r="B343" t="inlineStr">
        <is>
          <t>Moreno</t>
        </is>
      </c>
      <c r="C343" t="inlineStr">
        <is>
          <t>WS 2018</t>
        </is>
      </c>
      <c r="D343" t="inlineStr">
        <is>
          <t>June</t>
        </is>
      </c>
      <c r="E343" t="inlineStr">
        <is>
          <t>2018</t>
        </is>
      </c>
      <c r="F343" t="inlineStr">
        <is>
          <t>October</t>
        </is>
      </c>
      <c r="G343" t="inlineStr">
        <is>
          <t>2018</t>
        </is>
      </c>
      <c r="H343" t="n">
        <v>18.3</v>
      </c>
      <c r="I343" t="n">
        <v>26.62</v>
      </c>
      <c r="J343" t="n">
        <v>22.61</v>
      </c>
      <c r="K343" t="n">
        <v>33.57</v>
      </c>
      <c r="L343" t="n">
        <v>86.8</v>
      </c>
      <c r="M343" t="n">
        <v>98.13</v>
      </c>
      <c r="N343" t="n">
        <v>16.51</v>
      </c>
      <c r="O343" t="n">
        <v>6.4</v>
      </c>
      <c r="P343" t="n">
        <v>26.08</v>
      </c>
      <c r="Q343" t="n">
        <v>17.07</v>
      </c>
      <c r="R343" t="n">
        <v>32.15</v>
      </c>
      <c r="S343" t="n">
        <v>82.73999999999999</v>
      </c>
      <c r="T343" t="n">
        <v>98.33</v>
      </c>
      <c r="U343" t="n">
        <v>19.8</v>
      </c>
      <c r="V343" t="inlineStr">
        <is>
          <t>Type I – Tropical Monsoon (PAGASA)</t>
        </is>
      </c>
      <c r="W343" t="inlineStr">
        <is>
          <t>Wet</t>
        </is>
      </c>
      <c r="X343" t="inlineStr">
        <is>
          <t>Wet</t>
        </is>
      </c>
      <c r="Y343" t="inlineStr">
        <is>
          <t>Sandy Loam</t>
        </is>
      </c>
      <c r="Z343" t="inlineStr">
        <is>
          <t>Moderately Sloping / Highland</t>
        </is>
      </c>
      <c r="AA343" t="n">
        <v>90</v>
      </c>
      <c r="AB343" t="inlineStr">
        <is>
          <t>Alibeng River</t>
        </is>
      </c>
      <c r="AC343" t="n">
        <v>641.76</v>
      </c>
      <c r="AD343" t="n">
        <v>47.4</v>
      </c>
      <c r="AE343" t="n">
        <v>116.6</v>
      </c>
      <c r="AF343" t="n">
        <v>164</v>
      </c>
      <c r="AG343" t="inlineStr">
        <is>
          <t>Transplanting (Pindot) or Direct Seeding (Pinaghandaan)</t>
        </is>
      </c>
      <c r="AH343" t="inlineStr">
        <is>
          <t>Conventional Tillage: 2 plowings + 2 harrowings; soil workable when moist</t>
        </is>
      </c>
      <c r="AI343" t="inlineStr">
        <is>
          <t>Intermittent irrigation (Alternate Wetting and Drying — AWD); moderate retention; terrace or bund-assisted water retention essential on slopes</t>
        </is>
      </c>
      <c r="AJ343" t="n">
        <v>21.11</v>
      </c>
      <c r="AK343" t="n">
        <v>99.84999999999999</v>
      </c>
      <c r="AL343" t="n">
        <v>4.73</v>
      </c>
      <c r="AM343" t="inlineStr">
        <is>
          <t>No</t>
        </is>
      </c>
      <c r="AN343" t="inlineStr">
        <is>
          <t>Observed harvest</t>
        </is>
      </c>
    </row>
    <row r="344">
      <c r="A344" t="inlineStr">
        <is>
          <t>Palay</t>
        </is>
      </c>
      <c r="B344" t="inlineStr">
        <is>
          <t>Pasileng Norte</t>
        </is>
      </c>
      <c r="C344" t="inlineStr">
        <is>
          <t>WS 2018</t>
        </is>
      </c>
      <c r="D344" t="inlineStr">
        <is>
          <t>June</t>
        </is>
      </c>
      <c r="E344" t="inlineStr">
        <is>
          <t>2018</t>
        </is>
      </c>
      <c r="F344" t="inlineStr">
        <is>
          <t>October</t>
        </is>
      </c>
      <c r="G344" t="inlineStr">
        <is>
          <t>2018</t>
        </is>
      </c>
      <c r="H344" t="n">
        <v>18.3</v>
      </c>
      <c r="I344" t="n">
        <v>26.62</v>
      </c>
      <c r="J344" t="n">
        <v>22.61</v>
      </c>
      <c r="K344" t="n">
        <v>33.57</v>
      </c>
      <c r="L344" t="n">
        <v>86.8</v>
      </c>
      <c r="M344" t="n">
        <v>98.13</v>
      </c>
      <c r="N344" t="n">
        <v>16.51</v>
      </c>
      <c r="O344" t="n">
        <v>6.4</v>
      </c>
      <c r="P344" t="n">
        <v>26.08</v>
      </c>
      <c r="Q344" t="n">
        <v>17.07</v>
      </c>
      <c r="R344" t="n">
        <v>32.15</v>
      </c>
      <c r="S344" t="n">
        <v>82.73999999999999</v>
      </c>
      <c r="T344" t="n">
        <v>98.33</v>
      </c>
      <c r="U344" t="n">
        <v>19.8</v>
      </c>
      <c r="V344" t="inlineStr">
        <is>
          <t>Type I – Tropical Monsoon (PAGASA)</t>
        </is>
      </c>
      <c r="W344" t="inlineStr">
        <is>
          <t>Wet</t>
        </is>
      </c>
      <c r="X344" t="inlineStr">
        <is>
          <t>Wet</t>
        </is>
      </c>
      <c r="Y344" t="inlineStr">
        <is>
          <t>Sandy Loam</t>
        </is>
      </c>
      <c r="Z344" t="inlineStr">
        <is>
          <t>Flat / Lowland</t>
        </is>
      </c>
      <c r="AA344" t="n">
        <v>30</v>
      </c>
      <c r="AB344" t="inlineStr">
        <is>
          <t>Tagamusing River</t>
        </is>
      </c>
      <c r="AC344" t="n">
        <v>140.28</v>
      </c>
      <c r="AD344" t="n">
        <v>78.34999999999999</v>
      </c>
      <c r="AE344" t="n">
        <v>2.65</v>
      </c>
      <c r="AF344" t="n">
        <v>81</v>
      </c>
      <c r="AG344" t="inlineStr">
        <is>
          <t>Transplanting (Pindot) or Direct Seeding (Pinaghandaan)</t>
        </is>
      </c>
      <c r="AH344" t="inlineStr">
        <is>
          <t>Conventional Tillage: 2 plowings + 2 harrowings; soil workable when moist</t>
        </is>
      </c>
      <c r="AI344" t="inlineStr">
        <is>
          <t>Intermittent irrigation (Alternate Wetting and Drying — AWD); moderate retention</t>
        </is>
      </c>
      <c r="AJ344" t="n">
        <v>2.44</v>
      </c>
      <c r="AK344" t="n">
        <v>19.52</v>
      </c>
      <c r="AL344" t="n">
        <v>8</v>
      </c>
      <c r="AM344" t="inlineStr">
        <is>
          <t>No</t>
        </is>
      </c>
      <c r="AN344" t="inlineStr">
        <is>
          <t>Observed harvest</t>
        </is>
      </c>
    </row>
    <row r="345">
      <c r="A345" t="inlineStr">
        <is>
          <t>Palay</t>
        </is>
      </c>
      <c r="B345" t="inlineStr">
        <is>
          <t>Pasileng Sur</t>
        </is>
      </c>
      <c r="C345" t="inlineStr">
        <is>
          <t>WS 2018</t>
        </is>
      </c>
      <c r="D345" t="inlineStr">
        <is>
          <t>June</t>
        </is>
      </c>
      <c r="E345" t="inlineStr">
        <is>
          <t>2018</t>
        </is>
      </c>
      <c r="F345" t="inlineStr">
        <is>
          <t>October</t>
        </is>
      </c>
      <c r="G345" t="inlineStr">
        <is>
          <t>2018</t>
        </is>
      </c>
      <c r="H345" t="n">
        <v>18.3</v>
      </c>
      <c r="I345" t="n">
        <v>26.62</v>
      </c>
      <c r="J345" t="n">
        <v>22.61</v>
      </c>
      <c r="K345" t="n">
        <v>33.57</v>
      </c>
      <c r="L345" t="n">
        <v>86.8</v>
      </c>
      <c r="M345" t="n">
        <v>98.13</v>
      </c>
      <c r="N345" t="n">
        <v>16.51</v>
      </c>
      <c r="O345" t="n">
        <v>6.4</v>
      </c>
      <c r="P345" t="n">
        <v>26.08</v>
      </c>
      <c r="Q345" t="n">
        <v>17.07</v>
      </c>
      <c r="R345" t="n">
        <v>32.15</v>
      </c>
      <c r="S345" t="n">
        <v>82.73999999999999</v>
      </c>
      <c r="T345" t="n">
        <v>98.33</v>
      </c>
      <c r="U345" t="n">
        <v>19.8</v>
      </c>
      <c r="V345" t="inlineStr">
        <is>
          <t>Type I – Tropical Monsoon (PAGASA)</t>
        </is>
      </c>
      <c r="W345" t="inlineStr">
        <is>
          <t>Wet</t>
        </is>
      </c>
      <c r="X345" t="inlineStr">
        <is>
          <t>Wet</t>
        </is>
      </c>
      <c r="Y345" t="inlineStr">
        <is>
          <t>Sandy Loam</t>
        </is>
      </c>
      <c r="Z345" t="inlineStr">
        <is>
          <t>Flat / Lowland</t>
        </is>
      </c>
      <c r="AA345" t="n">
        <v>30</v>
      </c>
      <c r="AB345" t="inlineStr">
        <is>
          <t>Tagamusing River</t>
        </is>
      </c>
      <c r="AC345" t="n">
        <v>414.96</v>
      </c>
      <c r="AD345" t="n">
        <v>150.9</v>
      </c>
      <c r="AE345" t="n">
        <v>29.1</v>
      </c>
      <c r="AF345" t="n">
        <v>180</v>
      </c>
      <c r="AG345" t="inlineStr">
        <is>
          <t>Transplanting (Pindot) or Direct Seeding (Pinaghandaan)</t>
        </is>
      </c>
      <c r="AH345" t="inlineStr">
        <is>
          <t>Conventional Tillage: 2 plowings + 2 harrowings; soil workable when moist</t>
        </is>
      </c>
      <c r="AI345" t="inlineStr">
        <is>
          <t>Intermittent irrigation (Alternate Wetting and Drying — AWD); moderate retention</t>
        </is>
      </c>
      <c r="AJ345" t="n">
        <v>4.48</v>
      </c>
      <c r="AK345" t="n">
        <v>23.41</v>
      </c>
      <c r="AL345" t="n">
        <v>5.23</v>
      </c>
      <c r="AM345" t="inlineStr">
        <is>
          <t>No</t>
        </is>
      </c>
      <c r="AN345" t="inlineStr">
        <is>
          <t>Observed harvest</t>
        </is>
      </c>
    </row>
    <row r="346">
      <c r="A346" t="inlineStr">
        <is>
          <t>Palay</t>
        </is>
      </c>
      <c r="B346" t="inlineStr">
        <is>
          <t>San Felipe Central</t>
        </is>
      </c>
      <c r="C346" t="inlineStr">
        <is>
          <t>WS 2018</t>
        </is>
      </c>
      <c r="D346" t="inlineStr">
        <is>
          <t>June</t>
        </is>
      </c>
      <c r="E346" t="inlineStr">
        <is>
          <t>2018</t>
        </is>
      </c>
      <c r="F346" t="inlineStr">
        <is>
          <t>October</t>
        </is>
      </c>
      <c r="G346" t="inlineStr">
        <is>
          <t>2018</t>
        </is>
      </c>
      <c r="H346" t="n">
        <v>18.3</v>
      </c>
      <c r="I346" t="n">
        <v>26.62</v>
      </c>
      <c r="J346" t="n">
        <v>22.61</v>
      </c>
      <c r="K346" t="n">
        <v>33.57</v>
      </c>
      <c r="L346" t="n">
        <v>86.8</v>
      </c>
      <c r="M346" t="n">
        <v>98.13</v>
      </c>
      <c r="N346" t="n">
        <v>16.51</v>
      </c>
      <c r="O346" t="n">
        <v>6.4</v>
      </c>
      <c r="P346" t="n">
        <v>26.08</v>
      </c>
      <c r="Q346" t="n">
        <v>17.07</v>
      </c>
      <c r="R346" t="n">
        <v>32.15</v>
      </c>
      <c r="S346" t="n">
        <v>82.73999999999999</v>
      </c>
      <c r="T346" t="n">
        <v>98.33</v>
      </c>
      <c r="U346" t="n">
        <v>19.8</v>
      </c>
      <c r="V346" t="inlineStr">
        <is>
          <t>Type I – Tropical Monsoon (PAGASA)</t>
        </is>
      </c>
      <c r="W346" t="inlineStr">
        <is>
          <t>Wet</t>
        </is>
      </c>
      <c r="X346" t="inlineStr">
        <is>
          <t>Wet</t>
        </is>
      </c>
      <c r="Y346" t="inlineStr">
        <is>
          <t>Sandy Loam</t>
        </is>
      </c>
      <c r="Z346" t="inlineStr">
        <is>
          <t>Flat / Lowland</t>
        </is>
      </c>
      <c r="AA346" t="n">
        <v>30</v>
      </c>
      <c r="AB346" t="inlineStr">
        <is>
          <t>—</t>
        </is>
      </c>
      <c r="AC346" t="n">
        <v>452.76</v>
      </c>
      <c r="AD346" t="n">
        <v>117</v>
      </c>
      <c r="AE346" t="n">
        <v>62</v>
      </c>
      <c r="AF346" t="n">
        <v>179</v>
      </c>
      <c r="AG346" t="inlineStr">
        <is>
          <t>Transplanting (Pindot) or Direct Seeding (Pinaghandaan)</t>
        </is>
      </c>
      <c r="AH346" t="inlineStr">
        <is>
          <t>Conventional Tillage: 2 plowings + 2 harrowings; soil workable when moist</t>
        </is>
      </c>
      <c r="AI346" t="inlineStr">
        <is>
          <t>Intermittent irrigation (Alternate Wetting and Drying — AWD); moderate retention</t>
        </is>
      </c>
      <c r="AJ346" t="n">
        <v>4.11</v>
      </c>
      <c r="AK346" t="n">
        <v>16.04</v>
      </c>
      <c r="AL346" t="n">
        <v>3.9</v>
      </c>
      <c r="AM346" t="inlineStr">
        <is>
          <t>No</t>
        </is>
      </c>
      <c r="AN346" t="inlineStr">
        <is>
          <t>Observed harvest</t>
        </is>
      </c>
    </row>
    <row r="347">
      <c r="A347" t="inlineStr">
        <is>
          <t>Palay</t>
        </is>
      </c>
      <c r="B347" t="inlineStr">
        <is>
          <t>San Felipe Sur</t>
        </is>
      </c>
      <c r="C347" t="inlineStr">
        <is>
          <t>WS 2018</t>
        </is>
      </c>
      <c r="D347" t="inlineStr">
        <is>
          <t>June</t>
        </is>
      </c>
      <c r="E347" t="inlineStr">
        <is>
          <t>2018</t>
        </is>
      </c>
      <c r="F347" t="inlineStr">
        <is>
          <t>October</t>
        </is>
      </c>
      <c r="G347" t="inlineStr">
        <is>
          <t>2018</t>
        </is>
      </c>
      <c r="H347" t="n">
        <v>18.3</v>
      </c>
      <c r="I347" t="n">
        <v>26.62</v>
      </c>
      <c r="J347" t="n">
        <v>22.61</v>
      </c>
      <c r="K347" t="n">
        <v>33.57</v>
      </c>
      <c r="L347" t="n">
        <v>86.8</v>
      </c>
      <c r="M347" t="n">
        <v>98.13</v>
      </c>
      <c r="N347" t="n">
        <v>16.51</v>
      </c>
      <c r="O347" t="n">
        <v>6.4</v>
      </c>
      <c r="P347" t="n">
        <v>26.08</v>
      </c>
      <c r="Q347" t="n">
        <v>17.07</v>
      </c>
      <c r="R347" t="n">
        <v>32.15</v>
      </c>
      <c r="S347" t="n">
        <v>82.73999999999999</v>
      </c>
      <c r="T347" t="n">
        <v>98.33</v>
      </c>
      <c r="U347" t="n">
        <v>19.8</v>
      </c>
      <c r="V347" t="inlineStr">
        <is>
          <t>Type I – Tropical Monsoon (PAGASA)</t>
        </is>
      </c>
      <c r="W347" t="inlineStr">
        <is>
          <t>Wet</t>
        </is>
      </c>
      <c r="X347" t="inlineStr">
        <is>
          <t>Wet</t>
        </is>
      </c>
      <c r="Y347" t="inlineStr">
        <is>
          <t>Sandy Loam</t>
        </is>
      </c>
      <c r="Z347" t="inlineStr">
        <is>
          <t>Flat / Lowland</t>
        </is>
      </c>
      <c r="AA347" t="n">
        <v>30</v>
      </c>
      <c r="AB347" t="inlineStr">
        <is>
          <t>Tagamusing River</t>
        </is>
      </c>
      <c r="AC347" t="n">
        <v>504</v>
      </c>
      <c r="AD347" t="n">
        <v>127.5</v>
      </c>
      <c r="AE347" t="n">
        <v>50.5</v>
      </c>
      <c r="AF347" t="n">
        <v>178</v>
      </c>
      <c r="AG347" t="inlineStr">
        <is>
          <t>Transplanting (Pindot) or Direct Seeding (Pinaghandaan)</t>
        </is>
      </c>
      <c r="AH347" t="inlineStr">
        <is>
          <t>Conventional Tillage: 2 plowings + 2 harrowings; soil workable when moist</t>
        </is>
      </c>
      <c r="AI347" t="inlineStr">
        <is>
          <t>Intermittent irrigation (Alternate Wetting and Drying — AWD); moderate retention</t>
        </is>
      </c>
      <c r="AJ347" t="n">
        <v>0.75</v>
      </c>
      <c r="AK347" t="n">
        <v>3</v>
      </c>
      <c r="AL347" t="n">
        <v>4</v>
      </c>
      <c r="AM347" t="inlineStr">
        <is>
          <t>No</t>
        </is>
      </c>
      <c r="AN347" t="inlineStr">
        <is>
          <t>Observed harvest</t>
        </is>
      </c>
    </row>
    <row r="348">
      <c r="A348" t="inlineStr">
        <is>
          <t>Palay</t>
        </is>
      </c>
      <c r="B348" t="inlineStr">
        <is>
          <t>San Pablo</t>
        </is>
      </c>
      <c r="C348" t="inlineStr">
        <is>
          <t>WS 2018</t>
        </is>
      </c>
      <c r="D348" t="inlineStr">
        <is>
          <t>June</t>
        </is>
      </c>
      <c r="E348" t="inlineStr">
        <is>
          <t>2018</t>
        </is>
      </c>
      <c r="F348" t="inlineStr">
        <is>
          <t>October</t>
        </is>
      </c>
      <c r="G348" t="inlineStr">
        <is>
          <t>2018</t>
        </is>
      </c>
      <c r="H348" t="n">
        <v>18.3</v>
      </c>
      <c r="I348" t="n">
        <v>26.62</v>
      </c>
      <c r="J348" t="n">
        <v>22.61</v>
      </c>
      <c r="K348" t="n">
        <v>33.57</v>
      </c>
      <c r="L348" t="n">
        <v>86.8</v>
      </c>
      <c r="M348" t="n">
        <v>98.13</v>
      </c>
      <c r="N348" t="n">
        <v>16.51</v>
      </c>
      <c r="O348" t="n">
        <v>6.4</v>
      </c>
      <c r="P348" t="n">
        <v>26.08</v>
      </c>
      <c r="Q348" t="n">
        <v>17.07</v>
      </c>
      <c r="R348" t="n">
        <v>32.15</v>
      </c>
      <c r="S348" t="n">
        <v>82.73999999999999</v>
      </c>
      <c r="T348" t="n">
        <v>98.33</v>
      </c>
      <c r="U348" t="n">
        <v>19.8</v>
      </c>
      <c r="V348" t="inlineStr">
        <is>
          <t>Type I – Tropical Monsoon (PAGASA)</t>
        </is>
      </c>
      <c r="W348" t="inlineStr">
        <is>
          <t>Wet</t>
        </is>
      </c>
      <c r="X348" t="inlineStr">
        <is>
          <t>Wet</t>
        </is>
      </c>
      <c r="Y348" t="inlineStr">
        <is>
          <t>Sandy Loam</t>
        </is>
      </c>
      <c r="Z348" t="inlineStr">
        <is>
          <t>Flat / Lowland</t>
        </is>
      </c>
      <c r="AA348" t="n">
        <v>30</v>
      </c>
      <c r="AB348" t="inlineStr">
        <is>
          <t>San Pablo Creek</t>
        </is>
      </c>
      <c r="AC348" t="n">
        <v>215.04</v>
      </c>
      <c r="AD348" t="n">
        <v>103.5</v>
      </c>
      <c r="AE348" t="n">
        <v>30.5</v>
      </c>
      <c r="AF348" t="n">
        <v>134</v>
      </c>
      <c r="AG348" t="inlineStr">
        <is>
          <t>Transplanting (Pindot) or Direct Seeding (Pinaghandaan)</t>
        </is>
      </c>
      <c r="AH348" t="inlineStr">
        <is>
          <t>Conventional Tillage: 2 plowings + 2 harrowings; soil workable when moist</t>
        </is>
      </c>
      <c r="AI348" t="inlineStr">
        <is>
          <t>Intermittent irrigation (Alternate Wetting and Drying — AWD); moderate retention</t>
        </is>
      </c>
      <c r="AJ348" t="n">
        <v>1.5</v>
      </c>
      <c r="AK348" t="n">
        <v>7.21</v>
      </c>
      <c r="AL348" t="n">
        <v>4.81</v>
      </c>
      <c r="AM348" t="inlineStr">
        <is>
          <t>No</t>
        </is>
      </c>
      <c r="AN348" t="inlineStr">
        <is>
          <t>Observed harvest</t>
        </is>
      </c>
    </row>
    <row r="349">
      <c r="A349" t="inlineStr">
        <is>
          <t>Palay</t>
        </is>
      </c>
      <c r="B349" t="inlineStr">
        <is>
          <t>Santiago</t>
        </is>
      </c>
      <c r="C349" t="inlineStr">
        <is>
          <t>WS 2018</t>
        </is>
      </c>
      <c r="D349" t="inlineStr">
        <is>
          <t>June</t>
        </is>
      </c>
      <c r="E349" t="inlineStr">
        <is>
          <t>2018</t>
        </is>
      </c>
      <c r="F349" t="inlineStr">
        <is>
          <t>October</t>
        </is>
      </c>
      <c r="G349" t="inlineStr">
        <is>
          <t>2018</t>
        </is>
      </c>
      <c r="H349" t="n">
        <v>18.3</v>
      </c>
      <c r="I349" t="n">
        <v>26.62</v>
      </c>
      <c r="J349" t="n">
        <v>22.61</v>
      </c>
      <c r="K349" t="n">
        <v>33.57</v>
      </c>
      <c r="L349" t="n">
        <v>86.8</v>
      </c>
      <c r="M349" t="n">
        <v>98.13</v>
      </c>
      <c r="N349" t="n">
        <v>16.51</v>
      </c>
      <c r="O349" t="n">
        <v>6.4</v>
      </c>
      <c r="P349" t="n">
        <v>26.08</v>
      </c>
      <c r="Q349" t="n">
        <v>17.07</v>
      </c>
      <c r="R349" t="n">
        <v>32.15</v>
      </c>
      <c r="S349" t="n">
        <v>82.73999999999999</v>
      </c>
      <c r="T349" t="n">
        <v>98.33</v>
      </c>
      <c r="U349" t="n">
        <v>19.8</v>
      </c>
      <c r="V349" t="inlineStr">
        <is>
          <t>Type I – Tropical Monsoon (PAGASA)</t>
        </is>
      </c>
      <c r="W349" t="inlineStr">
        <is>
          <t>Wet</t>
        </is>
      </c>
      <c r="X349" t="inlineStr">
        <is>
          <t>Wet</t>
        </is>
      </c>
      <c r="Y349" t="inlineStr">
        <is>
          <t>Silty Clay Loam</t>
        </is>
      </c>
      <c r="Z349" t="inlineStr">
        <is>
          <t>Flat / Lowland</t>
        </is>
      </c>
      <c r="AA349" t="n">
        <v>30</v>
      </c>
      <c r="AB349" t="inlineStr">
        <is>
          <t>—</t>
        </is>
      </c>
      <c r="AC349" t="n">
        <v>283.08</v>
      </c>
      <c r="AD349" t="n">
        <v>103.6</v>
      </c>
      <c r="AE349" t="n">
        <v>147.4</v>
      </c>
      <c r="AF349" t="n">
        <v>251</v>
      </c>
      <c r="AG349" t="inlineStr">
        <is>
          <t>Transplanting (Pindot) — optimal for clay-loam paddy fields</t>
        </is>
      </c>
      <c r="AH349" t="inlineStr">
        <is>
          <t>Wet Tillage (Puddling): 2 plowings + thorough harrowing under flooded condition</t>
        </is>
      </c>
      <c r="AI349" t="inlineStr">
        <is>
          <t>Continuous flooding 2–5 cm depth during vegetative stage; drain 2 weeks before harvest</t>
        </is>
      </c>
      <c r="AJ349" t="n">
        <v>4</v>
      </c>
      <c r="AK349" t="n">
        <v>13.5</v>
      </c>
      <c r="AL349" t="n">
        <v>3.38</v>
      </c>
      <c r="AM349" t="inlineStr">
        <is>
          <t>No</t>
        </is>
      </c>
      <c r="AN349" t="inlineStr">
        <is>
          <t>Observed harvest</t>
        </is>
      </c>
    </row>
    <row r="350">
      <c r="A350" t="inlineStr">
        <is>
          <t>Palay</t>
        </is>
      </c>
      <c r="B350" t="inlineStr">
        <is>
          <t>Sta. Catalina</t>
        </is>
      </c>
      <c r="C350" t="inlineStr">
        <is>
          <t>WS 2018</t>
        </is>
      </c>
      <c r="D350" t="inlineStr">
        <is>
          <t>June</t>
        </is>
      </c>
      <c r="E350" t="inlineStr">
        <is>
          <t>2018</t>
        </is>
      </c>
      <c r="F350" t="inlineStr">
        <is>
          <t>October</t>
        </is>
      </c>
      <c r="G350" t="inlineStr">
        <is>
          <t>2018</t>
        </is>
      </c>
      <c r="H350" t="n">
        <v>18.3</v>
      </c>
      <c r="I350" t="n">
        <v>26.62</v>
      </c>
      <c r="J350" t="n">
        <v>22.61</v>
      </c>
      <c r="K350" t="n">
        <v>33.57</v>
      </c>
      <c r="L350" t="n">
        <v>86.8</v>
      </c>
      <c r="M350" t="n">
        <v>98.13</v>
      </c>
      <c r="N350" t="n">
        <v>16.51</v>
      </c>
      <c r="O350" t="n">
        <v>6.4</v>
      </c>
      <c r="P350" t="n">
        <v>26.08</v>
      </c>
      <c r="Q350" t="n">
        <v>17.07</v>
      </c>
      <c r="R350" t="n">
        <v>32.15</v>
      </c>
      <c r="S350" t="n">
        <v>82.73999999999999</v>
      </c>
      <c r="T350" t="n">
        <v>98.33</v>
      </c>
      <c r="U350" t="n">
        <v>19.8</v>
      </c>
      <c r="V350" t="inlineStr">
        <is>
          <t>Type I – Tropical Monsoon (PAGASA)</t>
        </is>
      </c>
      <c r="W350" t="inlineStr">
        <is>
          <t>Wet</t>
        </is>
      </c>
      <c r="X350" t="inlineStr">
        <is>
          <t>Wet</t>
        </is>
      </c>
      <c r="Y350" t="inlineStr">
        <is>
          <t>Fine Sand / Sandy Loam</t>
        </is>
      </c>
      <c r="Z350" t="inlineStr">
        <is>
          <t>Moderately Sloping / Highland</t>
        </is>
      </c>
      <c r="AA350" t="n">
        <v>90</v>
      </c>
      <c r="AB350" t="inlineStr">
        <is>
          <t>—</t>
        </is>
      </c>
      <c r="AC350" t="n">
        <v>709.8</v>
      </c>
      <c r="AD350" t="n">
        <v>49</v>
      </c>
      <c r="AE350" t="n">
        <v>180</v>
      </c>
      <c r="AF350" t="n">
        <v>229</v>
      </c>
      <c r="AG350" t="inlineStr">
        <is>
          <t>Transplanting (Pindot)</t>
        </is>
      </c>
      <c r="AH350" t="inlineStr">
        <is>
          <t>Minimum Tillage (avoid compaction; sandy structure fragile)</t>
        </is>
      </c>
      <c r="AI350" t="inlineStr">
        <is>
          <t>Continuous flooding or frequent irrigation; high percolation risk; terrace or bund-assisted water retention essential on slopes</t>
        </is>
      </c>
      <c r="AJ350" t="n">
        <v>11.49</v>
      </c>
      <c r="AK350" t="n">
        <v>26.73</v>
      </c>
      <c r="AL350" t="n">
        <v>2.33</v>
      </c>
      <c r="AM350" t="inlineStr">
        <is>
          <t>No</t>
        </is>
      </c>
      <c r="AN350" t="inlineStr">
        <is>
          <t>Observed harvest</t>
        </is>
      </c>
    </row>
    <row r="351">
      <c r="A351" t="inlineStr">
        <is>
          <t>Palay</t>
        </is>
      </c>
      <c r="B351" t="inlineStr">
        <is>
          <t>Sta. Maria Norte</t>
        </is>
      </c>
      <c r="C351" t="inlineStr">
        <is>
          <t>WS 2018</t>
        </is>
      </c>
      <c r="D351" t="inlineStr">
        <is>
          <t>June</t>
        </is>
      </c>
      <c r="E351" t="inlineStr">
        <is>
          <t>2018</t>
        </is>
      </c>
      <c r="F351" t="inlineStr">
        <is>
          <t>October</t>
        </is>
      </c>
      <c r="G351" t="inlineStr">
        <is>
          <t>2018</t>
        </is>
      </c>
      <c r="H351" t="n">
        <v>18.3</v>
      </c>
      <c r="I351" t="n">
        <v>26.62</v>
      </c>
      <c r="J351" t="n">
        <v>22.61</v>
      </c>
      <c r="K351" t="n">
        <v>33.57</v>
      </c>
      <c r="L351" t="n">
        <v>86.8</v>
      </c>
      <c r="M351" t="n">
        <v>98.13</v>
      </c>
      <c r="N351" t="n">
        <v>16.51</v>
      </c>
      <c r="O351" t="n">
        <v>6.4</v>
      </c>
      <c r="P351" t="n">
        <v>26.08</v>
      </c>
      <c r="Q351" t="n">
        <v>17.07</v>
      </c>
      <c r="R351" t="n">
        <v>32.15</v>
      </c>
      <c r="S351" t="n">
        <v>82.73999999999999</v>
      </c>
      <c r="T351" t="n">
        <v>98.33</v>
      </c>
      <c r="U351" t="n">
        <v>19.8</v>
      </c>
      <c r="V351" t="inlineStr">
        <is>
          <t>Type I – Tropical Monsoon (PAGASA)</t>
        </is>
      </c>
      <c r="W351" t="inlineStr">
        <is>
          <t>Wet</t>
        </is>
      </c>
      <c r="X351" t="inlineStr">
        <is>
          <t>Wet</t>
        </is>
      </c>
      <c r="Y351" t="inlineStr">
        <is>
          <t>Sandy Loam</t>
        </is>
      </c>
      <c r="Z351" t="inlineStr">
        <is>
          <t>Flat / Lowland</t>
        </is>
      </c>
      <c r="AA351" t="n">
        <v>30</v>
      </c>
      <c r="AB351" t="inlineStr">
        <is>
          <t>Tagamusing River</t>
        </is>
      </c>
      <c r="AC351" t="n">
        <v>157.08</v>
      </c>
      <c r="AD351" t="n">
        <v>24.5</v>
      </c>
      <c r="AE351" t="n">
        <v>43.5</v>
      </c>
      <c r="AF351" t="n">
        <v>68</v>
      </c>
      <c r="AG351" t="inlineStr">
        <is>
          <t>Transplanting (Pindot) or Direct Seeding (Pinaghandaan)</t>
        </is>
      </c>
      <c r="AH351" t="inlineStr">
        <is>
          <t>Conventional Tillage: 2 plowings + 2 harrowings; soil workable when moist</t>
        </is>
      </c>
      <c r="AI351" t="inlineStr">
        <is>
          <t>Intermittent irrigation (Alternate Wetting and Drying — AWD); moderate retention</t>
        </is>
      </c>
      <c r="AJ351" t="n">
        <v>0.5</v>
      </c>
      <c r="AK351" t="n">
        <v>1.75</v>
      </c>
      <c r="AL351" t="n">
        <v>3.5</v>
      </c>
      <c r="AM351" t="inlineStr">
        <is>
          <t>No</t>
        </is>
      </c>
      <c r="AN351" t="inlineStr">
        <is>
          <t>Observed harvest</t>
        </is>
      </c>
    </row>
    <row r="352">
      <c r="A352" t="inlineStr">
        <is>
          <t>Palay</t>
        </is>
      </c>
      <c r="B352" t="inlineStr">
        <is>
          <t>Sumabnit</t>
        </is>
      </c>
      <c r="C352" t="inlineStr">
        <is>
          <t>WS 2018</t>
        </is>
      </c>
      <c r="D352" t="inlineStr">
        <is>
          <t>June</t>
        </is>
      </c>
      <c r="E352" t="inlineStr">
        <is>
          <t>2018</t>
        </is>
      </c>
      <c r="F352" t="inlineStr">
        <is>
          <t>October</t>
        </is>
      </c>
      <c r="G352" t="inlineStr">
        <is>
          <t>2018</t>
        </is>
      </c>
      <c r="H352" t="n">
        <v>18.3</v>
      </c>
      <c r="I352" t="n">
        <v>26.62</v>
      </c>
      <c r="J352" t="n">
        <v>22.61</v>
      </c>
      <c r="K352" t="n">
        <v>33.57</v>
      </c>
      <c r="L352" t="n">
        <v>86.8</v>
      </c>
      <c r="M352" t="n">
        <v>98.13</v>
      </c>
      <c r="N352" t="n">
        <v>16.51</v>
      </c>
      <c r="O352" t="n">
        <v>6.4</v>
      </c>
      <c r="P352" t="n">
        <v>26.08</v>
      </c>
      <c r="Q352" t="n">
        <v>17.07</v>
      </c>
      <c r="R352" t="n">
        <v>32.15</v>
      </c>
      <c r="S352" t="n">
        <v>82.73999999999999</v>
      </c>
      <c r="T352" t="n">
        <v>98.33</v>
      </c>
      <c r="U352" t="n">
        <v>19.8</v>
      </c>
      <c r="V352" t="inlineStr">
        <is>
          <t>Type I – Tropical Monsoon (PAGASA)</t>
        </is>
      </c>
      <c r="W352" t="inlineStr">
        <is>
          <t>Wet</t>
        </is>
      </c>
      <c r="X352" t="inlineStr">
        <is>
          <t>Wet</t>
        </is>
      </c>
      <c r="Y352" t="inlineStr">
        <is>
          <t>Silty Clay Loam / Fine Sandy Loam</t>
        </is>
      </c>
      <c r="Z352" t="inlineStr">
        <is>
          <t>Flat / Lowland</t>
        </is>
      </c>
      <c r="AA352" t="n">
        <v>30</v>
      </c>
      <c r="AB352" t="inlineStr">
        <is>
          <t>Tagamusing River</t>
        </is>
      </c>
      <c r="AC352" t="n">
        <v>406.56</v>
      </c>
      <c r="AD352" t="n">
        <v>133.3</v>
      </c>
      <c r="AE352" t="n">
        <v>123.7</v>
      </c>
      <c r="AF352" t="n">
        <v>257</v>
      </c>
      <c r="AG352" t="inlineStr">
        <is>
          <t>Transplanting (Pindot)</t>
        </is>
      </c>
      <c r="AH352" t="inlineStr">
        <is>
          <t>Minimum Tillage (avoid compaction; sandy structure fragile)</t>
        </is>
      </c>
      <c r="AI352" t="inlineStr">
        <is>
          <t>Continuous flooding or frequent irrigation; high percolation risk</t>
        </is>
      </c>
      <c r="AJ352" t="n">
        <v>2.91</v>
      </c>
      <c r="AK352" t="n">
        <v>5.99</v>
      </c>
      <c r="AL352" t="n">
        <v>2.06</v>
      </c>
      <c r="AM352" t="inlineStr">
        <is>
          <t>No</t>
        </is>
      </c>
      <c r="AN352" t="inlineStr">
        <is>
          <t>Observed harvest</t>
        </is>
      </c>
    </row>
    <row r="353">
      <c r="A353" t="inlineStr">
        <is>
          <t>Palay</t>
        </is>
      </c>
      <c r="B353" t="inlineStr">
        <is>
          <t>Tabuyoc</t>
        </is>
      </c>
      <c r="C353" t="inlineStr">
        <is>
          <t>WS 2018</t>
        </is>
      </c>
      <c r="D353" t="inlineStr">
        <is>
          <t>June</t>
        </is>
      </c>
      <c r="E353" t="inlineStr">
        <is>
          <t>2018</t>
        </is>
      </c>
      <c r="F353" t="inlineStr">
        <is>
          <t>October</t>
        </is>
      </c>
      <c r="G353" t="inlineStr">
        <is>
          <t>2018</t>
        </is>
      </c>
      <c r="H353" t="n">
        <v>18.3</v>
      </c>
      <c r="I353" t="n">
        <v>26.62</v>
      </c>
      <c r="J353" t="n">
        <v>22.61</v>
      </c>
      <c r="K353" t="n">
        <v>33.57</v>
      </c>
      <c r="L353" t="n">
        <v>86.8</v>
      </c>
      <c r="M353" t="n">
        <v>98.13</v>
      </c>
      <c r="N353" t="n">
        <v>16.51</v>
      </c>
      <c r="O353" t="n">
        <v>6.4</v>
      </c>
      <c r="P353" t="n">
        <v>26.08</v>
      </c>
      <c r="Q353" t="n">
        <v>17.07</v>
      </c>
      <c r="R353" t="n">
        <v>32.15</v>
      </c>
      <c r="S353" t="n">
        <v>82.73999999999999</v>
      </c>
      <c r="T353" t="n">
        <v>98.33</v>
      </c>
      <c r="U353" t="n">
        <v>19.8</v>
      </c>
      <c r="V353" t="inlineStr">
        <is>
          <t>Type I – Tropical Monsoon (PAGASA)</t>
        </is>
      </c>
      <c r="W353" t="inlineStr">
        <is>
          <t>Wet</t>
        </is>
      </c>
      <c r="X353" t="inlineStr">
        <is>
          <t>Wet</t>
        </is>
      </c>
      <c r="Y353" t="inlineStr">
        <is>
          <t>Silty Clay Loam</t>
        </is>
      </c>
      <c r="Z353" t="inlineStr">
        <is>
          <t>Flat / Lowland</t>
        </is>
      </c>
      <c r="AA353" t="n">
        <v>30</v>
      </c>
      <c r="AB353" t="inlineStr">
        <is>
          <t>—</t>
        </is>
      </c>
      <c r="AC353" t="n">
        <v>277.2</v>
      </c>
      <c r="AD353" t="n">
        <v>134</v>
      </c>
      <c r="AE353" t="n">
        <v>5</v>
      </c>
      <c r="AF353" t="n">
        <v>139</v>
      </c>
      <c r="AG353" t="inlineStr">
        <is>
          <t>Transplanting (Pindot) — optimal for clay-loam paddy fields</t>
        </is>
      </c>
      <c r="AH353" t="inlineStr">
        <is>
          <t>Wet Tillage (Puddling): 2 plowings + thorough harrowing under flooded condition</t>
        </is>
      </c>
      <c r="AI353" t="inlineStr">
        <is>
          <t>Continuous flooding 2–5 cm depth during vegetative stage; drain 2 weeks before harvest</t>
        </is>
      </c>
      <c r="AJ353" t="n">
        <v>4</v>
      </c>
      <c r="AK353" t="n">
        <v>11.46</v>
      </c>
      <c r="AL353" t="n">
        <v>2.86</v>
      </c>
      <c r="AM353" t="inlineStr">
        <is>
          <t>No</t>
        </is>
      </c>
      <c r="AN353" t="inlineStr">
        <is>
          <t>Observed harvest</t>
        </is>
      </c>
    </row>
    <row r="354">
      <c r="A354" t="inlineStr">
        <is>
          <t>Palay</t>
        </is>
      </c>
      <c r="B354" t="inlineStr">
        <is>
          <t>Vacante</t>
        </is>
      </c>
      <c r="C354" t="inlineStr">
        <is>
          <t>WS 2018</t>
        </is>
      </c>
      <c r="D354" t="inlineStr">
        <is>
          <t>June</t>
        </is>
      </c>
      <c r="E354" t="inlineStr">
        <is>
          <t>2018</t>
        </is>
      </c>
      <c r="F354" t="inlineStr">
        <is>
          <t>October</t>
        </is>
      </c>
      <c r="G354" t="inlineStr">
        <is>
          <t>2018</t>
        </is>
      </c>
      <c r="H354" t="n">
        <v>18.3</v>
      </c>
      <c r="I354" t="n">
        <v>26.62</v>
      </c>
      <c r="J354" t="n">
        <v>22.61</v>
      </c>
      <c r="K354" t="n">
        <v>33.57</v>
      </c>
      <c r="L354" t="n">
        <v>86.8</v>
      </c>
      <c r="M354" t="n">
        <v>98.13</v>
      </c>
      <c r="N354" t="n">
        <v>16.51</v>
      </c>
      <c r="O354" t="n">
        <v>6.4</v>
      </c>
      <c r="P354" t="n">
        <v>26.08</v>
      </c>
      <c r="Q354" t="n">
        <v>17.07</v>
      </c>
      <c r="R354" t="n">
        <v>32.15</v>
      </c>
      <c r="S354" t="n">
        <v>82.73999999999999</v>
      </c>
      <c r="T354" t="n">
        <v>98.33</v>
      </c>
      <c r="U354" t="n">
        <v>19.8</v>
      </c>
      <c r="V354" t="inlineStr">
        <is>
          <t>Type I – Tropical Monsoon (PAGASA)</t>
        </is>
      </c>
      <c r="W354" t="inlineStr">
        <is>
          <t>Wet</t>
        </is>
      </c>
      <c r="X354" t="inlineStr">
        <is>
          <t>Wet</t>
        </is>
      </c>
      <c r="Y354" t="inlineStr">
        <is>
          <t>Silty Clay Loam</t>
        </is>
      </c>
      <c r="Z354" t="inlineStr">
        <is>
          <t>Flat / Lowland</t>
        </is>
      </c>
      <c r="AA354" t="n">
        <v>30</v>
      </c>
      <c r="AB354" t="inlineStr">
        <is>
          <t>Aloragat River</t>
        </is>
      </c>
      <c r="AC354" t="n">
        <v>484.68</v>
      </c>
      <c r="AD354" t="n">
        <v>28</v>
      </c>
      <c r="AE354" t="n">
        <v>81</v>
      </c>
      <c r="AF354" t="n">
        <v>109</v>
      </c>
      <c r="AG354" t="inlineStr">
        <is>
          <t>Transplanting (Pindot) — optimal for clay-loam paddy fields</t>
        </is>
      </c>
      <c r="AH354" t="inlineStr">
        <is>
          <t>Wet Tillage (Puddling): 2 plowings + thorough harrowing under flooded condition</t>
        </is>
      </c>
      <c r="AI354" t="inlineStr">
        <is>
          <t>Continuous flooding 2–5 cm depth during vegetative stage; drain 2 weeks before harvest</t>
        </is>
      </c>
      <c r="AJ354" t="n">
        <v>2.53</v>
      </c>
      <c r="AK354" t="n">
        <v>5.13</v>
      </c>
      <c r="AL354" t="n">
        <v>2.03</v>
      </c>
      <c r="AM354" t="inlineStr">
        <is>
          <t>No</t>
        </is>
      </c>
      <c r="AN354" t="inlineStr">
        <is>
          <t>Observed harvest</t>
        </is>
      </c>
    </row>
    <row r="355">
      <c r="A355" t="inlineStr">
        <is>
          <t>Palay</t>
        </is>
      </c>
      <c r="B355" t="inlineStr">
        <is>
          <t>Balangobong</t>
        </is>
      </c>
      <c r="C355" t="inlineStr">
        <is>
          <t>WS 2019</t>
        </is>
      </c>
      <c r="D355" t="inlineStr">
        <is>
          <t>June</t>
        </is>
      </c>
      <c r="E355" t="inlineStr">
        <is>
          <t>2019</t>
        </is>
      </c>
      <c r="F355" t="inlineStr">
        <is>
          <t>October</t>
        </is>
      </c>
      <c r="G355" t="inlineStr">
        <is>
          <t>2019</t>
        </is>
      </c>
      <c r="H355" t="n">
        <v>11.27</v>
      </c>
      <c r="I355" t="n">
        <v>27.82</v>
      </c>
      <c r="J355" t="n">
        <v>23.17</v>
      </c>
      <c r="K355" t="n">
        <v>34.41</v>
      </c>
      <c r="L355" t="n">
        <v>81.95999999999999</v>
      </c>
      <c r="M355" t="n">
        <v>98.17</v>
      </c>
      <c r="N355" t="n">
        <v>20.34</v>
      </c>
      <c r="O355" t="n">
        <v>3.3</v>
      </c>
      <c r="P355" t="n">
        <v>26.5</v>
      </c>
      <c r="Q355" t="n">
        <v>21.07</v>
      </c>
      <c r="R355" t="n">
        <v>31.96</v>
      </c>
      <c r="S355" t="n">
        <v>82.27</v>
      </c>
      <c r="T355" t="n">
        <v>98.37</v>
      </c>
      <c r="U355" t="n">
        <v>20.07</v>
      </c>
      <c r="V355" t="inlineStr">
        <is>
          <t>Type I – Tropical Monsoon (PAGASA)</t>
        </is>
      </c>
      <c r="W355" t="inlineStr">
        <is>
          <t>Wet</t>
        </is>
      </c>
      <c r="X355" t="inlineStr">
        <is>
          <t>Wet</t>
        </is>
      </c>
      <c r="Y355" t="inlineStr">
        <is>
          <t>Silty Clay Loam</t>
        </is>
      </c>
      <c r="Z355" t="inlineStr">
        <is>
          <t>Flat / Lowland</t>
        </is>
      </c>
      <c r="AA355" t="n">
        <v>30</v>
      </c>
      <c r="AB355" t="inlineStr">
        <is>
          <t>—</t>
        </is>
      </c>
      <c r="AC355" t="n">
        <v>281.4</v>
      </c>
      <c r="AD355" t="n">
        <v>120</v>
      </c>
      <c r="AE355" t="n">
        <v>15</v>
      </c>
      <c r="AF355" t="n">
        <v>135</v>
      </c>
      <c r="AG355" t="inlineStr">
        <is>
          <t>Transplanting (Pindot) — optimal for clay-loam paddy fields</t>
        </is>
      </c>
      <c r="AH355" t="inlineStr">
        <is>
          <t>Wet Tillage (Puddling): 2 plowings + thorough harrowing under flooded condition</t>
        </is>
      </c>
      <c r="AI355" t="inlineStr">
        <is>
          <t>Continuous flooding 2–5 cm depth during vegetative stage; drain 2 weeks before harvest</t>
        </is>
      </c>
      <c r="AJ355" t="n">
        <v>4.88</v>
      </c>
      <c r="AK355" t="n">
        <v>23.65</v>
      </c>
      <c r="AL355" t="n">
        <v>4.84</v>
      </c>
      <c r="AM355" t="inlineStr">
        <is>
          <t>No</t>
        </is>
      </c>
      <c r="AN355" t="inlineStr">
        <is>
          <t>Observed harvest</t>
        </is>
      </c>
    </row>
    <row r="356">
      <c r="A356" t="inlineStr">
        <is>
          <t>Palay</t>
        </is>
      </c>
      <c r="B356" t="inlineStr">
        <is>
          <t>Bued</t>
        </is>
      </c>
      <c r="C356" t="inlineStr">
        <is>
          <t>WS 2019</t>
        </is>
      </c>
      <c r="D356" t="inlineStr">
        <is>
          <t>June</t>
        </is>
      </c>
      <c r="E356" t="inlineStr">
        <is>
          <t>2019</t>
        </is>
      </c>
      <c r="F356" t="inlineStr">
        <is>
          <t>October</t>
        </is>
      </c>
      <c r="G356" t="inlineStr">
        <is>
          <t>2019</t>
        </is>
      </c>
      <c r="H356" t="n">
        <v>11.27</v>
      </c>
      <c r="I356" t="n">
        <v>27.82</v>
      </c>
      <c r="J356" t="n">
        <v>23.17</v>
      </c>
      <c r="K356" t="n">
        <v>34.41</v>
      </c>
      <c r="L356" t="n">
        <v>81.95999999999999</v>
      </c>
      <c r="M356" t="n">
        <v>98.17</v>
      </c>
      <c r="N356" t="n">
        <v>20.34</v>
      </c>
      <c r="O356" t="n">
        <v>3.3</v>
      </c>
      <c r="P356" t="n">
        <v>26.5</v>
      </c>
      <c r="Q356" t="n">
        <v>21.07</v>
      </c>
      <c r="R356" t="n">
        <v>31.96</v>
      </c>
      <c r="S356" t="n">
        <v>82.27</v>
      </c>
      <c r="T356" t="n">
        <v>98.37</v>
      </c>
      <c r="U356" t="n">
        <v>20.07</v>
      </c>
      <c r="V356" t="inlineStr">
        <is>
          <t>Type I – Tropical Monsoon (PAGASA)</t>
        </is>
      </c>
      <c r="W356" t="inlineStr">
        <is>
          <t>Wet</t>
        </is>
      </c>
      <c r="X356" t="inlineStr">
        <is>
          <t>Wet</t>
        </is>
      </c>
      <c r="Y356" t="inlineStr">
        <is>
          <t>Silty Clay Loam</t>
        </is>
      </c>
      <c r="Z356" t="inlineStr">
        <is>
          <t>Flat / Lowland</t>
        </is>
      </c>
      <c r="AA356" t="n">
        <v>30</v>
      </c>
      <c r="AB356" t="inlineStr">
        <is>
          <t>Tagamusing River</t>
        </is>
      </c>
      <c r="AC356" t="n">
        <v>210.84</v>
      </c>
      <c r="AD356" t="n">
        <v>56.5</v>
      </c>
      <c r="AE356" t="n">
        <v>37.5</v>
      </c>
      <c r="AF356" t="n">
        <v>94</v>
      </c>
      <c r="AG356" t="inlineStr">
        <is>
          <t>Transplanting (Pindot) — optimal for clay-loam paddy fields</t>
        </is>
      </c>
      <c r="AH356" t="inlineStr">
        <is>
          <t>Wet Tillage (Puddling): 2 plowings + thorough harrowing under flooded condition</t>
        </is>
      </c>
      <c r="AI356" t="inlineStr">
        <is>
          <t>Continuous flooding 2–5 cm depth during vegetative stage; drain 2 weeks before harvest</t>
        </is>
      </c>
      <c r="AJ356" t="n">
        <v>46.57</v>
      </c>
      <c r="AK356" t="n">
        <v>172.96</v>
      </c>
      <c r="AL356" t="n">
        <v>3.71</v>
      </c>
      <c r="AM356" t="inlineStr">
        <is>
          <t>No</t>
        </is>
      </c>
      <c r="AN356" t="inlineStr">
        <is>
          <t>Observed harvest</t>
        </is>
      </c>
    </row>
    <row r="357">
      <c r="A357" t="inlineStr">
        <is>
          <t>Palay</t>
        </is>
      </c>
      <c r="B357" t="inlineStr">
        <is>
          <t>Bugayong</t>
        </is>
      </c>
      <c r="C357" t="inlineStr">
        <is>
          <t>WS 2019</t>
        </is>
      </c>
      <c r="D357" t="inlineStr">
        <is>
          <t>June</t>
        </is>
      </c>
      <c r="E357" t="inlineStr">
        <is>
          <t>2019</t>
        </is>
      </c>
      <c r="F357" t="inlineStr">
        <is>
          <t>October</t>
        </is>
      </c>
      <c r="G357" t="inlineStr">
        <is>
          <t>2019</t>
        </is>
      </c>
      <c r="H357" t="n">
        <v>11.27</v>
      </c>
      <c r="I357" t="n">
        <v>27.82</v>
      </c>
      <c r="J357" t="n">
        <v>23.17</v>
      </c>
      <c r="K357" t="n">
        <v>34.41</v>
      </c>
      <c r="L357" t="n">
        <v>81.95999999999999</v>
      </c>
      <c r="M357" t="n">
        <v>98.17</v>
      </c>
      <c r="N357" t="n">
        <v>20.34</v>
      </c>
      <c r="O357" t="n">
        <v>3.3</v>
      </c>
      <c r="P357" t="n">
        <v>26.5</v>
      </c>
      <c r="Q357" t="n">
        <v>21.07</v>
      </c>
      <c r="R357" t="n">
        <v>31.96</v>
      </c>
      <c r="S357" t="n">
        <v>82.27</v>
      </c>
      <c r="T357" t="n">
        <v>98.37</v>
      </c>
      <c r="U357" t="n">
        <v>20.07</v>
      </c>
      <c r="V357" t="inlineStr">
        <is>
          <t>Type I – Tropical Monsoon (PAGASA)</t>
        </is>
      </c>
      <c r="W357" t="inlineStr">
        <is>
          <t>Wet</t>
        </is>
      </c>
      <c r="X357" t="inlineStr">
        <is>
          <t>Wet</t>
        </is>
      </c>
      <c r="Y357" t="inlineStr">
        <is>
          <t>Sandy Loam / Silty Clay Loam</t>
        </is>
      </c>
      <c r="Z357" t="inlineStr">
        <is>
          <t>Flat / Lowland</t>
        </is>
      </c>
      <c r="AA357" t="n">
        <v>30</v>
      </c>
      <c r="AB357" t="inlineStr">
        <is>
          <t>Aloragat River</t>
        </is>
      </c>
      <c r="AC357" t="n">
        <v>346.08</v>
      </c>
      <c r="AD357" t="n">
        <v>25.95</v>
      </c>
      <c r="AE357" t="n">
        <v>52.05</v>
      </c>
      <c r="AF357" t="n">
        <v>78</v>
      </c>
      <c r="AG357" t="inlineStr">
        <is>
          <t>Transplanting (Pindot) — recommended; Direct Seeding possible in dry season</t>
        </is>
      </c>
      <c r="AH357" t="inlineStr">
        <is>
          <t>Conventional Tillage: 2 plowings + harrowing; puddle thoroughly for transplanting</t>
        </is>
      </c>
      <c r="AI357" t="inlineStr">
        <is>
          <t>Intermittent to continuous flooding; manage according to drainage section present</t>
        </is>
      </c>
      <c r="AJ357" t="n">
        <v>44.48</v>
      </c>
      <c r="AK357" t="n">
        <v>306.15</v>
      </c>
      <c r="AL357" t="n">
        <v>6.88</v>
      </c>
      <c r="AM357" t="inlineStr">
        <is>
          <t>No</t>
        </is>
      </c>
      <c r="AN357" t="inlineStr">
        <is>
          <t>Observed harvest</t>
        </is>
      </c>
    </row>
    <row r="358">
      <c r="A358" t="inlineStr">
        <is>
          <t>Palay</t>
        </is>
      </c>
      <c r="B358" t="inlineStr">
        <is>
          <t>Camanggaan</t>
        </is>
      </c>
      <c r="C358" t="inlineStr">
        <is>
          <t>WS 2019</t>
        </is>
      </c>
      <c r="D358" t="inlineStr">
        <is>
          <t>June</t>
        </is>
      </c>
      <c r="E358" t="inlineStr">
        <is>
          <t>2019</t>
        </is>
      </c>
      <c r="F358" t="inlineStr">
        <is>
          <t>October</t>
        </is>
      </c>
      <c r="G358" t="inlineStr">
        <is>
          <t>2019</t>
        </is>
      </c>
      <c r="H358" t="n">
        <v>11.27</v>
      </c>
      <c r="I358" t="n">
        <v>27.82</v>
      </c>
      <c r="J358" t="n">
        <v>23.17</v>
      </c>
      <c r="K358" t="n">
        <v>34.41</v>
      </c>
      <c r="L358" t="n">
        <v>81.95999999999999</v>
      </c>
      <c r="M358" t="n">
        <v>98.17</v>
      </c>
      <c r="N358" t="n">
        <v>20.34</v>
      </c>
      <c r="O358" t="n">
        <v>3.3</v>
      </c>
      <c r="P358" t="n">
        <v>26.5</v>
      </c>
      <c r="Q358" t="n">
        <v>21.07</v>
      </c>
      <c r="R358" t="n">
        <v>31.96</v>
      </c>
      <c r="S358" t="n">
        <v>82.27</v>
      </c>
      <c r="T358" t="n">
        <v>98.37</v>
      </c>
      <c r="U358" t="n">
        <v>20.07</v>
      </c>
      <c r="V358" t="inlineStr">
        <is>
          <t>Type I – Tropical Monsoon (PAGASA)</t>
        </is>
      </c>
      <c r="W358" t="inlineStr">
        <is>
          <t>Wet</t>
        </is>
      </c>
      <c r="X358" t="inlineStr">
        <is>
          <t>Wet</t>
        </is>
      </c>
      <c r="Y358" t="inlineStr">
        <is>
          <t>Sandy Loam</t>
        </is>
      </c>
      <c r="Z358" t="inlineStr">
        <is>
          <t>Flat / Lowland</t>
        </is>
      </c>
      <c r="AA358" t="n">
        <v>30</v>
      </c>
      <c r="AB358" t="inlineStr">
        <is>
          <t>—</t>
        </is>
      </c>
      <c r="AC358" t="n">
        <v>244.44</v>
      </c>
      <c r="AD358" t="n">
        <v>19</v>
      </c>
      <c r="AE358" t="n">
        <v>68</v>
      </c>
      <c r="AF358" t="n">
        <v>87</v>
      </c>
      <c r="AG358" t="inlineStr">
        <is>
          <t>Transplanting (Pindot) or Direct Seeding (Pinaghandaan)</t>
        </is>
      </c>
      <c r="AH358" t="inlineStr">
        <is>
          <t>Conventional Tillage: 2 plowings + 2 harrowings; soil workable when moist</t>
        </is>
      </c>
      <c r="AI358" t="inlineStr">
        <is>
          <t>Intermittent irrigation (Alternate Wetting and Drying — AWD); moderate retention</t>
        </is>
      </c>
      <c r="AJ358" t="n">
        <v>3.02</v>
      </c>
      <c r="AK358" t="n">
        <v>17.18</v>
      </c>
      <c r="AL358" t="n">
        <v>5.69</v>
      </c>
      <c r="AM358" t="inlineStr">
        <is>
          <t>No</t>
        </is>
      </c>
      <c r="AN358" t="inlineStr">
        <is>
          <t>Observed harvest</t>
        </is>
      </c>
    </row>
    <row r="359">
      <c r="A359" t="inlineStr">
        <is>
          <t>Palay</t>
        </is>
      </c>
      <c r="B359" t="inlineStr">
        <is>
          <t>Capas</t>
        </is>
      </c>
      <c r="C359" t="inlineStr">
        <is>
          <t>WS 2019</t>
        </is>
      </c>
      <c r="D359" t="inlineStr">
        <is>
          <t>June</t>
        </is>
      </c>
      <c r="E359" t="inlineStr">
        <is>
          <t>2019</t>
        </is>
      </c>
      <c r="F359" t="inlineStr">
        <is>
          <t>October</t>
        </is>
      </c>
      <c r="G359" t="inlineStr">
        <is>
          <t>2019</t>
        </is>
      </c>
      <c r="H359" t="n">
        <v>11.27</v>
      </c>
      <c r="I359" t="n">
        <v>27.82</v>
      </c>
      <c r="J359" t="n">
        <v>23.17</v>
      </c>
      <c r="K359" t="n">
        <v>34.41</v>
      </c>
      <c r="L359" t="n">
        <v>81.95999999999999</v>
      </c>
      <c r="M359" t="n">
        <v>98.17</v>
      </c>
      <c r="N359" t="n">
        <v>20.34</v>
      </c>
      <c r="O359" t="n">
        <v>3.3</v>
      </c>
      <c r="P359" t="n">
        <v>26.5</v>
      </c>
      <c r="Q359" t="n">
        <v>21.07</v>
      </c>
      <c r="R359" t="n">
        <v>31.96</v>
      </c>
      <c r="S359" t="n">
        <v>82.27</v>
      </c>
      <c r="T359" t="n">
        <v>98.37</v>
      </c>
      <c r="U359" t="n">
        <v>20.07</v>
      </c>
      <c r="V359" t="inlineStr">
        <is>
          <t>Type I – Tropical Monsoon (PAGASA)</t>
        </is>
      </c>
      <c r="W359" t="inlineStr">
        <is>
          <t>Wet</t>
        </is>
      </c>
      <c r="X359" t="inlineStr">
        <is>
          <t>Wet</t>
        </is>
      </c>
      <c r="Y359" t="inlineStr">
        <is>
          <t>Sandy Loam</t>
        </is>
      </c>
      <c r="Z359" t="inlineStr">
        <is>
          <t>Flat / Lowland</t>
        </is>
      </c>
      <c r="AA359" t="n">
        <v>30</v>
      </c>
      <c r="AB359" t="inlineStr">
        <is>
          <t>—</t>
        </is>
      </c>
      <c r="AC359" t="n">
        <v>377.16</v>
      </c>
      <c r="AD359" t="n">
        <v>139</v>
      </c>
      <c r="AE359" t="n">
        <v>164</v>
      </c>
      <c r="AF359" t="n">
        <v>303</v>
      </c>
      <c r="AG359" t="inlineStr">
        <is>
          <t>Transplanting (Pindot) or Direct Seeding (Pinaghandaan)</t>
        </is>
      </c>
      <c r="AH359" t="inlineStr">
        <is>
          <t>Conventional Tillage: 2 plowings + 2 harrowings; soil workable when moist</t>
        </is>
      </c>
      <c r="AI359" t="inlineStr">
        <is>
          <t>Intermittent irrigation (Alternate Wetting and Drying — AWD); moderate retention</t>
        </is>
      </c>
      <c r="AJ359" t="n">
        <v>3.49</v>
      </c>
      <c r="AK359" t="n">
        <v>27.92</v>
      </c>
      <c r="AL359" t="n">
        <v>8</v>
      </c>
      <c r="AM359" t="inlineStr">
        <is>
          <t>No</t>
        </is>
      </c>
      <c r="AN359" t="inlineStr">
        <is>
          <t>Observed harvest</t>
        </is>
      </c>
    </row>
    <row r="360">
      <c r="A360" t="inlineStr">
        <is>
          <t>Palay</t>
        </is>
      </c>
      <c r="B360" t="inlineStr">
        <is>
          <t>Cili</t>
        </is>
      </c>
      <c r="C360" t="inlineStr">
        <is>
          <t>WS 2019</t>
        </is>
      </c>
      <c r="D360" t="inlineStr">
        <is>
          <t>June</t>
        </is>
      </c>
      <c r="E360" t="inlineStr">
        <is>
          <t>2019</t>
        </is>
      </c>
      <c r="F360" t="inlineStr">
        <is>
          <t>October</t>
        </is>
      </c>
      <c r="G360" t="inlineStr">
        <is>
          <t>2019</t>
        </is>
      </c>
      <c r="H360" t="n">
        <v>11.27</v>
      </c>
      <c r="I360" t="n">
        <v>27.82</v>
      </c>
      <c r="J360" t="n">
        <v>23.17</v>
      </c>
      <c r="K360" t="n">
        <v>34.41</v>
      </c>
      <c r="L360" t="n">
        <v>81.95999999999999</v>
      </c>
      <c r="M360" t="n">
        <v>98.17</v>
      </c>
      <c r="N360" t="n">
        <v>20.34</v>
      </c>
      <c r="O360" t="n">
        <v>3.3</v>
      </c>
      <c r="P360" t="n">
        <v>26.5</v>
      </c>
      <c r="Q360" t="n">
        <v>21.07</v>
      </c>
      <c r="R360" t="n">
        <v>31.96</v>
      </c>
      <c r="S360" t="n">
        <v>82.27</v>
      </c>
      <c r="T360" t="n">
        <v>98.37</v>
      </c>
      <c r="U360" t="n">
        <v>20.07</v>
      </c>
      <c r="V360" t="inlineStr">
        <is>
          <t>Type I – Tropical Monsoon (PAGASA)</t>
        </is>
      </c>
      <c r="W360" t="inlineStr">
        <is>
          <t>Wet</t>
        </is>
      </c>
      <c r="X360" t="inlineStr">
        <is>
          <t>Wet</t>
        </is>
      </c>
      <c r="Y360" t="inlineStr">
        <is>
          <t>Silty Clay Loam</t>
        </is>
      </c>
      <c r="Z360" t="inlineStr">
        <is>
          <t>Flat / Lowland</t>
        </is>
      </c>
      <c r="AA360" t="n">
        <v>30</v>
      </c>
      <c r="AB360" t="inlineStr">
        <is>
          <t>Alibeng River</t>
        </is>
      </c>
      <c r="AC360" t="n">
        <v>264.6</v>
      </c>
      <c r="AD360" t="n">
        <v>40</v>
      </c>
      <c r="AE360" t="n">
        <v>128</v>
      </c>
      <c r="AF360" t="n">
        <v>168</v>
      </c>
      <c r="AG360" t="inlineStr">
        <is>
          <t>Transplanting (Pindot) — optimal for clay-loam paddy fields</t>
        </is>
      </c>
      <c r="AH360" t="inlineStr">
        <is>
          <t>Wet Tillage (Puddling): 2 plowings + thorough harrowing under flooded condition</t>
        </is>
      </c>
      <c r="AI360" t="inlineStr">
        <is>
          <t>Continuous flooding 2–5 cm depth during vegetative stage; drain 2 weeks before harvest</t>
        </is>
      </c>
      <c r="AJ360" t="n">
        <v>33.1</v>
      </c>
      <c r="AK360" t="n">
        <v>13.5</v>
      </c>
      <c r="AL360" t="n">
        <v>0.41</v>
      </c>
      <c r="AM360" t="inlineStr">
        <is>
          <t>No</t>
        </is>
      </c>
      <c r="AN360" t="inlineStr">
        <is>
          <t>Observed harvest</t>
        </is>
      </c>
    </row>
    <row r="361">
      <c r="A361" t="inlineStr">
        <is>
          <t>Palay</t>
        </is>
      </c>
      <c r="B361" t="inlineStr">
        <is>
          <t>Dumayat</t>
        </is>
      </c>
      <c r="C361" t="inlineStr">
        <is>
          <t>WS 2019</t>
        </is>
      </c>
      <c r="D361" t="inlineStr">
        <is>
          <t>June</t>
        </is>
      </c>
      <c r="E361" t="inlineStr">
        <is>
          <t>2019</t>
        </is>
      </c>
      <c r="F361" t="inlineStr">
        <is>
          <t>October</t>
        </is>
      </c>
      <c r="G361" t="inlineStr">
        <is>
          <t>2019</t>
        </is>
      </c>
      <c r="H361" t="n">
        <v>11.27</v>
      </c>
      <c r="I361" t="n">
        <v>27.82</v>
      </c>
      <c r="J361" t="n">
        <v>23.17</v>
      </c>
      <c r="K361" t="n">
        <v>34.41</v>
      </c>
      <c r="L361" t="n">
        <v>81.95999999999999</v>
      </c>
      <c r="M361" t="n">
        <v>98.17</v>
      </c>
      <c r="N361" t="n">
        <v>20.34</v>
      </c>
      <c r="O361" t="n">
        <v>3.3</v>
      </c>
      <c r="P361" t="n">
        <v>26.5</v>
      </c>
      <c r="Q361" t="n">
        <v>21.07</v>
      </c>
      <c r="R361" t="n">
        <v>31.96</v>
      </c>
      <c r="S361" t="n">
        <v>82.27</v>
      </c>
      <c r="T361" t="n">
        <v>98.37</v>
      </c>
      <c r="U361" t="n">
        <v>20.07</v>
      </c>
      <c r="V361" t="inlineStr">
        <is>
          <t>Type I – Tropical Monsoon (PAGASA)</t>
        </is>
      </c>
      <c r="W361" t="inlineStr">
        <is>
          <t>Wet</t>
        </is>
      </c>
      <c r="X361" t="inlineStr">
        <is>
          <t>Wet</t>
        </is>
      </c>
      <c r="Y361" t="inlineStr">
        <is>
          <t>Silty Clay Loam</t>
        </is>
      </c>
      <c r="Z361" t="inlineStr">
        <is>
          <t>Flat / Lowland</t>
        </is>
      </c>
      <c r="AA361" t="n">
        <v>30</v>
      </c>
      <c r="AB361" t="inlineStr">
        <is>
          <t>—</t>
        </is>
      </c>
      <c r="AC361" t="n">
        <v>266.28</v>
      </c>
      <c r="AD361" t="n">
        <v>56</v>
      </c>
      <c r="AE361" t="n">
        <v>30</v>
      </c>
      <c r="AF361" t="n">
        <v>86</v>
      </c>
      <c r="AG361" t="inlineStr">
        <is>
          <t>Transplanting (Pindot) — optimal for clay-loam paddy fields</t>
        </is>
      </c>
      <c r="AH361" t="inlineStr">
        <is>
          <t>Wet Tillage (Puddling): 2 plowings + thorough harrowing under flooded condition</t>
        </is>
      </c>
      <c r="AI361" t="inlineStr">
        <is>
          <t>Continuous flooding 2–5 cm depth during vegetative stage; drain 2 weeks before harvest</t>
        </is>
      </c>
      <c r="AJ361" t="n">
        <v>18.8</v>
      </c>
      <c r="AK361" t="n">
        <v>13.5</v>
      </c>
      <c r="AL361" t="n">
        <v>0.72</v>
      </c>
      <c r="AM361" t="inlineStr">
        <is>
          <t>No</t>
        </is>
      </c>
      <c r="AN361" t="inlineStr">
        <is>
          <t>Observed harvest</t>
        </is>
      </c>
    </row>
    <row r="362">
      <c r="A362" t="inlineStr">
        <is>
          <t>Palay</t>
        </is>
      </c>
      <c r="B362" t="inlineStr">
        <is>
          <t>Linmansangan</t>
        </is>
      </c>
      <c r="C362" t="inlineStr">
        <is>
          <t>WS 2019</t>
        </is>
      </c>
      <c r="D362" t="inlineStr">
        <is>
          <t>June</t>
        </is>
      </c>
      <c r="E362" t="inlineStr">
        <is>
          <t>2019</t>
        </is>
      </c>
      <c r="F362" t="inlineStr">
        <is>
          <t>October</t>
        </is>
      </c>
      <c r="G362" t="inlineStr">
        <is>
          <t>2019</t>
        </is>
      </c>
      <c r="H362" t="n">
        <v>11.27</v>
      </c>
      <c r="I362" t="n">
        <v>27.82</v>
      </c>
      <c r="J362" t="n">
        <v>23.17</v>
      </c>
      <c r="K362" t="n">
        <v>34.41</v>
      </c>
      <c r="L362" t="n">
        <v>81.95999999999999</v>
      </c>
      <c r="M362" t="n">
        <v>98.17</v>
      </c>
      <c r="N362" t="n">
        <v>20.34</v>
      </c>
      <c r="O362" t="n">
        <v>3.3</v>
      </c>
      <c r="P362" t="n">
        <v>26.5</v>
      </c>
      <c r="Q362" t="n">
        <v>21.07</v>
      </c>
      <c r="R362" t="n">
        <v>31.96</v>
      </c>
      <c r="S362" t="n">
        <v>82.27</v>
      </c>
      <c r="T362" t="n">
        <v>98.37</v>
      </c>
      <c r="U362" t="n">
        <v>20.07</v>
      </c>
      <c r="V362" t="inlineStr">
        <is>
          <t>Type I – Tropical Monsoon (PAGASA)</t>
        </is>
      </c>
      <c r="W362" t="inlineStr">
        <is>
          <t>Wet</t>
        </is>
      </c>
      <c r="X362" t="inlineStr">
        <is>
          <t>Wet</t>
        </is>
      </c>
      <c r="Y362" t="inlineStr">
        <is>
          <t>Silty Clay Loam</t>
        </is>
      </c>
      <c r="Z362" t="inlineStr">
        <is>
          <t>Flat / Lowland</t>
        </is>
      </c>
      <c r="AA362" t="n">
        <v>30</v>
      </c>
      <c r="AB362" t="inlineStr">
        <is>
          <t>—</t>
        </is>
      </c>
      <c r="AC362" t="n">
        <v>492.24</v>
      </c>
      <c r="AD362" t="n">
        <v>65.5</v>
      </c>
      <c r="AE362" t="n">
        <v>146</v>
      </c>
      <c r="AF362" t="n">
        <v>211.5</v>
      </c>
      <c r="AG362" t="inlineStr">
        <is>
          <t>Transplanting (Pindot) — optimal for clay-loam paddy fields</t>
        </is>
      </c>
      <c r="AH362" t="inlineStr">
        <is>
          <t>Wet Tillage (Puddling): 2 plowings + thorough harrowing under flooded condition</t>
        </is>
      </c>
      <c r="AI362" t="inlineStr">
        <is>
          <t>Continuous flooding 2–5 cm depth during vegetative stage; drain 2 weeks before harvest</t>
        </is>
      </c>
      <c r="AJ362" t="n">
        <v>67.18000000000001</v>
      </c>
      <c r="AK362" t="n">
        <v>97.11</v>
      </c>
      <c r="AL362" t="n">
        <v>1.45</v>
      </c>
      <c r="AM362" t="inlineStr">
        <is>
          <t>No</t>
        </is>
      </c>
      <c r="AN362" t="inlineStr">
        <is>
          <t>Observed harvest</t>
        </is>
      </c>
    </row>
    <row r="363">
      <c r="A363" t="inlineStr">
        <is>
          <t>Palay</t>
        </is>
      </c>
      <c r="B363" t="inlineStr">
        <is>
          <t>Mangkasuy</t>
        </is>
      </c>
      <c r="C363" t="inlineStr">
        <is>
          <t>WS 2019</t>
        </is>
      </c>
      <c r="D363" t="inlineStr">
        <is>
          <t>June</t>
        </is>
      </c>
      <c r="E363" t="inlineStr">
        <is>
          <t>2019</t>
        </is>
      </c>
      <c r="F363" t="inlineStr">
        <is>
          <t>October</t>
        </is>
      </c>
      <c r="G363" t="inlineStr">
        <is>
          <t>2019</t>
        </is>
      </c>
      <c r="H363" t="n">
        <v>11.27</v>
      </c>
      <c r="I363" t="n">
        <v>27.82</v>
      </c>
      <c r="J363" t="n">
        <v>23.17</v>
      </c>
      <c r="K363" t="n">
        <v>34.41</v>
      </c>
      <c r="L363" t="n">
        <v>81.95999999999999</v>
      </c>
      <c r="M363" t="n">
        <v>98.17</v>
      </c>
      <c r="N363" t="n">
        <v>20.34</v>
      </c>
      <c r="O363" t="n">
        <v>3.3</v>
      </c>
      <c r="P363" t="n">
        <v>26.5</v>
      </c>
      <c r="Q363" t="n">
        <v>21.07</v>
      </c>
      <c r="R363" t="n">
        <v>31.96</v>
      </c>
      <c r="S363" t="n">
        <v>82.27</v>
      </c>
      <c r="T363" t="n">
        <v>98.37</v>
      </c>
      <c r="U363" t="n">
        <v>20.07</v>
      </c>
      <c r="V363" t="inlineStr">
        <is>
          <t>Type I – Tropical Monsoon (PAGASA)</t>
        </is>
      </c>
      <c r="W363" t="inlineStr">
        <is>
          <t>Wet</t>
        </is>
      </c>
      <c r="X363" t="inlineStr">
        <is>
          <t>Wet</t>
        </is>
      </c>
      <c r="Y363" t="inlineStr">
        <is>
          <t>Sandy Loam</t>
        </is>
      </c>
      <c r="Z363" t="inlineStr">
        <is>
          <t>Flat / Lowland</t>
        </is>
      </c>
      <c r="AA363" t="n">
        <v>30</v>
      </c>
      <c r="AB363" t="inlineStr">
        <is>
          <t>Tagamusing River</t>
        </is>
      </c>
      <c r="AC363" t="n">
        <v>802.2</v>
      </c>
      <c r="AD363" t="n">
        <v>90</v>
      </c>
      <c r="AE363" t="n">
        <v>262</v>
      </c>
      <c r="AF363" t="n">
        <v>352</v>
      </c>
      <c r="AG363" t="inlineStr">
        <is>
          <t>Transplanting (Pindot) or Direct Seeding (Pinaghandaan)</t>
        </is>
      </c>
      <c r="AH363" t="inlineStr">
        <is>
          <t>Conventional Tillage: 2 plowings + 2 harrowings; soil workable when moist</t>
        </is>
      </c>
      <c r="AI363" t="inlineStr">
        <is>
          <t>Intermittent irrigation (Alternate Wetting and Drying — AWD); moderate retention</t>
        </is>
      </c>
      <c r="AJ363" t="n">
        <v>13.55</v>
      </c>
      <c r="AK363" t="n">
        <v>23.42</v>
      </c>
      <c r="AL363" t="n">
        <v>1.73</v>
      </c>
      <c r="AM363" t="inlineStr">
        <is>
          <t>No</t>
        </is>
      </c>
      <c r="AN363" t="inlineStr">
        <is>
          <t>Observed harvest</t>
        </is>
      </c>
    </row>
    <row r="364">
      <c r="A364" t="inlineStr">
        <is>
          <t>Palay</t>
        </is>
      </c>
      <c r="B364" t="inlineStr">
        <is>
          <t>Moreno</t>
        </is>
      </c>
      <c r="C364" t="inlineStr">
        <is>
          <t>WS 2019</t>
        </is>
      </c>
      <c r="D364" t="inlineStr">
        <is>
          <t>June</t>
        </is>
      </c>
      <c r="E364" t="inlineStr">
        <is>
          <t>2019</t>
        </is>
      </c>
      <c r="F364" t="inlineStr">
        <is>
          <t>October</t>
        </is>
      </c>
      <c r="G364" t="inlineStr">
        <is>
          <t>2019</t>
        </is>
      </c>
      <c r="H364" t="n">
        <v>11.27</v>
      </c>
      <c r="I364" t="n">
        <v>27.82</v>
      </c>
      <c r="J364" t="n">
        <v>23.17</v>
      </c>
      <c r="K364" t="n">
        <v>34.41</v>
      </c>
      <c r="L364" t="n">
        <v>81.95999999999999</v>
      </c>
      <c r="M364" t="n">
        <v>98.17</v>
      </c>
      <c r="N364" t="n">
        <v>20.34</v>
      </c>
      <c r="O364" t="n">
        <v>3.3</v>
      </c>
      <c r="P364" t="n">
        <v>26.5</v>
      </c>
      <c r="Q364" t="n">
        <v>21.07</v>
      </c>
      <c r="R364" t="n">
        <v>31.96</v>
      </c>
      <c r="S364" t="n">
        <v>82.27</v>
      </c>
      <c r="T364" t="n">
        <v>98.37</v>
      </c>
      <c r="U364" t="n">
        <v>20.07</v>
      </c>
      <c r="V364" t="inlineStr">
        <is>
          <t>Type I – Tropical Monsoon (PAGASA)</t>
        </is>
      </c>
      <c r="W364" t="inlineStr">
        <is>
          <t>Wet</t>
        </is>
      </c>
      <c r="X364" t="inlineStr">
        <is>
          <t>Wet</t>
        </is>
      </c>
      <c r="Y364" t="inlineStr">
        <is>
          <t>Sandy Loam</t>
        </is>
      </c>
      <c r="Z364" t="inlineStr">
        <is>
          <t>Moderately Sloping / Highland</t>
        </is>
      </c>
      <c r="AA364" t="n">
        <v>90</v>
      </c>
      <c r="AB364" t="inlineStr">
        <is>
          <t>Alibeng River</t>
        </is>
      </c>
      <c r="AC364" t="n">
        <v>641.76</v>
      </c>
      <c r="AD364" t="n">
        <v>47.4</v>
      </c>
      <c r="AE364" t="n">
        <v>116.6</v>
      </c>
      <c r="AF364" t="n">
        <v>164</v>
      </c>
      <c r="AG364" t="inlineStr">
        <is>
          <t>Transplanting (Pindot) or Direct Seeding (Pinaghandaan)</t>
        </is>
      </c>
      <c r="AH364" t="inlineStr">
        <is>
          <t>Conventional Tillage: 2 plowings + 2 harrowings; soil workable when moist</t>
        </is>
      </c>
      <c r="AI364" t="inlineStr">
        <is>
          <t>Intermittent irrigation (Alternate Wetting and Drying — AWD); moderate retention; terrace or bund-assisted water retention essential on slopes</t>
        </is>
      </c>
      <c r="AJ364" t="n">
        <v>27.65</v>
      </c>
      <c r="AK364" t="n">
        <v>116.86</v>
      </c>
      <c r="AL364" t="n">
        <v>4.23</v>
      </c>
      <c r="AM364" t="inlineStr">
        <is>
          <t>No</t>
        </is>
      </c>
      <c r="AN364" t="inlineStr">
        <is>
          <t>Observed harvest</t>
        </is>
      </c>
    </row>
    <row r="365">
      <c r="A365" t="inlineStr">
        <is>
          <t>Palay</t>
        </is>
      </c>
      <c r="B365" t="inlineStr">
        <is>
          <t>Pasileng Norte</t>
        </is>
      </c>
      <c r="C365" t="inlineStr">
        <is>
          <t>WS 2019</t>
        </is>
      </c>
      <c r="D365" t="inlineStr">
        <is>
          <t>June</t>
        </is>
      </c>
      <c r="E365" t="inlineStr">
        <is>
          <t>2019</t>
        </is>
      </c>
      <c r="F365" t="inlineStr">
        <is>
          <t>October</t>
        </is>
      </c>
      <c r="G365" t="inlineStr">
        <is>
          <t>2019</t>
        </is>
      </c>
      <c r="H365" t="n">
        <v>11.27</v>
      </c>
      <c r="I365" t="n">
        <v>27.82</v>
      </c>
      <c r="J365" t="n">
        <v>23.17</v>
      </c>
      <c r="K365" t="n">
        <v>34.41</v>
      </c>
      <c r="L365" t="n">
        <v>81.95999999999999</v>
      </c>
      <c r="M365" t="n">
        <v>98.17</v>
      </c>
      <c r="N365" t="n">
        <v>20.34</v>
      </c>
      <c r="O365" t="n">
        <v>3.3</v>
      </c>
      <c r="P365" t="n">
        <v>26.5</v>
      </c>
      <c r="Q365" t="n">
        <v>21.07</v>
      </c>
      <c r="R365" t="n">
        <v>31.96</v>
      </c>
      <c r="S365" t="n">
        <v>82.27</v>
      </c>
      <c r="T365" t="n">
        <v>98.37</v>
      </c>
      <c r="U365" t="n">
        <v>20.07</v>
      </c>
      <c r="V365" t="inlineStr">
        <is>
          <t>Type I – Tropical Monsoon (PAGASA)</t>
        </is>
      </c>
      <c r="W365" t="inlineStr">
        <is>
          <t>Wet</t>
        </is>
      </c>
      <c r="X365" t="inlineStr">
        <is>
          <t>Wet</t>
        </is>
      </c>
      <c r="Y365" t="inlineStr">
        <is>
          <t>Sandy Loam</t>
        </is>
      </c>
      <c r="Z365" t="inlineStr">
        <is>
          <t>Flat / Lowland</t>
        </is>
      </c>
      <c r="AA365" t="n">
        <v>30</v>
      </c>
      <c r="AB365" t="inlineStr">
        <is>
          <t>Tagamusing River</t>
        </is>
      </c>
      <c r="AC365" t="n">
        <v>140.28</v>
      </c>
      <c r="AD365" t="n">
        <v>78.34999999999999</v>
      </c>
      <c r="AE365" t="n">
        <v>2.65</v>
      </c>
      <c r="AF365" t="n">
        <v>81</v>
      </c>
      <c r="AG365" t="inlineStr">
        <is>
          <t>Transplanting (Pindot) or Direct Seeding (Pinaghandaan)</t>
        </is>
      </c>
      <c r="AH365" t="inlineStr">
        <is>
          <t>Conventional Tillage: 2 plowings + 2 harrowings; soil workable when moist</t>
        </is>
      </c>
      <c r="AI365" t="inlineStr">
        <is>
          <t>Intermittent irrigation (Alternate Wetting and Drying — AWD); moderate retention</t>
        </is>
      </c>
      <c r="AJ365" t="n">
        <v>3.19</v>
      </c>
      <c r="AK365" t="n">
        <v>25.52</v>
      </c>
      <c r="AL365" t="n">
        <v>8</v>
      </c>
      <c r="AM365" t="inlineStr">
        <is>
          <t>No</t>
        </is>
      </c>
      <c r="AN365" t="inlineStr">
        <is>
          <t>Observed harvest</t>
        </is>
      </c>
    </row>
    <row r="366">
      <c r="A366" t="inlineStr">
        <is>
          <t>Palay</t>
        </is>
      </c>
      <c r="B366" t="inlineStr">
        <is>
          <t>Pasileng Sur</t>
        </is>
      </c>
      <c r="C366" t="inlineStr">
        <is>
          <t>WS 2019</t>
        </is>
      </c>
      <c r="D366" t="inlineStr">
        <is>
          <t>June</t>
        </is>
      </c>
      <c r="E366" t="inlineStr">
        <is>
          <t>2019</t>
        </is>
      </c>
      <c r="F366" t="inlineStr">
        <is>
          <t>October</t>
        </is>
      </c>
      <c r="G366" t="inlineStr">
        <is>
          <t>2019</t>
        </is>
      </c>
      <c r="H366" t="n">
        <v>11.27</v>
      </c>
      <c r="I366" t="n">
        <v>27.82</v>
      </c>
      <c r="J366" t="n">
        <v>23.17</v>
      </c>
      <c r="K366" t="n">
        <v>34.41</v>
      </c>
      <c r="L366" t="n">
        <v>81.95999999999999</v>
      </c>
      <c r="M366" t="n">
        <v>98.17</v>
      </c>
      <c r="N366" t="n">
        <v>20.34</v>
      </c>
      <c r="O366" t="n">
        <v>3.3</v>
      </c>
      <c r="P366" t="n">
        <v>26.5</v>
      </c>
      <c r="Q366" t="n">
        <v>21.07</v>
      </c>
      <c r="R366" t="n">
        <v>31.96</v>
      </c>
      <c r="S366" t="n">
        <v>82.27</v>
      </c>
      <c r="T366" t="n">
        <v>98.37</v>
      </c>
      <c r="U366" t="n">
        <v>20.07</v>
      </c>
      <c r="V366" t="inlineStr">
        <is>
          <t>Type I – Tropical Monsoon (PAGASA)</t>
        </is>
      </c>
      <c r="W366" t="inlineStr">
        <is>
          <t>Wet</t>
        </is>
      </c>
      <c r="X366" t="inlineStr">
        <is>
          <t>Wet</t>
        </is>
      </c>
      <c r="Y366" t="inlineStr">
        <is>
          <t>Sandy Loam</t>
        </is>
      </c>
      <c r="Z366" t="inlineStr">
        <is>
          <t>Flat / Lowland</t>
        </is>
      </c>
      <c r="AA366" t="n">
        <v>30</v>
      </c>
      <c r="AB366" t="inlineStr">
        <is>
          <t>Tagamusing River</t>
        </is>
      </c>
      <c r="AC366" t="n">
        <v>414.96</v>
      </c>
      <c r="AD366" t="n">
        <v>150.9</v>
      </c>
      <c r="AE366" t="n">
        <v>29.1</v>
      </c>
      <c r="AF366" t="n">
        <v>180</v>
      </c>
      <c r="AG366" t="inlineStr">
        <is>
          <t>Transplanting (Pindot) or Direct Seeding (Pinaghandaan)</t>
        </is>
      </c>
      <c r="AH366" t="inlineStr">
        <is>
          <t>Conventional Tillage: 2 plowings + 2 harrowings; soil workable when moist</t>
        </is>
      </c>
      <c r="AI366" t="inlineStr">
        <is>
          <t>Intermittent irrigation (Alternate Wetting and Drying — AWD); moderate retention</t>
        </is>
      </c>
      <c r="AJ366" t="n">
        <v>4.76</v>
      </c>
      <c r="AK366" t="n">
        <v>17.81</v>
      </c>
      <c r="AL366" t="n">
        <v>3.74</v>
      </c>
      <c r="AM366" t="inlineStr">
        <is>
          <t>No</t>
        </is>
      </c>
      <c r="AN366" t="inlineStr">
        <is>
          <t>Observed harvest</t>
        </is>
      </c>
    </row>
    <row r="367">
      <c r="A367" t="inlineStr">
        <is>
          <t>Palay</t>
        </is>
      </c>
      <c r="B367" t="inlineStr">
        <is>
          <t>San Felipe Central</t>
        </is>
      </c>
      <c r="C367" t="inlineStr">
        <is>
          <t>WS 2019</t>
        </is>
      </c>
      <c r="D367" t="inlineStr">
        <is>
          <t>June</t>
        </is>
      </c>
      <c r="E367" t="inlineStr">
        <is>
          <t>2019</t>
        </is>
      </c>
      <c r="F367" t="inlineStr">
        <is>
          <t>October</t>
        </is>
      </c>
      <c r="G367" t="inlineStr">
        <is>
          <t>2019</t>
        </is>
      </c>
      <c r="H367" t="n">
        <v>11.27</v>
      </c>
      <c r="I367" t="n">
        <v>27.82</v>
      </c>
      <c r="J367" t="n">
        <v>23.17</v>
      </c>
      <c r="K367" t="n">
        <v>34.41</v>
      </c>
      <c r="L367" t="n">
        <v>81.95999999999999</v>
      </c>
      <c r="M367" t="n">
        <v>98.17</v>
      </c>
      <c r="N367" t="n">
        <v>20.34</v>
      </c>
      <c r="O367" t="n">
        <v>3.3</v>
      </c>
      <c r="P367" t="n">
        <v>26.5</v>
      </c>
      <c r="Q367" t="n">
        <v>21.07</v>
      </c>
      <c r="R367" t="n">
        <v>31.96</v>
      </c>
      <c r="S367" t="n">
        <v>82.27</v>
      </c>
      <c r="T367" t="n">
        <v>98.37</v>
      </c>
      <c r="U367" t="n">
        <v>20.07</v>
      </c>
      <c r="V367" t="inlineStr">
        <is>
          <t>Type I – Tropical Monsoon (PAGASA)</t>
        </is>
      </c>
      <c r="W367" t="inlineStr">
        <is>
          <t>Wet</t>
        </is>
      </c>
      <c r="X367" t="inlineStr">
        <is>
          <t>Wet</t>
        </is>
      </c>
      <c r="Y367" t="inlineStr">
        <is>
          <t>Sandy Loam</t>
        </is>
      </c>
      <c r="Z367" t="inlineStr">
        <is>
          <t>Flat / Lowland</t>
        </is>
      </c>
      <c r="AA367" t="n">
        <v>30</v>
      </c>
      <c r="AB367" t="inlineStr">
        <is>
          <t>—</t>
        </is>
      </c>
      <c r="AC367" t="n">
        <v>452.76</v>
      </c>
      <c r="AD367" t="n">
        <v>117</v>
      </c>
      <c r="AE367" t="n">
        <v>62</v>
      </c>
      <c r="AF367" t="n">
        <v>179</v>
      </c>
      <c r="AG367" t="inlineStr">
        <is>
          <t>Transplanting (Pindot) or Direct Seeding (Pinaghandaan)</t>
        </is>
      </c>
      <c r="AH367" t="inlineStr">
        <is>
          <t>Conventional Tillage: 2 plowings + 2 harrowings; soil workable when moist</t>
        </is>
      </c>
      <c r="AI367" t="inlineStr">
        <is>
          <t>Intermittent irrigation (Alternate Wetting and Drying — AWD); moderate retention</t>
        </is>
      </c>
      <c r="AJ367" t="n">
        <v>4.7</v>
      </c>
      <c r="AK367" t="n">
        <v>13.72</v>
      </c>
      <c r="AL367" t="n">
        <v>2.92</v>
      </c>
      <c r="AM367" t="inlineStr">
        <is>
          <t>No</t>
        </is>
      </c>
      <c r="AN367" t="inlineStr">
        <is>
          <t>Observed harvest</t>
        </is>
      </c>
    </row>
    <row r="368">
      <c r="A368" t="inlineStr">
        <is>
          <t>Palay</t>
        </is>
      </c>
      <c r="B368" t="inlineStr">
        <is>
          <t>San Felipe Sur</t>
        </is>
      </c>
      <c r="C368" t="inlineStr">
        <is>
          <t>WS 2019</t>
        </is>
      </c>
      <c r="D368" t="inlineStr">
        <is>
          <t>June</t>
        </is>
      </c>
      <c r="E368" t="inlineStr">
        <is>
          <t>2019</t>
        </is>
      </c>
      <c r="F368" t="inlineStr">
        <is>
          <t>October</t>
        </is>
      </c>
      <c r="G368" t="inlineStr">
        <is>
          <t>2019</t>
        </is>
      </c>
      <c r="H368" t="n">
        <v>11.27</v>
      </c>
      <c r="I368" t="n">
        <v>27.82</v>
      </c>
      <c r="J368" t="n">
        <v>23.17</v>
      </c>
      <c r="K368" t="n">
        <v>34.41</v>
      </c>
      <c r="L368" t="n">
        <v>81.95999999999999</v>
      </c>
      <c r="M368" t="n">
        <v>98.17</v>
      </c>
      <c r="N368" t="n">
        <v>20.34</v>
      </c>
      <c r="O368" t="n">
        <v>3.3</v>
      </c>
      <c r="P368" t="n">
        <v>26.5</v>
      </c>
      <c r="Q368" t="n">
        <v>21.07</v>
      </c>
      <c r="R368" t="n">
        <v>31.96</v>
      </c>
      <c r="S368" t="n">
        <v>82.27</v>
      </c>
      <c r="T368" t="n">
        <v>98.37</v>
      </c>
      <c r="U368" t="n">
        <v>20.07</v>
      </c>
      <c r="V368" t="inlineStr">
        <is>
          <t>Type I – Tropical Monsoon (PAGASA)</t>
        </is>
      </c>
      <c r="W368" t="inlineStr">
        <is>
          <t>Wet</t>
        </is>
      </c>
      <c r="X368" t="inlineStr">
        <is>
          <t>Wet</t>
        </is>
      </c>
      <c r="Y368" t="inlineStr">
        <is>
          <t>Sandy Loam</t>
        </is>
      </c>
      <c r="Z368" t="inlineStr">
        <is>
          <t>Flat / Lowland</t>
        </is>
      </c>
      <c r="AA368" t="n">
        <v>30</v>
      </c>
      <c r="AB368" t="inlineStr">
        <is>
          <t>Tagamusing River</t>
        </is>
      </c>
      <c r="AC368" t="n">
        <v>504</v>
      </c>
      <c r="AD368" t="n">
        <v>127.5</v>
      </c>
      <c r="AE368" t="n">
        <v>50.5</v>
      </c>
      <c r="AF368" t="n">
        <v>178</v>
      </c>
      <c r="AG368" t="inlineStr">
        <is>
          <t>Transplanting (Pindot) or Direct Seeding (Pinaghandaan)</t>
        </is>
      </c>
      <c r="AH368" t="inlineStr">
        <is>
          <t>Conventional Tillage: 2 plowings + 2 harrowings; soil workable when moist</t>
        </is>
      </c>
      <c r="AI368" t="inlineStr">
        <is>
          <t>Intermittent irrigation (Alternate Wetting and Drying — AWD); moderate retention</t>
        </is>
      </c>
      <c r="AJ368" t="n">
        <v>5.69</v>
      </c>
      <c r="AK368" t="n">
        <v>13.06</v>
      </c>
      <c r="AL368" t="n">
        <v>2.3</v>
      </c>
      <c r="AM368" t="inlineStr">
        <is>
          <t>No</t>
        </is>
      </c>
      <c r="AN368" t="inlineStr">
        <is>
          <t>Observed harvest</t>
        </is>
      </c>
    </row>
    <row r="369">
      <c r="A369" t="inlineStr">
        <is>
          <t>Palay</t>
        </is>
      </c>
      <c r="B369" t="inlineStr">
        <is>
          <t>San Pablo</t>
        </is>
      </c>
      <c r="C369" t="inlineStr">
        <is>
          <t>WS 2019</t>
        </is>
      </c>
      <c r="D369" t="inlineStr">
        <is>
          <t>June</t>
        </is>
      </c>
      <c r="E369" t="inlineStr">
        <is>
          <t>2019</t>
        </is>
      </c>
      <c r="F369" t="inlineStr">
        <is>
          <t>October</t>
        </is>
      </c>
      <c r="G369" t="inlineStr">
        <is>
          <t>2019</t>
        </is>
      </c>
      <c r="H369" t="n">
        <v>11.27</v>
      </c>
      <c r="I369" t="n">
        <v>27.82</v>
      </c>
      <c r="J369" t="n">
        <v>23.17</v>
      </c>
      <c r="K369" t="n">
        <v>34.41</v>
      </c>
      <c r="L369" t="n">
        <v>81.95999999999999</v>
      </c>
      <c r="M369" t="n">
        <v>98.17</v>
      </c>
      <c r="N369" t="n">
        <v>20.34</v>
      </c>
      <c r="O369" t="n">
        <v>3.3</v>
      </c>
      <c r="P369" t="n">
        <v>26.5</v>
      </c>
      <c r="Q369" t="n">
        <v>21.07</v>
      </c>
      <c r="R369" t="n">
        <v>31.96</v>
      </c>
      <c r="S369" t="n">
        <v>82.27</v>
      </c>
      <c r="T369" t="n">
        <v>98.37</v>
      </c>
      <c r="U369" t="n">
        <v>20.07</v>
      </c>
      <c r="V369" t="inlineStr">
        <is>
          <t>Type I – Tropical Monsoon (PAGASA)</t>
        </is>
      </c>
      <c r="W369" t="inlineStr">
        <is>
          <t>Wet</t>
        </is>
      </c>
      <c r="X369" t="inlineStr">
        <is>
          <t>Wet</t>
        </is>
      </c>
      <c r="Y369" t="inlineStr">
        <is>
          <t>Sandy Loam</t>
        </is>
      </c>
      <c r="Z369" t="inlineStr">
        <is>
          <t>Flat / Lowland</t>
        </is>
      </c>
      <c r="AA369" t="n">
        <v>30</v>
      </c>
      <c r="AB369" t="inlineStr">
        <is>
          <t>San Pablo Creek</t>
        </is>
      </c>
      <c r="AC369" t="n">
        <v>215.04</v>
      </c>
      <c r="AD369" t="n">
        <v>103.5</v>
      </c>
      <c r="AE369" t="n">
        <v>30.5</v>
      </c>
      <c r="AF369" t="n">
        <v>134</v>
      </c>
      <c r="AG369" t="inlineStr">
        <is>
          <t>Transplanting (Pindot) or Direct Seeding (Pinaghandaan)</t>
        </is>
      </c>
      <c r="AH369" t="inlineStr">
        <is>
          <t>Conventional Tillage: 2 plowings + 2 harrowings; soil workable when moist</t>
        </is>
      </c>
      <c r="AI369" t="inlineStr">
        <is>
          <t>Intermittent irrigation (Alternate Wetting and Drying — AWD); moderate retention</t>
        </is>
      </c>
      <c r="AJ369" t="n">
        <v>1.43</v>
      </c>
      <c r="AK369" t="n">
        <v>9</v>
      </c>
      <c r="AL369" t="n">
        <v>6.29</v>
      </c>
      <c r="AM369" t="inlineStr">
        <is>
          <t>No</t>
        </is>
      </c>
      <c r="AN369" t="inlineStr">
        <is>
          <t>Observed harvest</t>
        </is>
      </c>
    </row>
    <row r="370">
      <c r="A370" t="inlineStr">
        <is>
          <t>Palay</t>
        </is>
      </c>
      <c r="B370" t="inlineStr">
        <is>
          <t>Santiago</t>
        </is>
      </c>
      <c r="C370" t="inlineStr">
        <is>
          <t>WS 2019</t>
        </is>
      </c>
      <c r="D370" t="inlineStr">
        <is>
          <t>June</t>
        </is>
      </c>
      <c r="E370" t="inlineStr">
        <is>
          <t>2019</t>
        </is>
      </c>
      <c r="F370" t="inlineStr">
        <is>
          <t>October</t>
        </is>
      </c>
      <c r="G370" t="inlineStr">
        <is>
          <t>2019</t>
        </is>
      </c>
      <c r="H370" t="n">
        <v>11.27</v>
      </c>
      <c r="I370" t="n">
        <v>27.82</v>
      </c>
      <c r="J370" t="n">
        <v>23.17</v>
      </c>
      <c r="K370" t="n">
        <v>34.41</v>
      </c>
      <c r="L370" t="n">
        <v>81.95999999999999</v>
      </c>
      <c r="M370" t="n">
        <v>98.17</v>
      </c>
      <c r="N370" t="n">
        <v>20.34</v>
      </c>
      <c r="O370" t="n">
        <v>3.3</v>
      </c>
      <c r="P370" t="n">
        <v>26.5</v>
      </c>
      <c r="Q370" t="n">
        <v>21.07</v>
      </c>
      <c r="R370" t="n">
        <v>31.96</v>
      </c>
      <c r="S370" t="n">
        <v>82.27</v>
      </c>
      <c r="T370" t="n">
        <v>98.37</v>
      </c>
      <c r="U370" t="n">
        <v>20.07</v>
      </c>
      <c r="V370" t="inlineStr">
        <is>
          <t>Type I – Tropical Monsoon (PAGASA)</t>
        </is>
      </c>
      <c r="W370" t="inlineStr">
        <is>
          <t>Wet</t>
        </is>
      </c>
      <c r="X370" t="inlineStr">
        <is>
          <t>Wet</t>
        </is>
      </c>
      <c r="Y370" t="inlineStr">
        <is>
          <t>Silty Clay Loam</t>
        </is>
      </c>
      <c r="Z370" t="inlineStr">
        <is>
          <t>Flat / Lowland</t>
        </is>
      </c>
      <c r="AA370" t="n">
        <v>30</v>
      </c>
      <c r="AB370" t="inlineStr">
        <is>
          <t>—</t>
        </is>
      </c>
      <c r="AC370" t="n">
        <v>283.08</v>
      </c>
      <c r="AD370" t="n">
        <v>103.6</v>
      </c>
      <c r="AE370" t="n">
        <v>145.4</v>
      </c>
      <c r="AF370" t="n">
        <v>249</v>
      </c>
      <c r="AG370" t="inlineStr">
        <is>
          <t>Transplanting (Pindot) — optimal for clay-loam paddy fields</t>
        </is>
      </c>
      <c r="AH370" t="inlineStr">
        <is>
          <t>Wet Tillage (Puddling): 2 plowings + thorough harrowing under flooded condition</t>
        </is>
      </c>
      <c r="AI370" t="inlineStr">
        <is>
          <t>Continuous flooding 2–5 cm depth during vegetative stage; drain 2 weeks before harvest</t>
        </is>
      </c>
      <c r="AJ370" t="n">
        <v>4</v>
      </c>
      <c r="AK370" t="n">
        <v>11.7</v>
      </c>
      <c r="AL370" t="n">
        <v>2.92</v>
      </c>
      <c r="AM370" t="inlineStr">
        <is>
          <t>No</t>
        </is>
      </c>
      <c r="AN370" t="inlineStr">
        <is>
          <t>Observed harvest</t>
        </is>
      </c>
    </row>
    <row r="371">
      <c r="A371" t="inlineStr">
        <is>
          <t>Palay</t>
        </is>
      </c>
      <c r="B371" t="inlineStr">
        <is>
          <t>Sta. Catalina</t>
        </is>
      </c>
      <c r="C371" t="inlineStr">
        <is>
          <t>WS 2019</t>
        </is>
      </c>
      <c r="D371" t="inlineStr">
        <is>
          <t>June</t>
        </is>
      </c>
      <c r="E371" t="inlineStr">
        <is>
          <t>2019</t>
        </is>
      </c>
      <c r="F371" t="inlineStr">
        <is>
          <t>October</t>
        </is>
      </c>
      <c r="G371" t="inlineStr">
        <is>
          <t>2019</t>
        </is>
      </c>
      <c r="H371" t="n">
        <v>11.27</v>
      </c>
      <c r="I371" t="n">
        <v>27.82</v>
      </c>
      <c r="J371" t="n">
        <v>23.17</v>
      </c>
      <c r="K371" t="n">
        <v>34.41</v>
      </c>
      <c r="L371" t="n">
        <v>81.95999999999999</v>
      </c>
      <c r="M371" t="n">
        <v>98.17</v>
      </c>
      <c r="N371" t="n">
        <v>20.34</v>
      </c>
      <c r="O371" t="n">
        <v>3.3</v>
      </c>
      <c r="P371" t="n">
        <v>26.5</v>
      </c>
      <c r="Q371" t="n">
        <v>21.07</v>
      </c>
      <c r="R371" t="n">
        <v>31.96</v>
      </c>
      <c r="S371" t="n">
        <v>82.27</v>
      </c>
      <c r="T371" t="n">
        <v>98.37</v>
      </c>
      <c r="U371" t="n">
        <v>20.07</v>
      </c>
      <c r="V371" t="inlineStr">
        <is>
          <t>Type I – Tropical Monsoon (PAGASA)</t>
        </is>
      </c>
      <c r="W371" t="inlineStr">
        <is>
          <t>Wet</t>
        </is>
      </c>
      <c r="X371" t="inlineStr">
        <is>
          <t>Wet</t>
        </is>
      </c>
      <c r="Y371" t="inlineStr">
        <is>
          <t>Fine Sand / Sandy Loam</t>
        </is>
      </c>
      <c r="Z371" t="inlineStr">
        <is>
          <t>Moderately Sloping / Highland</t>
        </is>
      </c>
      <c r="AA371" t="n">
        <v>90</v>
      </c>
      <c r="AB371" t="inlineStr">
        <is>
          <t>—</t>
        </is>
      </c>
      <c r="AC371" t="n">
        <v>709.8</v>
      </c>
      <c r="AD371" t="n">
        <v>49</v>
      </c>
      <c r="AE371" t="n">
        <v>180</v>
      </c>
      <c r="AF371" t="n">
        <v>229</v>
      </c>
      <c r="AG371" t="inlineStr">
        <is>
          <t>Transplanting (Pindot)</t>
        </is>
      </c>
      <c r="AH371" t="inlineStr">
        <is>
          <t>Minimum Tillage (avoid compaction; sandy structure fragile)</t>
        </is>
      </c>
      <c r="AI371" t="inlineStr">
        <is>
          <t>Continuous flooding or frequent irrigation; high percolation risk; terrace or bund-assisted water retention essential on slopes</t>
        </is>
      </c>
      <c r="AJ371" t="n">
        <v>7.88</v>
      </c>
      <c r="AK371" t="n">
        <v>63.04</v>
      </c>
      <c r="AL371" t="n">
        <v>8</v>
      </c>
      <c r="AM371" t="inlineStr">
        <is>
          <t>No</t>
        </is>
      </c>
      <c r="AN371" t="inlineStr">
        <is>
          <t>Observed harvest</t>
        </is>
      </c>
    </row>
    <row r="372">
      <c r="A372" t="inlineStr">
        <is>
          <t>Palay</t>
        </is>
      </c>
      <c r="B372" t="inlineStr">
        <is>
          <t>Sta. Maria Norte</t>
        </is>
      </c>
      <c r="C372" t="inlineStr">
        <is>
          <t>WS 2019</t>
        </is>
      </c>
      <c r="D372" t="inlineStr">
        <is>
          <t>June</t>
        </is>
      </c>
      <c r="E372" t="inlineStr">
        <is>
          <t>2019</t>
        </is>
      </c>
      <c r="F372" t="inlineStr">
        <is>
          <t>October</t>
        </is>
      </c>
      <c r="G372" t="inlineStr">
        <is>
          <t>2019</t>
        </is>
      </c>
      <c r="H372" t="n">
        <v>11.27</v>
      </c>
      <c r="I372" t="n">
        <v>27.82</v>
      </c>
      <c r="J372" t="n">
        <v>23.17</v>
      </c>
      <c r="K372" t="n">
        <v>34.41</v>
      </c>
      <c r="L372" t="n">
        <v>81.95999999999999</v>
      </c>
      <c r="M372" t="n">
        <v>98.17</v>
      </c>
      <c r="N372" t="n">
        <v>20.34</v>
      </c>
      <c r="O372" t="n">
        <v>3.3</v>
      </c>
      <c r="P372" t="n">
        <v>26.5</v>
      </c>
      <c r="Q372" t="n">
        <v>21.07</v>
      </c>
      <c r="R372" t="n">
        <v>31.96</v>
      </c>
      <c r="S372" t="n">
        <v>82.27</v>
      </c>
      <c r="T372" t="n">
        <v>98.37</v>
      </c>
      <c r="U372" t="n">
        <v>20.07</v>
      </c>
      <c r="V372" t="inlineStr">
        <is>
          <t>Type I – Tropical Monsoon (PAGASA)</t>
        </is>
      </c>
      <c r="W372" t="inlineStr">
        <is>
          <t>Wet</t>
        </is>
      </c>
      <c r="X372" t="inlineStr">
        <is>
          <t>Wet</t>
        </is>
      </c>
      <c r="Y372" t="inlineStr">
        <is>
          <t>Sandy Loam</t>
        </is>
      </c>
      <c r="Z372" t="inlineStr">
        <is>
          <t>Flat / Lowland</t>
        </is>
      </c>
      <c r="AA372" t="n">
        <v>30</v>
      </c>
      <c r="AB372" t="inlineStr">
        <is>
          <t>Tagamusing River</t>
        </is>
      </c>
      <c r="AC372" t="n">
        <v>157.08</v>
      </c>
      <c r="AD372" t="n">
        <v>24.5</v>
      </c>
      <c r="AE372" t="n">
        <v>43.5</v>
      </c>
      <c r="AF372" t="n">
        <v>68</v>
      </c>
      <c r="AG372" t="inlineStr">
        <is>
          <t>Transplanting (Pindot) or Direct Seeding (Pinaghandaan)</t>
        </is>
      </c>
      <c r="AH372" t="inlineStr">
        <is>
          <t>Conventional Tillage: 2 plowings + 2 harrowings; soil workable when moist</t>
        </is>
      </c>
      <c r="AI372" t="inlineStr">
        <is>
          <t>Intermittent irrigation (Alternate Wetting and Drying — AWD); moderate retention</t>
        </is>
      </c>
      <c r="AJ372" t="n">
        <v>2.36</v>
      </c>
      <c r="AK372" t="n">
        <v>3.25</v>
      </c>
      <c r="AL372" t="n">
        <v>1.38</v>
      </c>
      <c r="AM372" t="inlineStr">
        <is>
          <t>No</t>
        </is>
      </c>
      <c r="AN372" t="inlineStr">
        <is>
          <t>Observed harvest</t>
        </is>
      </c>
    </row>
    <row r="373">
      <c r="A373" t="inlineStr">
        <is>
          <t>Palay</t>
        </is>
      </c>
      <c r="B373" t="inlineStr">
        <is>
          <t>Sumabnit</t>
        </is>
      </c>
      <c r="C373" t="inlineStr">
        <is>
          <t>WS 2019</t>
        </is>
      </c>
      <c r="D373" t="inlineStr">
        <is>
          <t>June</t>
        </is>
      </c>
      <c r="E373" t="inlineStr">
        <is>
          <t>2019</t>
        </is>
      </c>
      <c r="F373" t="inlineStr">
        <is>
          <t>October</t>
        </is>
      </c>
      <c r="G373" t="inlineStr">
        <is>
          <t>2019</t>
        </is>
      </c>
      <c r="H373" t="n">
        <v>11.27</v>
      </c>
      <c r="I373" t="n">
        <v>27.82</v>
      </c>
      <c r="J373" t="n">
        <v>23.17</v>
      </c>
      <c r="K373" t="n">
        <v>34.41</v>
      </c>
      <c r="L373" t="n">
        <v>81.95999999999999</v>
      </c>
      <c r="M373" t="n">
        <v>98.17</v>
      </c>
      <c r="N373" t="n">
        <v>20.34</v>
      </c>
      <c r="O373" t="n">
        <v>3.3</v>
      </c>
      <c r="P373" t="n">
        <v>26.5</v>
      </c>
      <c r="Q373" t="n">
        <v>21.07</v>
      </c>
      <c r="R373" t="n">
        <v>31.96</v>
      </c>
      <c r="S373" t="n">
        <v>82.27</v>
      </c>
      <c r="T373" t="n">
        <v>98.37</v>
      </c>
      <c r="U373" t="n">
        <v>20.07</v>
      </c>
      <c r="V373" t="inlineStr">
        <is>
          <t>Type I – Tropical Monsoon (PAGASA)</t>
        </is>
      </c>
      <c r="W373" t="inlineStr">
        <is>
          <t>Wet</t>
        </is>
      </c>
      <c r="X373" t="inlineStr">
        <is>
          <t>Wet</t>
        </is>
      </c>
      <c r="Y373" t="inlineStr">
        <is>
          <t>Silty Clay Loam / Fine Sandy Loam</t>
        </is>
      </c>
      <c r="Z373" t="inlineStr">
        <is>
          <t>Flat / Lowland</t>
        </is>
      </c>
      <c r="AA373" t="n">
        <v>30</v>
      </c>
      <c r="AB373" t="inlineStr">
        <is>
          <t>Tagamusing River</t>
        </is>
      </c>
      <c r="AC373" t="n">
        <v>406.56</v>
      </c>
      <c r="AD373" t="n">
        <v>133.3</v>
      </c>
      <c r="AE373" t="n">
        <v>123.7</v>
      </c>
      <c r="AF373" t="n">
        <v>257</v>
      </c>
      <c r="AG373" t="inlineStr">
        <is>
          <t>Transplanting (Pindot)</t>
        </is>
      </c>
      <c r="AH373" t="inlineStr">
        <is>
          <t>Minimum Tillage (avoid compaction; sandy structure fragile)</t>
        </is>
      </c>
      <c r="AI373" t="inlineStr">
        <is>
          <t>Continuous flooding or frequent irrigation; high percolation risk</t>
        </is>
      </c>
      <c r="AJ373" t="n">
        <v>0.4</v>
      </c>
      <c r="AK373" t="n">
        <v>2.02</v>
      </c>
      <c r="AL373" t="n">
        <v>5.05</v>
      </c>
      <c r="AM373" t="inlineStr">
        <is>
          <t>No</t>
        </is>
      </c>
      <c r="AN373" t="inlineStr">
        <is>
          <t>Observed harvest</t>
        </is>
      </c>
    </row>
    <row r="374">
      <c r="A374" t="inlineStr">
        <is>
          <t>Palay</t>
        </is>
      </c>
      <c r="B374" t="inlineStr">
        <is>
          <t>Tabuyoc</t>
        </is>
      </c>
      <c r="C374" t="inlineStr">
        <is>
          <t>WS 2019</t>
        </is>
      </c>
      <c r="D374" t="inlineStr">
        <is>
          <t>June</t>
        </is>
      </c>
      <c r="E374" t="inlineStr">
        <is>
          <t>2019</t>
        </is>
      </c>
      <c r="F374" t="inlineStr">
        <is>
          <t>October</t>
        </is>
      </c>
      <c r="G374" t="inlineStr">
        <is>
          <t>2019</t>
        </is>
      </c>
      <c r="H374" t="n">
        <v>11.27</v>
      </c>
      <c r="I374" t="n">
        <v>27.82</v>
      </c>
      <c r="J374" t="n">
        <v>23.17</v>
      </c>
      <c r="K374" t="n">
        <v>34.41</v>
      </c>
      <c r="L374" t="n">
        <v>81.95999999999999</v>
      </c>
      <c r="M374" t="n">
        <v>98.17</v>
      </c>
      <c r="N374" t="n">
        <v>20.34</v>
      </c>
      <c r="O374" t="n">
        <v>3.3</v>
      </c>
      <c r="P374" t="n">
        <v>26.5</v>
      </c>
      <c r="Q374" t="n">
        <v>21.07</v>
      </c>
      <c r="R374" t="n">
        <v>31.96</v>
      </c>
      <c r="S374" t="n">
        <v>82.27</v>
      </c>
      <c r="T374" t="n">
        <v>98.37</v>
      </c>
      <c r="U374" t="n">
        <v>20.07</v>
      </c>
      <c r="V374" t="inlineStr">
        <is>
          <t>Type I – Tropical Monsoon (PAGASA)</t>
        </is>
      </c>
      <c r="W374" t="inlineStr">
        <is>
          <t>Wet</t>
        </is>
      </c>
      <c r="X374" t="inlineStr">
        <is>
          <t>Wet</t>
        </is>
      </c>
      <c r="Y374" t="inlineStr">
        <is>
          <t>Silty Clay Loam</t>
        </is>
      </c>
      <c r="Z374" t="inlineStr">
        <is>
          <t>Flat / Lowland</t>
        </is>
      </c>
      <c r="AA374" t="n">
        <v>30</v>
      </c>
      <c r="AB374" t="inlineStr">
        <is>
          <t>—</t>
        </is>
      </c>
      <c r="AC374" t="n">
        <v>277.2</v>
      </c>
      <c r="AD374" t="n">
        <v>134</v>
      </c>
      <c r="AE374" t="n">
        <v>5</v>
      </c>
      <c r="AF374" t="n">
        <v>139</v>
      </c>
      <c r="AG374" t="inlineStr">
        <is>
          <t>Transplanting (Pindot) — optimal for clay-loam paddy fields</t>
        </is>
      </c>
      <c r="AH374" t="inlineStr">
        <is>
          <t>Wet Tillage (Puddling): 2 plowings + thorough harrowing under flooded condition</t>
        </is>
      </c>
      <c r="AI374" t="inlineStr">
        <is>
          <t>Continuous flooding 2–5 cm depth during vegetative stage; drain 2 weeks before harvest</t>
        </is>
      </c>
      <c r="AJ374" t="n">
        <v>4</v>
      </c>
      <c r="AK374" t="n">
        <v>10.55</v>
      </c>
      <c r="AL374" t="n">
        <v>2.64</v>
      </c>
      <c r="AM374" t="inlineStr">
        <is>
          <t>No</t>
        </is>
      </c>
      <c r="AN374" t="inlineStr">
        <is>
          <t>Observed harvest</t>
        </is>
      </c>
    </row>
    <row r="375">
      <c r="A375" t="inlineStr">
        <is>
          <t>Palay</t>
        </is>
      </c>
      <c r="B375" t="inlineStr">
        <is>
          <t>Vacante</t>
        </is>
      </c>
      <c r="C375" t="inlineStr">
        <is>
          <t>WS 2019</t>
        </is>
      </c>
      <c r="D375" t="inlineStr">
        <is>
          <t>June</t>
        </is>
      </c>
      <c r="E375" t="inlineStr">
        <is>
          <t>2019</t>
        </is>
      </c>
      <c r="F375" t="inlineStr">
        <is>
          <t>October</t>
        </is>
      </c>
      <c r="G375" t="inlineStr">
        <is>
          <t>2019</t>
        </is>
      </c>
      <c r="H375" t="n">
        <v>11.27</v>
      </c>
      <c r="I375" t="n">
        <v>27.82</v>
      </c>
      <c r="J375" t="n">
        <v>23.17</v>
      </c>
      <c r="K375" t="n">
        <v>34.41</v>
      </c>
      <c r="L375" t="n">
        <v>81.95999999999999</v>
      </c>
      <c r="M375" t="n">
        <v>98.17</v>
      </c>
      <c r="N375" t="n">
        <v>20.34</v>
      </c>
      <c r="O375" t="n">
        <v>3.3</v>
      </c>
      <c r="P375" t="n">
        <v>26.5</v>
      </c>
      <c r="Q375" t="n">
        <v>21.07</v>
      </c>
      <c r="R375" t="n">
        <v>31.96</v>
      </c>
      <c r="S375" t="n">
        <v>82.27</v>
      </c>
      <c r="T375" t="n">
        <v>98.37</v>
      </c>
      <c r="U375" t="n">
        <v>20.07</v>
      </c>
      <c r="V375" t="inlineStr">
        <is>
          <t>Type I – Tropical Monsoon (PAGASA)</t>
        </is>
      </c>
      <c r="W375" t="inlineStr">
        <is>
          <t>Wet</t>
        </is>
      </c>
      <c r="X375" t="inlineStr">
        <is>
          <t>Wet</t>
        </is>
      </c>
      <c r="Y375" t="inlineStr">
        <is>
          <t>Silty Clay Loam</t>
        </is>
      </c>
      <c r="Z375" t="inlineStr">
        <is>
          <t>Flat / Lowland</t>
        </is>
      </c>
      <c r="AA375" t="n">
        <v>30</v>
      </c>
      <c r="AB375" t="inlineStr">
        <is>
          <t>Aloragat River</t>
        </is>
      </c>
      <c r="AC375" t="n">
        <v>484.68</v>
      </c>
      <c r="AD375" t="n">
        <v>28</v>
      </c>
      <c r="AE375" t="n">
        <v>81</v>
      </c>
      <c r="AF375" t="n">
        <v>109</v>
      </c>
      <c r="AG375" t="inlineStr">
        <is>
          <t>Transplanting (Pindot) — optimal for clay-loam paddy fields</t>
        </is>
      </c>
      <c r="AH375" t="inlineStr">
        <is>
          <t>Wet Tillage (Puddling): 2 plowings + thorough harrowing under flooded condition</t>
        </is>
      </c>
      <c r="AI375" t="inlineStr">
        <is>
          <t>Continuous flooding 2–5 cm depth during vegetative stage; drain 2 weeks before harvest</t>
        </is>
      </c>
      <c r="AJ375" t="n">
        <v>2.27</v>
      </c>
      <c r="AK375" t="n">
        <v>9.25</v>
      </c>
      <c r="AL375" t="n">
        <v>4.07</v>
      </c>
      <c r="AM375" t="inlineStr">
        <is>
          <t>No</t>
        </is>
      </c>
      <c r="AN375" t="inlineStr">
        <is>
          <t>Observed harvest</t>
        </is>
      </c>
    </row>
    <row r="376">
      <c r="A376" t="inlineStr">
        <is>
          <t>Palay</t>
        </is>
      </c>
      <c r="B376" t="inlineStr">
        <is>
          <t>Balangobong</t>
        </is>
      </c>
      <c r="C376" t="inlineStr">
        <is>
          <t>WS 2020</t>
        </is>
      </c>
      <c r="D376" t="inlineStr">
        <is>
          <t>June</t>
        </is>
      </c>
      <c r="E376" t="inlineStr">
        <is>
          <t>2020</t>
        </is>
      </c>
      <c r="F376" t="inlineStr">
        <is>
          <t>October</t>
        </is>
      </c>
      <c r="G376" t="inlineStr">
        <is>
          <t>2020</t>
        </is>
      </c>
      <c r="H376" t="n">
        <v>10.81</v>
      </c>
      <c r="I376" t="n">
        <v>27.71</v>
      </c>
      <c r="J376" t="n">
        <v>23.31</v>
      </c>
      <c r="K376" t="n">
        <v>34.01</v>
      </c>
      <c r="L376" t="n">
        <v>81.02</v>
      </c>
      <c r="M376" t="n">
        <v>98.26000000000001</v>
      </c>
      <c r="N376" t="n">
        <v>22.26</v>
      </c>
      <c r="O376" t="n">
        <v>17.03</v>
      </c>
      <c r="P376" t="n">
        <v>26.32</v>
      </c>
      <c r="Q376" t="n">
        <v>22.31</v>
      </c>
      <c r="R376" t="n">
        <v>31.82</v>
      </c>
      <c r="S376" t="n">
        <v>87.7</v>
      </c>
      <c r="T376" t="n">
        <v>98.08</v>
      </c>
      <c r="U376" t="n">
        <v>15.24</v>
      </c>
      <c r="V376" t="inlineStr">
        <is>
          <t>Type I – Tropical Monsoon (PAGASA)</t>
        </is>
      </c>
      <c r="W376" t="inlineStr">
        <is>
          <t>Wet</t>
        </is>
      </c>
      <c r="X376" t="inlineStr">
        <is>
          <t>Wet</t>
        </is>
      </c>
      <c r="Y376" t="inlineStr">
        <is>
          <t>Silty Clay Loam</t>
        </is>
      </c>
      <c r="Z376" t="inlineStr">
        <is>
          <t>Flat / Lowland</t>
        </is>
      </c>
      <c r="AA376" t="n">
        <v>30</v>
      </c>
      <c r="AB376" t="inlineStr">
        <is>
          <t>—</t>
        </is>
      </c>
      <c r="AC376" t="n">
        <v>281.4</v>
      </c>
      <c r="AD376" t="n">
        <v>120</v>
      </c>
      <c r="AE376" t="n">
        <v>15</v>
      </c>
      <c r="AF376" t="n">
        <v>135</v>
      </c>
      <c r="AG376" t="inlineStr">
        <is>
          <t>Transplanting (Pindot) — optimal for clay-loam paddy fields</t>
        </is>
      </c>
      <c r="AH376" t="inlineStr">
        <is>
          <t>Wet Tillage (Puddling): 2 plowings + thorough harrowing under flooded condition</t>
        </is>
      </c>
      <c r="AI376" t="inlineStr">
        <is>
          <t>Continuous flooding 2–5 cm depth during vegetative stage; drain 2 weeks before harvest</t>
        </is>
      </c>
      <c r="AJ376" t="n">
        <v>34.8</v>
      </c>
      <c r="AK376" t="n">
        <v>182.7</v>
      </c>
      <c r="AL376" t="n">
        <v>5.25</v>
      </c>
      <c r="AM376" t="inlineStr">
        <is>
          <t>No</t>
        </is>
      </c>
      <c r="AN376" t="inlineStr">
        <is>
          <t>Observed harvest</t>
        </is>
      </c>
    </row>
    <row r="377">
      <c r="A377" t="inlineStr">
        <is>
          <t>Palay</t>
        </is>
      </c>
      <c r="B377" t="inlineStr">
        <is>
          <t>Bued</t>
        </is>
      </c>
      <c r="C377" t="inlineStr">
        <is>
          <t>WS 2020</t>
        </is>
      </c>
      <c r="D377" t="inlineStr">
        <is>
          <t>June</t>
        </is>
      </c>
      <c r="E377" t="inlineStr">
        <is>
          <t>2020</t>
        </is>
      </c>
      <c r="F377" t="inlineStr">
        <is>
          <t>October</t>
        </is>
      </c>
      <c r="G377" t="inlineStr">
        <is>
          <t>2020</t>
        </is>
      </c>
      <c r="H377" t="n">
        <v>10.81</v>
      </c>
      <c r="I377" t="n">
        <v>27.71</v>
      </c>
      <c r="J377" t="n">
        <v>23.31</v>
      </c>
      <c r="K377" t="n">
        <v>34.01</v>
      </c>
      <c r="L377" t="n">
        <v>81.02</v>
      </c>
      <c r="M377" t="n">
        <v>98.26000000000001</v>
      </c>
      <c r="N377" t="n">
        <v>22.26</v>
      </c>
      <c r="O377" t="n">
        <v>17.03</v>
      </c>
      <c r="P377" t="n">
        <v>26.32</v>
      </c>
      <c r="Q377" t="n">
        <v>22.31</v>
      </c>
      <c r="R377" t="n">
        <v>31.82</v>
      </c>
      <c r="S377" t="n">
        <v>87.7</v>
      </c>
      <c r="T377" t="n">
        <v>98.08</v>
      </c>
      <c r="U377" t="n">
        <v>15.24</v>
      </c>
      <c r="V377" t="inlineStr">
        <is>
          <t>Type I – Tropical Monsoon (PAGASA)</t>
        </is>
      </c>
      <c r="W377" t="inlineStr">
        <is>
          <t>Wet</t>
        </is>
      </c>
      <c r="X377" t="inlineStr">
        <is>
          <t>Wet</t>
        </is>
      </c>
      <c r="Y377" t="inlineStr">
        <is>
          <t>Silty Clay Loam</t>
        </is>
      </c>
      <c r="Z377" t="inlineStr">
        <is>
          <t>Flat / Lowland</t>
        </is>
      </c>
      <c r="AA377" t="n">
        <v>30</v>
      </c>
      <c r="AB377" t="inlineStr">
        <is>
          <t>Tagamusing River</t>
        </is>
      </c>
      <c r="AC377" t="n">
        <v>210.84</v>
      </c>
      <c r="AD377" t="n">
        <v>56.5</v>
      </c>
      <c r="AE377" t="n">
        <v>37.5</v>
      </c>
      <c r="AF377" t="n">
        <v>94</v>
      </c>
      <c r="AG377" t="inlineStr">
        <is>
          <t>Transplanting (Pindot) — optimal for clay-loam paddy fields</t>
        </is>
      </c>
      <c r="AH377" t="inlineStr">
        <is>
          <t>Wet Tillage (Puddling): 2 plowings + thorough harrowing under flooded condition</t>
        </is>
      </c>
      <c r="AI377" t="inlineStr">
        <is>
          <t>Continuous flooding 2–5 cm depth during vegetative stage; drain 2 weeks before harvest</t>
        </is>
      </c>
      <c r="AJ377" t="n">
        <v>2.8</v>
      </c>
      <c r="AK377" t="n">
        <v>8</v>
      </c>
      <c r="AL377" t="n">
        <v>2.86</v>
      </c>
      <c r="AM377" t="inlineStr">
        <is>
          <t>No</t>
        </is>
      </c>
      <c r="AN377" t="inlineStr">
        <is>
          <t>Observed harvest</t>
        </is>
      </c>
    </row>
    <row r="378">
      <c r="A378" t="inlineStr">
        <is>
          <t>Palay</t>
        </is>
      </c>
      <c r="B378" t="inlineStr">
        <is>
          <t>Bugayong</t>
        </is>
      </c>
      <c r="C378" t="inlineStr">
        <is>
          <t>WS 2020</t>
        </is>
      </c>
      <c r="D378" t="inlineStr">
        <is>
          <t>June</t>
        </is>
      </c>
      <c r="E378" t="inlineStr">
        <is>
          <t>2020</t>
        </is>
      </c>
      <c r="F378" t="inlineStr">
        <is>
          <t>October</t>
        </is>
      </c>
      <c r="G378" t="inlineStr">
        <is>
          <t>2020</t>
        </is>
      </c>
      <c r="H378" t="n">
        <v>10.81</v>
      </c>
      <c r="I378" t="n">
        <v>27.71</v>
      </c>
      <c r="J378" t="n">
        <v>23.31</v>
      </c>
      <c r="K378" t="n">
        <v>34.01</v>
      </c>
      <c r="L378" t="n">
        <v>81.02</v>
      </c>
      <c r="M378" t="n">
        <v>98.26000000000001</v>
      </c>
      <c r="N378" t="n">
        <v>22.26</v>
      </c>
      <c r="O378" t="n">
        <v>17.03</v>
      </c>
      <c r="P378" t="n">
        <v>26.32</v>
      </c>
      <c r="Q378" t="n">
        <v>22.31</v>
      </c>
      <c r="R378" t="n">
        <v>31.82</v>
      </c>
      <c r="S378" t="n">
        <v>87.7</v>
      </c>
      <c r="T378" t="n">
        <v>98.08</v>
      </c>
      <c r="U378" t="n">
        <v>15.24</v>
      </c>
      <c r="V378" t="inlineStr">
        <is>
          <t>Type I – Tropical Monsoon (PAGASA)</t>
        </is>
      </c>
      <c r="W378" t="inlineStr">
        <is>
          <t>Wet</t>
        </is>
      </c>
      <c r="X378" t="inlineStr">
        <is>
          <t>Wet</t>
        </is>
      </c>
      <c r="Y378" t="inlineStr">
        <is>
          <t>Sandy Loam / Silty Clay Loam</t>
        </is>
      </c>
      <c r="Z378" t="inlineStr">
        <is>
          <t>Flat / Lowland</t>
        </is>
      </c>
      <c r="AA378" t="n">
        <v>30</v>
      </c>
      <c r="AB378" t="inlineStr">
        <is>
          <t>Aloragat River</t>
        </is>
      </c>
      <c r="AC378" t="n">
        <v>346.08</v>
      </c>
      <c r="AD378" t="n">
        <v>25.95</v>
      </c>
      <c r="AE378" t="n">
        <v>52.05</v>
      </c>
      <c r="AF378" t="n">
        <v>78</v>
      </c>
      <c r="AG378" t="inlineStr">
        <is>
          <t>Transplanting (Pindot) — recommended; Direct Seeding possible in dry season</t>
        </is>
      </c>
      <c r="AH378" t="inlineStr">
        <is>
          <t>Conventional Tillage: 2 plowings + harrowing; puddle thoroughly for transplanting</t>
        </is>
      </c>
      <c r="AI378" t="inlineStr">
        <is>
          <t>Intermittent to continuous flooding; manage according to drainage section present</t>
        </is>
      </c>
      <c r="AJ378" t="n">
        <v>28.81</v>
      </c>
      <c r="AK378" t="n">
        <v>98.48999999999999</v>
      </c>
      <c r="AL378" t="n">
        <v>3.42</v>
      </c>
      <c r="AM378" t="inlineStr">
        <is>
          <t>No</t>
        </is>
      </c>
      <c r="AN378" t="inlineStr">
        <is>
          <t>Observed harvest</t>
        </is>
      </c>
    </row>
    <row r="379">
      <c r="A379" t="inlineStr">
        <is>
          <t>Palay</t>
        </is>
      </c>
      <c r="B379" t="inlineStr">
        <is>
          <t>Camanggaan</t>
        </is>
      </c>
      <c r="C379" t="inlineStr">
        <is>
          <t>WS 2020</t>
        </is>
      </c>
      <c r="D379" t="inlineStr">
        <is>
          <t>June</t>
        </is>
      </c>
      <c r="E379" t="inlineStr">
        <is>
          <t>2020</t>
        </is>
      </c>
      <c r="F379" t="inlineStr">
        <is>
          <t>October</t>
        </is>
      </c>
      <c r="G379" t="inlineStr">
        <is>
          <t>2020</t>
        </is>
      </c>
      <c r="H379" t="n">
        <v>10.81</v>
      </c>
      <c r="I379" t="n">
        <v>27.71</v>
      </c>
      <c r="J379" t="n">
        <v>23.31</v>
      </c>
      <c r="K379" t="n">
        <v>34.01</v>
      </c>
      <c r="L379" t="n">
        <v>81.02</v>
      </c>
      <c r="M379" t="n">
        <v>98.26000000000001</v>
      </c>
      <c r="N379" t="n">
        <v>22.26</v>
      </c>
      <c r="O379" t="n">
        <v>17.03</v>
      </c>
      <c r="P379" t="n">
        <v>26.32</v>
      </c>
      <c r="Q379" t="n">
        <v>22.31</v>
      </c>
      <c r="R379" t="n">
        <v>31.82</v>
      </c>
      <c r="S379" t="n">
        <v>87.7</v>
      </c>
      <c r="T379" t="n">
        <v>98.08</v>
      </c>
      <c r="U379" t="n">
        <v>15.24</v>
      </c>
      <c r="V379" t="inlineStr">
        <is>
          <t>Type I – Tropical Monsoon (PAGASA)</t>
        </is>
      </c>
      <c r="W379" t="inlineStr">
        <is>
          <t>Wet</t>
        </is>
      </c>
      <c r="X379" t="inlineStr">
        <is>
          <t>Wet</t>
        </is>
      </c>
      <c r="Y379" t="inlineStr">
        <is>
          <t>Sandy Loam</t>
        </is>
      </c>
      <c r="Z379" t="inlineStr">
        <is>
          <t>Flat / Lowland</t>
        </is>
      </c>
      <c r="AA379" t="n">
        <v>30</v>
      </c>
      <c r="AB379" t="inlineStr">
        <is>
          <t>—</t>
        </is>
      </c>
      <c r="AC379" t="n">
        <v>244.44</v>
      </c>
      <c r="AD379" t="n">
        <v>19</v>
      </c>
      <c r="AE379" t="n">
        <v>68</v>
      </c>
      <c r="AF379" t="n">
        <v>87</v>
      </c>
      <c r="AG379" t="inlineStr">
        <is>
          <t>Transplanting (Pindot) or Direct Seeding (Pinaghandaan)</t>
        </is>
      </c>
      <c r="AH379" t="inlineStr">
        <is>
          <t>Conventional Tillage: 2 plowings + 2 harrowings; soil workable when moist</t>
        </is>
      </c>
      <c r="AI379" t="inlineStr">
        <is>
          <t>Intermittent irrigation (Alternate Wetting and Drying — AWD); moderate retention</t>
        </is>
      </c>
      <c r="AJ379" t="n">
        <v>4.23</v>
      </c>
      <c r="AK379" t="n">
        <v>14.4</v>
      </c>
      <c r="AL379" t="n">
        <v>3.4</v>
      </c>
      <c r="AM379" t="inlineStr">
        <is>
          <t>No</t>
        </is>
      </c>
      <c r="AN379" t="inlineStr">
        <is>
          <t>Observed harvest</t>
        </is>
      </c>
    </row>
    <row r="380">
      <c r="A380" t="inlineStr">
        <is>
          <t>Palay</t>
        </is>
      </c>
      <c r="B380" t="inlineStr">
        <is>
          <t>Capas</t>
        </is>
      </c>
      <c r="C380" t="inlineStr">
        <is>
          <t>WS 2020</t>
        </is>
      </c>
      <c r="D380" t="inlineStr">
        <is>
          <t>June</t>
        </is>
      </c>
      <c r="E380" t="inlineStr">
        <is>
          <t>2020</t>
        </is>
      </c>
      <c r="F380" t="inlineStr">
        <is>
          <t>October</t>
        </is>
      </c>
      <c r="G380" t="inlineStr">
        <is>
          <t>2020</t>
        </is>
      </c>
      <c r="H380" t="n">
        <v>10.81</v>
      </c>
      <c r="I380" t="n">
        <v>27.71</v>
      </c>
      <c r="J380" t="n">
        <v>23.31</v>
      </c>
      <c r="K380" t="n">
        <v>34.01</v>
      </c>
      <c r="L380" t="n">
        <v>81.02</v>
      </c>
      <c r="M380" t="n">
        <v>98.26000000000001</v>
      </c>
      <c r="N380" t="n">
        <v>22.26</v>
      </c>
      <c r="O380" t="n">
        <v>17.03</v>
      </c>
      <c r="P380" t="n">
        <v>26.32</v>
      </c>
      <c r="Q380" t="n">
        <v>22.31</v>
      </c>
      <c r="R380" t="n">
        <v>31.82</v>
      </c>
      <c r="S380" t="n">
        <v>87.7</v>
      </c>
      <c r="T380" t="n">
        <v>98.08</v>
      </c>
      <c r="U380" t="n">
        <v>15.24</v>
      </c>
      <c r="V380" t="inlineStr">
        <is>
          <t>Type I – Tropical Monsoon (PAGASA)</t>
        </is>
      </c>
      <c r="W380" t="inlineStr">
        <is>
          <t>Wet</t>
        </is>
      </c>
      <c r="X380" t="inlineStr">
        <is>
          <t>Wet</t>
        </is>
      </c>
      <c r="Y380" t="inlineStr">
        <is>
          <t>Sandy Loam</t>
        </is>
      </c>
      <c r="Z380" t="inlineStr">
        <is>
          <t>Flat / Lowland</t>
        </is>
      </c>
      <c r="AA380" t="n">
        <v>30</v>
      </c>
      <c r="AB380" t="inlineStr">
        <is>
          <t>—</t>
        </is>
      </c>
      <c r="AC380" t="n">
        <v>377.16</v>
      </c>
      <c r="AD380" t="n">
        <v>139</v>
      </c>
      <c r="AE380" t="n">
        <v>164</v>
      </c>
      <c r="AF380" t="n">
        <v>303</v>
      </c>
      <c r="AG380" t="inlineStr">
        <is>
          <t>Transplanting (Pindot) or Direct Seeding (Pinaghandaan)</t>
        </is>
      </c>
      <c r="AH380" t="inlineStr">
        <is>
          <t>Conventional Tillage: 2 plowings + 2 harrowings; soil workable when moist</t>
        </is>
      </c>
      <c r="AI380" t="inlineStr">
        <is>
          <t>Intermittent irrigation (Alternate Wetting and Drying — AWD); moderate retention</t>
        </is>
      </c>
      <c r="AJ380" t="n">
        <v>7.5</v>
      </c>
      <c r="AK380" t="n">
        <v>37.58</v>
      </c>
      <c r="AL380" t="n">
        <v>5.01</v>
      </c>
      <c r="AM380" t="inlineStr">
        <is>
          <t>No</t>
        </is>
      </c>
      <c r="AN380" t="inlineStr">
        <is>
          <t>Observed harvest</t>
        </is>
      </c>
    </row>
    <row r="381">
      <c r="A381" t="inlineStr">
        <is>
          <t>Palay</t>
        </is>
      </c>
      <c r="B381" t="inlineStr">
        <is>
          <t>Cili</t>
        </is>
      </c>
      <c r="C381" t="inlineStr">
        <is>
          <t>WS 2020</t>
        </is>
      </c>
      <c r="D381" t="inlineStr">
        <is>
          <t>June</t>
        </is>
      </c>
      <c r="E381" t="inlineStr">
        <is>
          <t>2020</t>
        </is>
      </c>
      <c r="F381" t="inlineStr">
        <is>
          <t>October</t>
        </is>
      </c>
      <c r="G381" t="inlineStr">
        <is>
          <t>2020</t>
        </is>
      </c>
      <c r="H381" t="n">
        <v>10.81</v>
      </c>
      <c r="I381" t="n">
        <v>27.71</v>
      </c>
      <c r="J381" t="n">
        <v>23.31</v>
      </c>
      <c r="K381" t="n">
        <v>34.01</v>
      </c>
      <c r="L381" t="n">
        <v>81.02</v>
      </c>
      <c r="M381" t="n">
        <v>98.26000000000001</v>
      </c>
      <c r="N381" t="n">
        <v>22.26</v>
      </c>
      <c r="O381" t="n">
        <v>17.03</v>
      </c>
      <c r="P381" t="n">
        <v>26.32</v>
      </c>
      <c r="Q381" t="n">
        <v>22.31</v>
      </c>
      <c r="R381" t="n">
        <v>31.82</v>
      </c>
      <c r="S381" t="n">
        <v>87.7</v>
      </c>
      <c r="T381" t="n">
        <v>98.08</v>
      </c>
      <c r="U381" t="n">
        <v>15.24</v>
      </c>
      <c r="V381" t="inlineStr">
        <is>
          <t>Type I – Tropical Monsoon (PAGASA)</t>
        </is>
      </c>
      <c r="W381" t="inlineStr">
        <is>
          <t>Wet</t>
        </is>
      </c>
      <c r="X381" t="inlineStr">
        <is>
          <t>Wet</t>
        </is>
      </c>
      <c r="Y381" t="inlineStr">
        <is>
          <t>Silty Clay Loam</t>
        </is>
      </c>
      <c r="Z381" t="inlineStr">
        <is>
          <t>Flat / Lowland</t>
        </is>
      </c>
      <c r="AA381" t="n">
        <v>30</v>
      </c>
      <c r="AB381" t="inlineStr">
        <is>
          <t>Alibeng River</t>
        </is>
      </c>
      <c r="AC381" t="n">
        <v>264.6</v>
      </c>
      <c r="AD381" t="n">
        <v>40</v>
      </c>
      <c r="AE381" t="n">
        <v>128</v>
      </c>
      <c r="AF381" t="n">
        <v>168</v>
      </c>
      <c r="AG381" t="inlineStr">
        <is>
          <t>Transplanting (Pindot) — optimal for clay-loam paddy fields</t>
        </is>
      </c>
      <c r="AH381" t="inlineStr">
        <is>
          <t>Wet Tillage (Puddling): 2 plowings + thorough harrowing under flooded condition</t>
        </is>
      </c>
      <c r="AI381" t="inlineStr">
        <is>
          <t>Continuous flooding 2–5 cm depth during vegetative stage; drain 2 weeks before harvest</t>
        </is>
      </c>
      <c r="AJ381" t="n">
        <v>38.6</v>
      </c>
      <c r="AK381" t="n">
        <v>12.07</v>
      </c>
      <c r="AL381" t="n">
        <v>0.31</v>
      </c>
      <c r="AM381" t="inlineStr">
        <is>
          <t>No</t>
        </is>
      </c>
      <c r="AN381" t="inlineStr">
        <is>
          <t>Observed harvest</t>
        </is>
      </c>
    </row>
    <row r="382">
      <c r="A382" t="inlineStr">
        <is>
          <t>Palay</t>
        </is>
      </c>
      <c r="B382" t="inlineStr">
        <is>
          <t>Dumayat</t>
        </is>
      </c>
      <c r="C382" t="inlineStr">
        <is>
          <t>WS 2020</t>
        </is>
      </c>
      <c r="D382" t="inlineStr">
        <is>
          <t>June</t>
        </is>
      </c>
      <c r="E382" t="inlineStr">
        <is>
          <t>2020</t>
        </is>
      </c>
      <c r="F382" t="inlineStr">
        <is>
          <t>October</t>
        </is>
      </c>
      <c r="G382" t="inlineStr">
        <is>
          <t>2020</t>
        </is>
      </c>
      <c r="H382" t="n">
        <v>10.81</v>
      </c>
      <c r="I382" t="n">
        <v>27.71</v>
      </c>
      <c r="J382" t="n">
        <v>23.31</v>
      </c>
      <c r="K382" t="n">
        <v>34.01</v>
      </c>
      <c r="L382" t="n">
        <v>81.02</v>
      </c>
      <c r="M382" t="n">
        <v>98.26000000000001</v>
      </c>
      <c r="N382" t="n">
        <v>22.26</v>
      </c>
      <c r="O382" t="n">
        <v>17.03</v>
      </c>
      <c r="P382" t="n">
        <v>26.32</v>
      </c>
      <c r="Q382" t="n">
        <v>22.31</v>
      </c>
      <c r="R382" t="n">
        <v>31.82</v>
      </c>
      <c r="S382" t="n">
        <v>87.7</v>
      </c>
      <c r="T382" t="n">
        <v>98.08</v>
      </c>
      <c r="U382" t="n">
        <v>15.24</v>
      </c>
      <c r="V382" t="inlineStr">
        <is>
          <t>Type I – Tropical Monsoon (PAGASA)</t>
        </is>
      </c>
      <c r="W382" t="inlineStr">
        <is>
          <t>Wet</t>
        </is>
      </c>
      <c r="X382" t="inlineStr">
        <is>
          <t>Wet</t>
        </is>
      </c>
      <c r="Y382" t="inlineStr">
        <is>
          <t>Silty Clay Loam</t>
        </is>
      </c>
      <c r="Z382" t="inlineStr">
        <is>
          <t>Flat / Lowland</t>
        </is>
      </c>
      <c r="AA382" t="n">
        <v>30</v>
      </c>
      <c r="AB382" t="inlineStr">
        <is>
          <t>—</t>
        </is>
      </c>
      <c r="AC382" t="n">
        <v>266.28</v>
      </c>
      <c r="AD382" t="n">
        <v>56</v>
      </c>
      <c r="AE382" t="n">
        <v>30</v>
      </c>
      <c r="AF382" t="n">
        <v>86</v>
      </c>
      <c r="AG382" t="inlineStr">
        <is>
          <t>Transplanting (Pindot) — optimal for clay-loam paddy fields</t>
        </is>
      </c>
      <c r="AH382" t="inlineStr">
        <is>
          <t>Wet Tillage (Puddling): 2 plowings + thorough harrowing under flooded condition</t>
        </is>
      </c>
      <c r="AI382" t="inlineStr">
        <is>
          <t>Continuous flooding 2–5 cm depth during vegetative stage; drain 2 weeks before harvest</t>
        </is>
      </c>
      <c r="AJ382" t="n">
        <v>3.15</v>
      </c>
      <c r="AK382" t="n">
        <v>9.77</v>
      </c>
      <c r="AL382" t="n">
        <v>3.1</v>
      </c>
      <c r="AM382" t="inlineStr">
        <is>
          <t>No</t>
        </is>
      </c>
      <c r="AN382" t="inlineStr">
        <is>
          <t>Observed harvest</t>
        </is>
      </c>
    </row>
    <row r="383">
      <c r="A383" t="inlineStr">
        <is>
          <t>Palay</t>
        </is>
      </c>
      <c r="B383" t="inlineStr">
        <is>
          <t>Linmansangan</t>
        </is>
      </c>
      <c r="C383" t="inlineStr">
        <is>
          <t>WS 2020</t>
        </is>
      </c>
      <c r="D383" t="inlineStr">
        <is>
          <t>June</t>
        </is>
      </c>
      <c r="E383" t="inlineStr">
        <is>
          <t>2020</t>
        </is>
      </c>
      <c r="F383" t="inlineStr">
        <is>
          <t>October</t>
        </is>
      </c>
      <c r="G383" t="inlineStr">
        <is>
          <t>2020</t>
        </is>
      </c>
      <c r="H383" t="n">
        <v>10.81</v>
      </c>
      <c r="I383" t="n">
        <v>27.71</v>
      </c>
      <c r="J383" t="n">
        <v>23.31</v>
      </c>
      <c r="K383" t="n">
        <v>34.01</v>
      </c>
      <c r="L383" t="n">
        <v>81.02</v>
      </c>
      <c r="M383" t="n">
        <v>98.26000000000001</v>
      </c>
      <c r="N383" t="n">
        <v>22.26</v>
      </c>
      <c r="O383" t="n">
        <v>17.03</v>
      </c>
      <c r="P383" t="n">
        <v>26.32</v>
      </c>
      <c r="Q383" t="n">
        <v>22.31</v>
      </c>
      <c r="R383" t="n">
        <v>31.82</v>
      </c>
      <c r="S383" t="n">
        <v>87.7</v>
      </c>
      <c r="T383" t="n">
        <v>98.08</v>
      </c>
      <c r="U383" t="n">
        <v>15.24</v>
      </c>
      <c r="V383" t="inlineStr">
        <is>
          <t>Type I – Tropical Monsoon (PAGASA)</t>
        </is>
      </c>
      <c r="W383" t="inlineStr">
        <is>
          <t>Wet</t>
        </is>
      </c>
      <c r="X383" t="inlineStr">
        <is>
          <t>Wet</t>
        </is>
      </c>
      <c r="Y383" t="inlineStr">
        <is>
          <t>Silty Clay Loam</t>
        </is>
      </c>
      <c r="Z383" t="inlineStr">
        <is>
          <t>Flat / Lowland</t>
        </is>
      </c>
      <c r="AA383" t="n">
        <v>30</v>
      </c>
      <c r="AB383" t="inlineStr">
        <is>
          <t>—</t>
        </is>
      </c>
      <c r="AC383" t="n">
        <v>492.24</v>
      </c>
      <c r="AD383" t="n">
        <v>65.5</v>
      </c>
      <c r="AE383" t="n">
        <v>146</v>
      </c>
      <c r="AF383" t="n">
        <v>211.5</v>
      </c>
      <c r="AG383" t="inlineStr">
        <is>
          <t>Transplanting (Pindot) — optimal for clay-loam paddy fields</t>
        </is>
      </c>
      <c r="AH383" t="inlineStr">
        <is>
          <t>Wet Tillage (Puddling): 2 plowings + thorough harrowing under flooded condition</t>
        </is>
      </c>
      <c r="AI383" t="inlineStr">
        <is>
          <t>Continuous flooding 2–5 cm depth during vegetative stage; drain 2 weeks before harvest</t>
        </is>
      </c>
      <c r="AJ383" t="n">
        <v>85.18000000000001</v>
      </c>
      <c r="AK383" t="n">
        <v>171.55</v>
      </c>
      <c r="AL383" t="n">
        <v>2.01</v>
      </c>
      <c r="AM383" t="inlineStr">
        <is>
          <t>No</t>
        </is>
      </c>
      <c r="AN383" t="inlineStr">
        <is>
          <t>Observed harvest</t>
        </is>
      </c>
    </row>
    <row r="384">
      <c r="A384" t="inlineStr">
        <is>
          <t>Palay</t>
        </is>
      </c>
      <c r="B384" t="inlineStr">
        <is>
          <t>Mangkasuy</t>
        </is>
      </c>
      <c r="C384" t="inlineStr">
        <is>
          <t>WS 2020</t>
        </is>
      </c>
      <c r="D384" t="inlineStr">
        <is>
          <t>June</t>
        </is>
      </c>
      <c r="E384" t="inlineStr">
        <is>
          <t>2020</t>
        </is>
      </c>
      <c r="F384" t="inlineStr">
        <is>
          <t>October</t>
        </is>
      </c>
      <c r="G384" t="inlineStr">
        <is>
          <t>2020</t>
        </is>
      </c>
      <c r="H384" t="n">
        <v>10.81</v>
      </c>
      <c r="I384" t="n">
        <v>27.71</v>
      </c>
      <c r="J384" t="n">
        <v>23.31</v>
      </c>
      <c r="K384" t="n">
        <v>34.01</v>
      </c>
      <c r="L384" t="n">
        <v>81.02</v>
      </c>
      <c r="M384" t="n">
        <v>98.26000000000001</v>
      </c>
      <c r="N384" t="n">
        <v>22.26</v>
      </c>
      <c r="O384" t="n">
        <v>17.03</v>
      </c>
      <c r="P384" t="n">
        <v>26.32</v>
      </c>
      <c r="Q384" t="n">
        <v>22.31</v>
      </c>
      <c r="R384" t="n">
        <v>31.82</v>
      </c>
      <c r="S384" t="n">
        <v>87.7</v>
      </c>
      <c r="T384" t="n">
        <v>98.08</v>
      </c>
      <c r="U384" t="n">
        <v>15.24</v>
      </c>
      <c r="V384" t="inlineStr">
        <is>
          <t>Type I – Tropical Monsoon (PAGASA)</t>
        </is>
      </c>
      <c r="W384" t="inlineStr">
        <is>
          <t>Wet</t>
        </is>
      </c>
      <c r="X384" t="inlineStr">
        <is>
          <t>Wet</t>
        </is>
      </c>
      <c r="Y384" t="inlineStr">
        <is>
          <t>Sandy Loam</t>
        </is>
      </c>
      <c r="Z384" t="inlineStr">
        <is>
          <t>Flat / Lowland</t>
        </is>
      </c>
      <c r="AA384" t="n">
        <v>30</v>
      </c>
      <c r="AB384" t="inlineStr">
        <is>
          <t>Tagamusing River</t>
        </is>
      </c>
      <c r="AC384" t="n">
        <v>802.2</v>
      </c>
      <c r="AD384" t="n">
        <v>90</v>
      </c>
      <c r="AE384" t="n">
        <v>262</v>
      </c>
      <c r="AF384" t="n">
        <v>352</v>
      </c>
      <c r="AG384" t="inlineStr">
        <is>
          <t>Transplanting (Pindot) or Direct Seeding (Pinaghandaan)</t>
        </is>
      </c>
      <c r="AH384" t="inlineStr">
        <is>
          <t>Conventional Tillage: 2 plowings + 2 harrowings; soil workable when moist</t>
        </is>
      </c>
      <c r="AI384" t="inlineStr">
        <is>
          <t>Intermittent irrigation (Alternate Wetting and Drying — AWD); moderate retention</t>
        </is>
      </c>
      <c r="AJ384" t="n">
        <v>6</v>
      </c>
      <c r="AK384" t="n">
        <v>30</v>
      </c>
      <c r="AL384" t="n">
        <v>5</v>
      </c>
      <c r="AM384" t="inlineStr">
        <is>
          <t>No</t>
        </is>
      </c>
      <c r="AN384" t="inlineStr">
        <is>
          <t>Observed harvest</t>
        </is>
      </c>
    </row>
    <row r="385">
      <c r="A385" t="inlineStr">
        <is>
          <t>Palay</t>
        </is>
      </c>
      <c r="B385" t="inlineStr">
        <is>
          <t>Moreno</t>
        </is>
      </c>
      <c r="C385" t="inlineStr">
        <is>
          <t>WS 2020</t>
        </is>
      </c>
      <c r="D385" t="inlineStr">
        <is>
          <t>June</t>
        </is>
      </c>
      <c r="E385" t="inlineStr">
        <is>
          <t>2020</t>
        </is>
      </c>
      <c r="F385" t="inlineStr">
        <is>
          <t>October</t>
        </is>
      </c>
      <c r="G385" t="inlineStr">
        <is>
          <t>2020</t>
        </is>
      </c>
      <c r="H385" t="n">
        <v>10.81</v>
      </c>
      <c r="I385" t="n">
        <v>27.71</v>
      </c>
      <c r="J385" t="n">
        <v>23.31</v>
      </c>
      <c r="K385" t="n">
        <v>34.01</v>
      </c>
      <c r="L385" t="n">
        <v>81.02</v>
      </c>
      <c r="M385" t="n">
        <v>98.26000000000001</v>
      </c>
      <c r="N385" t="n">
        <v>22.26</v>
      </c>
      <c r="O385" t="n">
        <v>17.03</v>
      </c>
      <c r="P385" t="n">
        <v>26.32</v>
      </c>
      <c r="Q385" t="n">
        <v>22.31</v>
      </c>
      <c r="R385" t="n">
        <v>31.82</v>
      </c>
      <c r="S385" t="n">
        <v>87.7</v>
      </c>
      <c r="T385" t="n">
        <v>98.08</v>
      </c>
      <c r="U385" t="n">
        <v>15.24</v>
      </c>
      <c r="V385" t="inlineStr">
        <is>
          <t>Type I – Tropical Monsoon (PAGASA)</t>
        </is>
      </c>
      <c r="W385" t="inlineStr">
        <is>
          <t>Wet</t>
        </is>
      </c>
      <c r="X385" t="inlineStr">
        <is>
          <t>Wet</t>
        </is>
      </c>
      <c r="Y385" t="inlineStr">
        <is>
          <t>Sandy Loam</t>
        </is>
      </c>
      <c r="Z385" t="inlineStr">
        <is>
          <t>Moderately Sloping / Highland</t>
        </is>
      </c>
      <c r="AA385" t="n">
        <v>90</v>
      </c>
      <c r="AB385" t="inlineStr">
        <is>
          <t>Alibeng River</t>
        </is>
      </c>
      <c r="AC385" t="n">
        <v>641.76</v>
      </c>
      <c r="AD385" t="n">
        <v>47.4</v>
      </c>
      <c r="AE385" t="n">
        <v>116.6</v>
      </c>
      <c r="AF385" t="n">
        <v>164</v>
      </c>
      <c r="AG385" t="inlineStr">
        <is>
          <t>Transplanting (Pindot) or Direct Seeding (Pinaghandaan)</t>
        </is>
      </c>
      <c r="AH385" t="inlineStr">
        <is>
          <t>Conventional Tillage: 2 plowings + 2 harrowings; soil workable when moist</t>
        </is>
      </c>
      <c r="AI385" t="inlineStr">
        <is>
          <t>Intermittent irrigation (Alternate Wetting and Drying — AWD); moderate retention; terrace or bund-assisted water retention essential on slopes</t>
        </is>
      </c>
      <c r="AJ385" t="n">
        <v>34.35</v>
      </c>
      <c r="AK385" t="n">
        <v>123.96</v>
      </c>
      <c r="AL385" t="n">
        <v>3.61</v>
      </c>
      <c r="AM385" t="inlineStr">
        <is>
          <t>No</t>
        </is>
      </c>
      <c r="AN385" t="inlineStr">
        <is>
          <t>Observed harvest</t>
        </is>
      </c>
    </row>
    <row r="386">
      <c r="A386" t="inlineStr">
        <is>
          <t>Palay</t>
        </is>
      </c>
      <c r="B386" t="inlineStr">
        <is>
          <t>Pasileng Norte</t>
        </is>
      </c>
      <c r="C386" t="inlineStr">
        <is>
          <t>WS 2020</t>
        </is>
      </c>
      <c r="D386" t="inlineStr">
        <is>
          <t>June</t>
        </is>
      </c>
      <c r="E386" t="inlineStr">
        <is>
          <t>2020</t>
        </is>
      </c>
      <c r="F386" t="inlineStr">
        <is>
          <t>October</t>
        </is>
      </c>
      <c r="G386" t="inlineStr">
        <is>
          <t>2020</t>
        </is>
      </c>
      <c r="H386" t="n">
        <v>10.81</v>
      </c>
      <c r="I386" t="n">
        <v>27.71</v>
      </c>
      <c r="J386" t="n">
        <v>23.31</v>
      </c>
      <c r="K386" t="n">
        <v>34.01</v>
      </c>
      <c r="L386" t="n">
        <v>81.02</v>
      </c>
      <c r="M386" t="n">
        <v>98.26000000000001</v>
      </c>
      <c r="N386" t="n">
        <v>22.26</v>
      </c>
      <c r="O386" t="n">
        <v>17.03</v>
      </c>
      <c r="P386" t="n">
        <v>26.32</v>
      </c>
      <c r="Q386" t="n">
        <v>22.31</v>
      </c>
      <c r="R386" t="n">
        <v>31.82</v>
      </c>
      <c r="S386" t="n">
        <v>87.7</v>
      </c>
      <c r="T386" t="n">
        <v>98.08</v>
      </c>
      <c r="U386" t="n">
        <v>15.24</v>
      </c>
      <c r="V386" t="inlineStr">
        <is>
          <t>Type I – Tropical Monsoon (PAGASA)</t>
        </is>
      </c>
      <c r="W386" t="inlineStr">
        <is>
          <t>Wet</t>
        </is>
      </c>
      <c r="X386" t="inlineStr">
        <is>
          <t>Wet</t>
        </is>
      </c>
      <c r="Y386" t="inlineStr">
        <is>
          <t>Sandy Loam</t>
        </is>
      </c>
      <c r="Z386" t="inlineStr">
        <is>
          <t>Flat / Lowland</t>
        </is>
      </c>
      <c r="AA386" t="n">
        <v>30</v>
      </c>
      <c r="AB386" t="inlineStr">
        <is>
          <t>Tagamusing River</t>
        </is>
      </c>
      <c r="AC386" t="n">
        <v>140.28</v>
      </c>
      <c r="AD386" t="n">
        <v>78.34999999999999</v>
      </c>
      <c r="AE386" t="n">
        <v>2.65</v>
      </c>
      <c r="AF386" t="n">
        <v>81</v>
      </c>
      <c r="AG386" t="inlineStr">
        <is>
          <t>Transplanting (Pindot) or Direct Seeding (Pinaghandaan)</t>
        </is>
      </c>
      <c r="AH386" t="inlineStr">
        <is>
          <t>Conventional Tillage: 2 plowings + 2 harrowings; soil workable when moist</t>
        </is>
      </c>
      <c r="AI386" t="inlineStr">
        <is>
          <t>Intermittent irrigation (Alternate Wetting and Drying — AWD); moderate retention</t>
        </is>
      </c>
      <c r="AJ386" t="n">
        <v>4.5</v>
      </c>
      <c r="AK386" t="n">
        <v>24.75</v>
      </c>
      <c r="AL386" t="n">
        <v>5.5</v>
      </c>
      <c r="AM386" t="inlineStr">
        <is>
          <t>No</t>
        </is>
      </c>
      <c r="AN386" t="inlineStr">
        <is>
          <t>Observed harvest</t>
        </is>
      </c>
    </row>
    <row r="387">
      <c r="A387" t="inlineStr">
        <is>
          <t>Palay</t>
        </is>
      </c>
      <c r="B387" t="inlineStr">
        <is>
          <t>Pasileng Sur</t>
        </is>
      </c>
      <c r="C387" t="inlineStr">
        <is>
          <t>WS 2020</t>
        </is>
      </c>
      <c r="D387" t="inlineStr">
        <is>
          <t>June</t>
        </is>
      </c>
      <c r="E387" t="inlineStr">
        <is>
          <t>2020</t>
        </is>
      </c>
      <c r="F387" t="inlineStr">
        <is>
          <t>October</t>
        </is>
      </c>
      <c r="G387" t="inlineStr">
        <is>
          <t>2020</t>
        </is>
      </c>
      <c r="H387" t="n">
        <v>10.81</v>
      </c>
      <c r="I387" t="n">
        <v>27.71</v>
      </c>
      <c r="J387" t="n">
        <v>23.31</v>
      </c>
      <c r="K387" t="n">
        <v>34.01</v>
      </c>
      <c r="L387" t="n">
        <v>81.02</v>
      </c>
      <c r="M387" t="n">
        <v>98.26000000000001</v>
      </c>
      <c r="N387" t="n">
        <v>22.26</v>
      </c>
      <c r="O387" t="n">
        <v>17.03</v>
      </c>
      <c r="P387" t="n">
        <v>26.32</v>
      </c>
      <c r="Q387" t="n">
        <v>22.31</v>
      </c>
      <c r="R387" t="n">
        <v>31.82</v>
      </c>
      <c r="S387" t="n">
        <v>87.7</v>
      </c>
      <c r="T387" t="n">
        <v>98.08</v>
      </c>
      <c r="U387" t="n">
        <v>15.24</v>
      </c>
      <c r="V387" t="inlineStr">
        <is>
          <t>Type I – Tropical Monsoon (PAGASA)</t>
        </is>
      </c>
      <c r="W387" t="inlineStr">
        <is>
          <t>Wet</t>
        </is>
      </c>
      <c r="X387" t="inlineStr">
        <is>
          <t>Wet</t>
        </is>
      </c>
      <c r="Y387" t="inlineStr">
        <is>
          <t>Sandy Loam</t>
        </is>
      </c>
      <c r="Z387" t="inlineStr">
        <is>
          <t>Flat / Lowland</t>
        </is>
      </c>
      <c r="AA387" t="n">
        <v>30</v>
      </c>
      <c r="AB387" t="inlineStr">
        <is>
          <t>Tagamusing River</t>
        </is>
      </c>
      <c r="AC387" t="n">
        <v>414.96</v>
      </c>
      <c r="AD387" t="n">
        <v>150.9</v>
      </c>
      <c r="AE387" t="n">
        <v>29.1</v>
      </c>
      <c r="AF387" t="n">
        <v>180</v>
      </c>
      <c r="AG387" t="inlineStr">
        <is>
          <t>Transplanting (Pindot) or Direct Seeding (Pinaghandaan)</t>
        </is>
      </c>
      <c r="AH387" t="inlineStr">
        <is>
          <t>Conventional Tillage: 2 plowings + 2 harrowings; soil workable when moist</t>
        </is>
      </c>
      <c r="AI387" t="inlineStr">
        <is>
          <t>Intermittent irrigation (Alternate Wetting and Drying — AWD); moderate retention</t>
        </is>
      </c>
      <c r="AJ387" t="n">
        <v>3.6</v>
      </c>
      <c r="AK387" t="n">
        <v>21.82</v>
      </c>
      <c r="AL387" t="n">
        <v>6.06</v>
      </c>
      <c r="AM387" t="inlineStr">
        <is>
          <t>No</t>
        </is>
      </c>
      <c r="AN387" t="inlineStr">
        <is>
          <t>Observed harvest</t>
        </is>
      </c>
    </row>
    <row r="388">
      <c r="A388" t="inlineStr">
        <is>
          <t>Palay</t>
        </is>
      </c>
      <c r="B388" t="inlineStr">
        <is>
          <t>San Felipe Central</t>
        </is>
      </c>
      <c r="C388" t="inlineStr">
        <is>
          <t>WS 2020</t>
        </is>
      </c>
      <c r="D388" t="inlineStr">
        <is>
          <t>June</t>
        </is>
      </c>
      <c r="E388" t="inlineStr">
        <is>
          <t>2020</t>
        </is>
      </c>
      <c r="F388" t="inlineStr">
        <is>
          <t>October</t>
        </is>
      </c>
      <c r="G388" t="inlineStr">
        <is>
          <t>2020</t>
        </is>
      </c>
      <c r="H388" t="n">
        <v>10.81</v>
      </c>
      <c r="I388" t="n">
        <v>27.71</v>
      </c>
      <c r="J388" t="n">
        <v>23.31</v>
      </c>
      <c r="K388" t="n">
        <v>34.01</v>
      </c>
      <c r="L388" t="n">
        <v>81.02</v>
      </c>
      <c r="M388" t="n">
        <v>98.26000000000001</v>
      </c>
      <c r="N388" t="n">
        <v>22.26</v>
      </c>
      <c r="O388" t="n">
        <v>17.03</v>
      </c>
      <c r="P388" t="n">
        <v>26.32</v>
      </c>
      <c r="Q388" t="n">
        <v>22.31</v>
      </c>
      <c r="R388" t="n">
        <v>31.82</v>
      </c>
      <c r="S388" t="n">
        <v>87.7</v>
      </c>
      <c r="T388" t="n">
        <v>98.08</v>
      </c>
      <c r="U388" t="n">
        <v>15.24</v>
      </c>
      <c r="V388" t="inlineStr">
        <is>
          <t>Type I – Tropical Monsoon (PAGASA)</t>
        </is>
      </c>
      <c r="W388" t="inlineStr">
        <is>
          <t>Wet</t>
        </is>
      </c>
      <c r="X388" t="inlineStr">
        <is>
          <t>Wet</t>
        </is>
      </c>
      <c r="Y388" t="inlineStr">
        <is>
          <t>Sandy Loam</t>
        </is>
      </c>
      <c r="Z388" t="inlineStr">
        <is>
          <t>Flat / Lowland</t>
        </is>
      </c>
      <c r="AA388" t="n">
        <v>30</v>
      </c>
      <c r="AB388" t="inlineStr">
        <is>
          <t>—</t>
        </is>
      </c>
      <c r="AC388" t="n">
        <v>452.76</v>
      </c>
      <c r="AD388" t="n">
        <v>117</v>
      </c>
      <c r="AE388" t="n">
        <v>62</v>
      </c>
      <c r="AF388" t="n">
        <v>179</v>
      </c>
      <c r="AG388" t="inlineStr">
        <is>
          <t>Transplanting (Pindot) or Direct Seeding (Pinaghandaan)</t>
        </is>
      </c>
      <c r="AH388" t="inlineStr">
        <is>
          <t>Conventional Tillage: 2 plowings + 2 harrowings; soil workable when moist</t>
        </is>
      </c>
      <c r="AI388" t="inlineStr">
        <is>
          <t>Intermittent irrigation (Alternate Wetting and Drying — AWD); moderate retention</t>
        </is>
      </c>
      <c r="AJ388" t="n">
        <v>2.8</v>
      </c>
      <c r="AK388" t="n">
        <v>14</v>
      </c>
      <c r="AL388" t="n">
        <v>5</v>
      </c>
      <c r="AM388" t="inlineStr">
        <is>
          <t>No</t>
        </is>
      </c>
      <c r="AN388" t="inlineStr">
        <is>
          <t>Observed harvest</t>
        </is>
      </c>
    </row>
    <row r="389">
      <c r="A389" t="inlineStr">
        <is>
          <t>Palay</t>
        </is>
      </c>
      <c r="B389" t="inlineStr">
        <is>
          <t>San Felipe Sur</t>
        </is>
      </c>
      <c r="C389" t="inlineStr">
        <is>
          <t>WS 2020</t>
        </is>
      </c>
      <c r="D389" t="inlineStr">
        <is>
          <t>June</t>
        </is>
      </c>
      <c r="E389" t="inlineStr">
        <is>
          <t>2020</t>
        </is>
      </c>
      <c r="F389" t="inlineStr">
        <is>
          <t>October</t>
        </is>
      </c>
      <c r="G389" t="inlineStr">
        <is>
          <t>2020</t>
        </is>
      </c>
      <c r="H389" t="n">
        <v>10.81</v>
      </c>
      <c r="I389" t="n">
        <v>27.71</v>
      </c>
      <c r="J389" t="n">
        <v>23.31</v>
      </c>
      <c r="K389" t="n">
        <v>34.01</v>
      </c>
      <c r="L389" t="n">
        <v>81.02</v>
      </c>
      <c r="M389" t="n">
        <v>98.26000000000001</v>
      </c>
      <c r="N389" t="n">
        <v>22.26</v>
      </c>
      <c r="O389" t="n">
        <v>17.03</v>
      </c>
      <c r="P389" t="n">
        <v>26.32</v>
      </c>
      <c r="Q389" t="n">
        <v>22.31</v>
      </c>
      <c r="R389" t="n">
        <v>31.82</v>
      </c>
      <c r="S389" t="n">
        <v>87.7</v>
      </c>
      <c r="T389" t="n">
        <v>98.08</v>
      </c>
      <c r="U389" t="n">
        <v>15.24</v>
      </c>
      <c r="V389" t="inlineStr">
        <is>
          <t>Type I – Tropical Monsoon (PAGASA)</t>
        </is>
      </c>
      <c r="W389" t="inlineStr">
        <is>
          <t>Wet</t>
        </is>
      </c>
      <c r="X389" t="inlineStr">
        <is>
          <t>Wet</t>
        </is>
      </c>
      <c r="Y389" t="inlineStr">
        <is>
          <t>Sandy Loam</t>
        </is>
      </c>
      <c r="Z389" t="inlineStr">
        <is>
          <t>Flat / Lowland</t>
        </is>
      </c>
      <c r="AA389" t="n">
        <v>30</v>
      </c>
      <c r="AB389" t="inlineStr">
        <is>
          <t>Tagamusing River</t>
        </is>
      </c>
      <c r="AC389" t="n">
        <v>504</v>
      </c>
      <c r="AD389" t="n">
        <v>127.5</v>
      </c>
      <c r="AE389" t="n">
        <v>50.5</v>
      </c>
      <c r="AF389" t="n">
        <v>178</v>
      </c>
      <c r="AG389" t="inlineStr">
        <is>
          <t>Transplanting (Pindot) or Direct Seeding (Pinaghandaan)</t>
        </is>
      </c>
      <c r="AH389" t="inlineStr">
        <is>
          <t>Conventional Tillage: 2 plowings + 2 harrowings; soil workable when moist</t>
        </is>
      </c>
      <c r="AI389" t="inlineStr">
        <is>
          <t>Intermittent irrigation (Alternate Wetting and Drying — AWD); moderate retention</t>
        </is>
      </c>
      <c r="AJ389" t="n">
        <v>6.4</v>
      </c>
      <c r="AK389" t="n">
        <v>31.04</v>
      </c>
      <c r="AL389" t="n">
        <v>4.85</v>
      </c>
      <c r="AM389" t="inlineStr">
        <is>
          <t>No</t>
        </is>
      </c>
      <c r="AN389" t="inlineStr">
        <is>
          <t>Observed harvest</t>
        </is>
      </c>
    </row>
    <row r="390">
      <c r="A390" t="inlineStr">
        <is>
          <t>Palay</t>
        </is>
      </c>
      <c r="B390" t="inlineStr">
        <is>
          <t>San Pablo</t>
        </is>
      </c>
      <c r="C390" t="inlineStr">
        <is>
          <t>WS 2020</t>
        </is>
      </c>
      <c r="D390" t="inlineStr">
        <is>
          <t>June</t>
        </is>
      </c>
      <c r="E390" t="inlineStr">
        <is>
          <t>2020</t>
        </is>
      </c>
      <c r="F390" t="inlineStr">
        <is>
          <t>October</t>
        </is>
      </c>
      <c r="G390" t="inlineStr">
        <is>
          <t>2020</t>
        </is>
      </c>
      <c r="H390" t="n">
        <v>10.81</v>
      </c>
      <c r="I390" t="n">
        <v>27.71</v>
      </c>
      <c r="J390" t="n">
        <v>23.31</v>
      </c>
      <c r="K390" t="n">
        <v>34.01</v>
      </c>
      <c r="L390" t="n">
        <v>81.02</v>
      </c>
      <c r="M390" t="n">
        <v>98.26000000000001</v>
      </c>
      <c r="N390" t="n">
        <v>22.26</v>
      </c>
      <c r="O390" t="n">
        <v>17.03</v>
      </c>
      <c r="P390" t="n">
        <v>26.32</v>
      </c>
      <c r="Q390" t="n">
        <v>22.31</v>
      </c>
      <c r="R390" t="n">
        <v>31.82</v>
      </c>
      <c r="S390" t="n">
        <v>87.7</v>
      </c>
      <c r="T390" t="n">
        <v>98.08</v>
      </c>
      <c r="U390" t="n">
        <v>15.24</v>
      </c>
      <c r="V390" t="inlineStr">
        <is>
          <t>Type I – Tropical Monsoon (PAGASA)</t>
        </is>
      </c>
      <c r="W390" t="inlineStr">
        <is>
          <t>Wet</t>
        </is>
      </c>
      <c r="X390" t="inlineStr">
        <is>
          <t>Wet</t>
        </is>
      </c>
      <c r="Y390" t="inlineStr">
        <is>
          <t>Sandy Loam</t>
        </is>
      </c>
      <c r="Z390" t="inlineStr">
        <is>
          <t>Flat / Lowland</t>
        </is>
      </c>
      <c r="AA390" t="n">
        <v>30</v>
      </c>
      <c r="AB390" t="inlineStr">
        <is>
          <t>San Pablo Creek</t>
        </is>
      </c>
      <c r="AC390" t="n">
        <v>215.04</v>
      </c>
      <c r="AD390" t="n">
        <v>103.5</v>
      </c>
      <c r="AE390" t="n">
        <v>30.5</v>
      </c>
      <c r="AF390" t="n">
        <v>134</v>
      </c>
      <c r="AG390" t="inlineStr">
        <is>
          <t>Transplanting (Pindot) or Direct Seeding (Pinaghandaan)</t>
        </is>
      </c>
      <c r="AH390" t="inlineStr">
        <is>
          <t>Conventional Tillage: 2 plowings + 2 harrowings; soil workable when moist</t>
        </is>
      </c>
      <c r="AI390" t="inlineStr">
        <is>
          <t>Intermittent irrigation (Alternate Wetting and Drying — AWD); moderate retention</t>
        </is>
      </c>
      <c r="AJ390" t="n">
        <v>2.7</v>
      </c>
      <c r="AK390" t="n">
        <v>15.53</v>
      </c>
      <c r="AL390" t="n">
        <v>5.75</v>
      </c>
      <c r="AM390" t="inlineStr">
        <is>
          <t>No</t>
        </is>
      </c>
      <c r="AN390" t="inlineStr">
        <is>
          <t>Observed harvest</t>
        </is>
      </c>
    </row>
    <row r="391">
      <c r="A391" t="inlineStr">
        <is>
          <t>Palay</t>
        </is>
      </c>
      <c r="B391" t="inlineStr">
        <is>
          <t>Santiago</t>
        </is>
      </c>
      <c r="C391" t="inlineStr">
        <is>
          <t>WS 2020</t>
        </is>
      </c>
      <c r="D391" t="inlineStr">
        <is>
          <t>June</t>
        </is>
      </c>
      <c r="E391" t="inlineStr">
        <is>
          <t>2020</t>
        </is>
      </c>
      <c r="F391" t="inlineStr">
        <is>
          <t>October</t>
        </is>
      </c>
      <c r="G391" t="inlineStr">
        <is>
          <t>2020</t>
        </is>
      </c>
      <c r="H391" t="n">
        <v>10.81</v>
      </c>
      <c r="I391" t="n">
        <v>27.71</v>
      </c>
      <c r="J391" t="n">
        <v>23.31</v>
      </c>
      <c r="K391" t="n">
        <v>34.01</v>
      </c>
      <c r="L391" t="n">
        <v>81.02</v>
      </c>
      <c r="M391" t="n">
        <v>98.26000000000001</v>
      </c>
      <c r="N391" t="n">
        <v>22.26</v>
      </c>
      <c r="O391" t="n">
        <v>17.03</v>
      </c>
      <c r="P391" t="n">
        <v>26.32</v>
      </c>
      <c r="Q391" t="n">
        <v>22.31</v>
      </c>
      <c r="R391" t="n">
        <v>31.82</v>
      </c>
      <c r="S391" t="n">
        <v>87.7</v>
      </c>
      <c r="T391" t="n">
        <v>98.08</v>
      </c>
      <c r="U391" t="n">
        <v>15.24</v>
      </c>
      <c r="V391" t="inlineStr">
        <is>
          <t>Type I – Tropical Monsoon (PAGASA)</t>
        </is>
      </c>
      <c r="W391" t="inlineStr">
        <is>
          <t>Wet</t>
        </is>
      </c>
      <c r="X391" t="inlineStr">
        <is>
          <t>Wet</t>
        </is>
      </c>
      <c r="Y391" t="inlineStr">
        <is>
          <t>Silty Clay Loam</t>
        </is>
      </c>
      <c r="Z391" t="inlineStr">
        <is>
          <t>Flat / Lowland</t>
        </is>
      </c>
      <c r="AA391" t="n">
        <v>30</v>
      </c>
      <c r="AB391" t="inlineStr">
        <is>
          <t>—</t>
        </is>
      </c>
      <c r="AC391" t="n">
        <v>283.08</v>
      </c>
      <c r="AD391" t="n">
        <v>103.6</v>
      </c>
      <c r="AE391" t="n">
        <v>145.4</v>
      </c>
      <c r="AF391" t="n">
        <v>249</v>
      </c>
      <c r="AG391" t="inlineStr">
        <is>
          <t>Transplanting (Pindot) — optimal for clay-loam paddy fields</t>
        </is>
      </c>
      <c r="AH391" t="inlineStr">
        <is>
          <t>Wet Tillage (Puddling): 2 plowings + thorough harrowing under flooded condition</t>
        </is>
      </c>
      <c r="AI391" t="inlineStr">
        <is>
          <t>Continuous flooding 2–5 cm depth during vegetative stage; drain 2 weeks before harvest</t>
        </is>
      </c>
      <c r="AJ391" t="n">
        <v>4</v>
      </c>
      <c r="AK391" t="n">
        <v>21</v>
      </c>
      <c r="AL391" t="n">
        <v>5.25</v>
      </c>
      <c r="AM391" t="inlineStr">
        <is>
          <t>No</t>
        </is>
      </c>
      <c r="AN391" t="inlineStr">
        <is>
          <t>Observed harvest</t>
        </is>
      </c>
    </row>
    <row r="392">
      <c r="A392" t="inlineStr">
        <is>
          <t>Palay</t>
        </is>
      </c>
      <c r="B392" t="inlineStr">
        <is>
          <t>Sta. Catalina</t>
        </is>
      </c>
      <c r="C392" t="inlineStr">
        <is>
          <t>WS 2020</t>
        </is>
      </c>
      <c r="D392" t="inlineStr">
        <is>
          <t>June</t>
        </is>
      </c>
      <c r="E392" t="inlineStr">
        <is>
          <t>2020</t>
        </is>
      </c>
      <c r="F392" t="inlineStr">
        <is>
          <t>October</t>
        </is>
      </c>
      <c r="G392" t="inlineStr">
        <is>
          <t>2020</t>
        </is>
      </c>
      <c r="H392" t="n">
        <v>10.81</v>
      </c>
      <c r="I392" t="n">
        <v>27.71</v>
      </c>
      <c r="J392" t="n">
        <v>23.31</v>
      </c>
      <c r="K392" t="n">
        <v>34.01</v>
      </c>
      <c r="L392" t="n">
        <v>81.02</v>
      </c>
      <c r="M392" t="n">
        <v>98.26000000000001</v>
      </c>
      <c r="N392" t="n">
        <v>22.26</v>
      </c>
      <c r="O392" t="n">
        <v>17.03</v>
      </c>
      <c r="P392" t="n">
        <v>26.32</v>
      </c>
      <c r="Q392" t="n">
        <v>22.31</v>
      </c>
      <c r="R392" t="n">
        <v>31.82</v>
      </c>
      <c r="S392" t="n">
        <v>87.7</v>
      </c>
      <c r="T392" t="n">
        <v>98.08</v>
      </c>
      <c r="U392" t="n">
        <v>15.24</v>
      </c>
      <c r="V392" t="inlineStr">
        <is>
          <t>Type I – Tropical Monsoon (PAGASA)</t>
        </is>
      </c>
      <c r="W392" t="inlineStr">
        <is>
          <t>Wet</t>
        </is>
      </c>
      <c r="X392" t="inlineStr">
        <is>
          <t>Wet</t>
        </is>
      </c>
      <c r="Y392" t="inlineStr">
        <is>
          <t>Fine Sand / Sandy Loam</t>
        </is>
      </c>
      <c r="Z392" t="inlineStr">
        <is>
          <t>Moderately Sloping / Highland</t>
        </is>
      </c>
      <c r="AA392" t="n">
        <v>90</v>
      </c>
      <c r="AB392" t="inlineStr">
        <is>
          <t>—</t>
        </is>
      </c>
      <c r="AC392" t="n">
        <v>709.8</v>
      </c>
      <c r="AD392" t="n">
        <v>49</v>
      </c>
      <c r="AE392" t="n">
        <v>180</v>
      </c>
      <c r="AF392" t="n">
        <v>229</v>
      </c>
      <c r="AG392" t="inlineStr">
        <is>
          <t>Transplanting (Pindot)</t>
        </is>
      </c>
      <c r="AH392" t="inlineStr">
        <is>
          <t>Minimum Tillage (avoid compaction; sandy structure fragile)</t>
        </is>
      </c>
      <c r="AI392" t="inlineStr">
        <is>
          <t>Continuous flooding or frequent irrigation; high percolation risk; terrace or bund-assisted water retention essential on slopes</t>
        </is>
      </c>
      <c r="AJ392" t="n">
        <v>2.8</v>
      </c>
      <c r="AK392" t="n">
        <v>8.4</v>
      </c>
      <c r="AL392" t="n">
        <v>3</v>
      </c>
      <c r="AM392" t="inlineStr">
        <is>
          <t>No</t>
        </is>
      </c>
      <c r="AN392" t="inlineStr">
        <is>
          <t>Observed harvest</t>
        </is>
      </c>
    </row>
    <row r="393">
      <c r="A393" t="inlineStr">
        <is>
          <t>Palay</t>
        </is>
      </c>
      <c r="B393" t="inlineStr">
        <is>
          <t>Sta. Maria Norte</t>
        </is>
      </c>
      <c r="C393" t="inlineStr">
        <is>
          <t>WS 2020</t>
        </is>
      </c>
      <c r="D393" t="inlineStr">
        <is>
          <t>June</t>
        </is>
      </c>
      <c r="E393" t="inlineStr">
        <is>
          <t>2020</t>
        </is>
      </c>
      <c r="F393" t="inlineStr">
        <is>
          <t>October</t>
        </is>
      </c>
      <c r="G393" t="inlineStr">
        <is>
          <t>2020</t>
        </is>
      </c>
      <c r="H393" t="n">
        <v>10.81</v>
      </c>
      <c r="I393" t="n">
        <v>27.71</v>
      </c>
      <c r="J393" t="n">
        <v>23.31</v>
      </c>
      <c r="K393" t="n">
        <v>34.01</v>
      </c>
      <c r="L393" t="n">
        <v>81.02</v>
      </c>
      <c r="M393" t="n">
        <v>98.26000000000001</v>
      </c>
      <c r="N393" t="n">
        <v>22.26</v>
      </c>
      <c r="O393" t="n">
        <v>17.03</v>
      </c>
      <c r="P393" t="n">
        <v>26.32</v>
      </c>
      <c r="Q393" t="n">
        <v>22.31</v>
      </c>
      <c r="R393" t="n">
        <v>31.82</v>
      </c>
      <c r="S393" t="n">
        <v>87.7</v>
      </c>
      <c r="T393" t="n">
        <v>98.08</v>
      </c>
      <c r="U393" t="n">
        <v>15.24</v>
      </c>
      <c r="V393" t="inlineStr">
        <is>
          <t>Type I – Tropical Monsoon (PAGASA)</t>
        </is>
      </c>
      <c r="W393" t="inlineStr">
        <is>
          <t>Wet</t>
        </is>
      </c>
      <c r="X393" t="inlineStr">
        <is>
          <t>Wet</t>
        </is>
      </c>
      <c r="Y393" t="inlineStr">
        <is>
          <t>Sandy Loam</t>
        </is>
      </c>
      <c r="Z393" t="inlineStr">
        <is>
          <t>Flat / Lowland</t>
        </is>
      </c>
      <c r="AA393" t="n">
        <v>30</v>
      </c>
      <c r="AB393" t="inlineStr">
        <is>
          <t>Tagamusing River</t>
        </is>
      </c>
      <c r="AC393" t="n">
        <v>157.08</v>
      </c>
      <c r="AD393" t="n">
        <v>24.5</v>
      </c>
      <c r="AE393" t="n">
        <v>43.5</v>
      </c>
      <c r="AF393" t="n">
        <v>68</v>
      </c>
      <c r="AG393" t="inlineStr">
        <is>
          <t>Transplanting (Pindot) or Direct Seeding (Pinaghandaan)</t>
        </is>
      </c>
      <c r="AH393" t="inlineStr">
        <is>
          <t>Conventional Tillage: 2 plowings + 2 harrowings; soil workable when moist</t>
        </is>
      </c>
      <c r="AI393" t="inlineStr">
        <is>
          <t>Intermittent irrigation (Alternate Wetting and Drying — AWD); moderate retention</t>
        </is>
      </c>
      <c r="AJ393" t="n">
        <v>3.1</v>
      </c>
      <c r="AK393" t="n">
        <v>4.84</v>
      </c>
      <c r="AL393" t="n">
        <v>1.56</v>
      </c>
      <c r="AM393" t="inlineStr">
        <is>
          <t>No</t>
        </is>
      </c>
      <c r="AN393" t="inlineStr">
        <is>
          <t>Observed harvest</t>
        </is>
      </c>
    </row>
    <row r="394">
      <c r="A394" t="inlineStr">
        <is>
          <t>Palay</t>
        </is>
      </c>
      <c r="B394" t="inlineStr">
        <is>
          <t>Sumabnit</t>
        </is>
      </c>
      <c r="C394" t="inlineStr">
        <is>
          <t>WS 2020</t>
        </is>
      </c>
      <c r="D394" t="inlineStr">
        <is>
          <t>June</t>
        </is>
      </c>
      <c r="E394" t="inlineStr">
        <is>
          <t>2020</t>
        </is>
      </c>
      <c r="F394" t="inlineStr">
        <is>
          <t>October</t>
        </is>
      </c>
      <c r="G394" t="inlineStr">
        <is>
          <t>2020</t>
        </is>
      </c>
      <c r="H394" t="n">
        <v>10.81</v>
      </c>
      <c r="I394" t="n">
        <v>27.71</v>
      </c>
      <c r="J394" t="n">
        <v>23.31</v>
      </c>
      <c r="K394" t="n">
        <v>34.01</v>
      </c>
      <c r="L394" t="n">
        <v>81.02</v>
      </c>
      <c r="M394" t="n">
        <v>98.26000000000001</v>
      </c>
      <c r="N394" t="n">
        <v>22.26</v>
      </c>
      <c r="O394" t="n">
        <v>17.03</v>
      </c>
      <c r="P394" t="n">
        <v>26.32</v>
      </c>
      <c r="Q394" t="n">
        <v>22.31</v>
      </c>
      <c r="R394" t="n">
        <v>31.82</v>
      </c>
      <c r="S394" t="n">
        <v>87.7</v>
      </c>
      <c r="T394" t="n">
        <v>98.08</v>
      </c>
      <c r="U394" t="n">
        <v>15.24</v>
      </c>
      <c r="V394" t="inlineStr">
        <is>
          <t>Type I – Tropical Monsoon (PAGASA)</t>
        </is>
      </c>
      <c r="W394" t="inlineStr">
        <is>
          <t>Wet</t>
        </is>
      </c>
      <c r="X394" t="inlineStr">
        <is>
          <t>Wet</t>
        </is>
      </c>
      <c r="Y394" t="inlineStr">
        <is>
          <t>Silty Clay Loam / Fine Sandy Loam</t>
        </is>
      </c>
      <c r="Z394" t="inlineStr">
        <is>
          <t>Flat / Lowland</t>
        </is>
      </c>
      <c r="AA394" t="n">
        <v>30</v>
      </c>
      <c r="AB394" t="inlineStr">
        <is>
          <t>Tagamusing River</t>
        </is>
      </c>
      <c r="AC394" t="n">
        <v>406.56</v>
      </c>
      <c r="AD394" t="n">
        <v>133.3</v>
      </c>
      <c r="AE394" t="n">
        <v>123.7</v>
      </c>
      <c r="AF394" t="n">
        <v>257</v>
      </c>
      <c r="AG394" t="inlineStr">
        <is>
          <t>Transplanting (Pindot)</t>
        </is>
      </c>
      <c r="AH394" t="inlineStr">
        <is>
          <t>Minimum Tillage (avoid compaction; sandy structure fragile)</t>
        </is>
      </c>
      <c r="AI394" t="inlineStr">
        <is>
          <t>Continuous flooding or frequent irrigation; high percolation risk</t>
        </is>
      </c>
      <c r="AJ394" t="n">
        <v>3.5</v>
      </c>
      <c r="AK394" t="n">
        <v>18.03</v>
      </c>
      <c r="AL394" t="n">
        <v>5.15</v>
      </c>
      <c r="AM394" t="inlineStr">
        <is>
          <t>No</t>
        </is>
      </c>
      <c r="AN394" t="inlineStr">
        <is>
          <t>Observed harvest</t>
        </is>
      </c>
    </row>
    <row r="395">
      <c r="A395" t="inlineStr">
        <is>
          <t>Palay</t>
        </is>
      </c>
      <c r="B395" t="inlineStr">
        <is>
          <t>Tabuyoc</t>
        </is>
      </c>
      <c r="C395" t="inlineStr">
        <is>
          <t>WS 2020</t>
        </is>
      </c>
      <c r="D395" t="inlineStr">
        <is>
          <t>June</t>
        </is>
      </c>
      <c r="E395" t="inlineStr">
        <is>
          <t>2020</t>
        </is>
      </c>
      <c r="F395" t="inlineStr">
        <is>
          <t>October</t>
        </is>
      </c>
      <c r="G395" t="inlineStr">
        <is>
          <t>2020</t>
        </is>
      </c>
      <c r="H395" t="n">
        <v>10.81</v>
      </c>
      <c r="I395" t="n">
        <v>27.71</v>
      </c>
      <c r="J395" t="n">
        <v>23.31</v>
      </c>
      <c r="K395" t="n">
        <v>34.01</v>
      </c>
      <c r="L395" t="n">
        <v>81.02</v>
      </c>
      <c r="M395" t="n">
        <v>98.26000000000001</v>
      </c>
      <c r="N395" t="n">
        <v>22.26</v>
      </c>
      <c r="O395" t="n">
        <v>17.03</v>
      </c>
      <c r="P395" t="n">
        <v>26.32</v>
      </c>
      <c r="Q395" t="n">
        <v>22.31</v>
      </c>
      <c r="R395" t="n">
        <v>31.82</v>
      </c>
      <c r="S395" t="n">
        <v>87.7</v>
      </c>
      <c r="T395" t="n">
        <v>98.08</v>
      </c>
      <c r="U395" t="n">
        <v>15.24</v>
      </c>
      <c r="V395" t="inlineStr">
        <is>
          <t>Type I – Tropical Monsoon (PAGASA)</t>
        </is>
      </c>
      <c r="W395" t="inlineStr">
        <is>
          <t>Wet</t>
        </is>
      </c>
      <c r="X395" t="inlineStr">
        <is>
          <t>Wet</t>
        </is>
      </c>
      <c r="Y395" t="inlineStr">
        <is>
          <t>Silty Clay Loam</t>
        </is>
      </c>
      <c r="Z395" t="inlineStr">
        <is>
          <t>Flat / Lowland</t>
        </is>
      </c>
      <c r="AA395" t="n">
        <v>30</v>
      </c>
      <c r="AB395" t="inlineStr">
        <is>
          <t>—</t>
        </is>
      </c>
      <c r="AC395" t="n">
        <v>277.2</v>
      </c>
      <c r="AD395" t="n">
        <v>134</v>
      </c>
      <c r="AE395" t="n">
        <v>5</v>
      </c>
      <c r="AF395" t="n">
        <v>139</v>
      </c>
      <c r="AG395" t="inlineStr">
        <is>
          <t>Transplanting (Pindot) — optimal for clay-loam paddy fields</t>
        </is>
      </c>
      <c r="AH395" t="inlineStr">
        <is>
          <t>Wet Tillage (Puddling): 2 plowings + thorough harrowing under flooded condition</t>
        </is>
      </c>
      <c r="AI395" t="inlineStr">
        <is>
          <t>Continuous flooding 2–5 cm depth during vegetative stage; drain 2 weeks before harvest</t>
        </is>
      </c>
      <c r="AJ395" t="n">
        <v>4</v>
      </c>
      <c r="AK395" t="n">
        <v>21.36</v>
      </c>
      <c r="AL395" t="n">
        <v>5.34</v>
      </c>
      <c r="AM395" t="inlineStr">
        <is>
          <t>No</t>
        </is>
      </c>
      <c r="AN395" t="inlineStr">
        <is>
          <t>Observed harvest</t>
        </is>
      </c>
    </row>
    <row r="396">
      <c r="A396" t="inlineStr">
        <is>
          <t>Palay</t>
        </is>
      </c>
      <c r="B396" t="inlineStr">
        <is>
          <t>Vacante</t>
        </is>
      </c>
      <c r="C396" t="inlineStr">
        <is>
          <t>WS 2020</t>
        </is>
      </c>
      <c r="D396" t="inlineStr">
        <is>
          <t>June</t>
        </is>
      </c>
      <c r="E396" t="inlineStr">
        <is>
          <t>2020</t>
        </is>
      </c>
      <c r="F396" t="inlineStr">
        <is>
          <t>October</t>
        </is>
      </c>
      <c r="G396" t="inlineStr">
        <is>
          <t>2020</t>
        </is>
      </c>
      <c r="H396" t="n">
        <v>10.81</v>
      </c>
      <c r="I396" t="n">
        <v>27.71</v>
      </c>
      <c r="J396" t="n">
        <v>23.31</v>
      </c>
      <c r="K396" t="n">
        <v>34.01</v>
      </c>
      <c r="L396" t="n">
        <v>81.02</v>
      </c>
      <c r="M396" t="n">
        <v>98.26000000000001</v>
      </c>
      <c r="N396" t="n">
        <v>22.26</v>
      </c>
      <c r="O396" t="n">
        <v>17.03</v>
      </c>
      <c r="P396" t="n">
        <v>26.32</v>
      </c>
      <c r="Q396" t="n">
        <v>22.31</v>
      </c>
      <c r="R396" t="n">
        <v>31.82</v>
      </c>
      <c r="S396" t="n">
        <v>87.7</v>
      </c>
      <c r="T396" t="n">
        <v>98.08</v>
      </c>
      <c r="U396" t="n">
        <v>15.24</v>
      </c>
      <c r="V396" t="inlineStr">
        <is>
          <t>Type I – Tropical Monsoon (PAGASA)</t>
        </is>
      </c>
      <c r="W396" t="inlineStr">
        <is>
          <t>Wet</t>
        </is>
      </c>
      <c r="X396" t="inlineStr">
        <is>
          <t>Wet</t>
        </is>
      </c>
      <c r="Y396" t="inlineStr">
        <is>
          <t>Silty Clay Loam</t>
        </is>
      </c>
      <c r="Z396" t="inlineStr">
        <is>
          <t>Flat / Lowland</t>
        </is>
      </c>
      <c r="AA396" t="n">
        <v>30</v>
      </c>
      <c r="AB396" t="inlineStr">
        <is>
          <t>Aloragat River</t>
        </is>
      </c>
      <c r="AC396" t="n">
        <v>484.68</v>
      </c>
      <c r="AD396" t="n">
        <v>28</v>
      </c>
      <c r="AE396" t="n">
        <v>81</v>
      </c>
      <c r="AF396" t="n">
        <v>109</v>
      </c>
      <c r="AG396" t="inlineStr">
        <is>
          <t>Transplanting (Pindot) — optimal for clay-loam paddy fields</t>
        </is>
      </c>
      <c r="AH396" t="inlineStr">
        <is>
          <t>Wet Tillage (Puddling): 2 plowings + thorough harrowing under flooded condition</t>
        </is>
      </c>
      <c r="AI396" t="inlineStr">
        <is>
          <t>Continuous flooding 2–5 cm depth during vegetative stage; drain 2 weeks before harvest</t>
        </is>
      </c>
      <c r="AJ396" t="n">
        <v>2.5</v>
      </c>
      <c r="AK396" t="n">
        <v>9.23</v>
      </c>
      <c r="AL396" t="n">
        <v>3.69</v>
      </c>
      <c r="AM396" t="inlineStr">
        <is>
          <t>No</t>
        </is>
      </c>
      <c r="AN396" t="inlineStr">
        <is>
          <t>Observed harvest</t>
        </is>
      </c>
    </row>
    <row r="397">
      <c r="A397" t="inlineStr">
        <is>
          <t>Palay</t>
        </is>
      </c>
      <c r="B397" t="inlineStr">
        <is>
          <t>Balangobong</t>
        </is>
      </c>
      <c r="C397" t="inlineStr">
        <is>
          <t>WS 2021</t>
        </is>
      </c>
      <c r="D397" t="inlineStr">
        <is>
          <t>June</t>
        </is>
      </c>
      <c r="E397" t="inlineStr">
        <is>
          <t>2021</t>
        </is>
      </c>
      <c r="F397" t="inlineStr">
        <is>
          <t>October</t>
        </is>
      </c>
      <c r="G397" t="inlineStr">
        <is>
          <t>2021</t>
        </is>
      </c>
      <c r="H397" t="n">
        <v>8.06</v>
      </c>
      <c r="I397" t="n">
        <v>27.03</v>
      </c>
      <c r="J397" t="n">
        <v>23.72</v>
      </c>
      <c r="K397" t="n">
        <v>34.26</v>
      </c>
      <c r="L397" t="n">
        <v>82.83</v>
      </c>
      <c r="M397" t="n">
        <v>98.25</v>
      </c>
      <c r="N397" t="n">
        <v>20.27</v>
      </c>
      <c r="O397" t="n">
        <v>10.89</v>
      </c>
      <c r="P397" t="n">
        <v>26.2</v>
      </c>
      <c r="Q397" t="n">
        <v>20.65</v>
      </c>
      <c r="R397" t="n">
        <v>31.79</v>
      </c>
      <c r="S397" t="n">
        <v>85.65000000000001</v>
      </c>
      <c r="T397" t="n">
        <v>98.22</v>
      </c>
      <c r="U397" t="n">
        <v>16.96</v>
      </c>
      <c r="V397" t="inlineStr">
        <is>
          <t>Type I – Tropical Monsoon (PAGASA)</t>
        </is>
      </c>
      <c r="W397" t="inlineStr">
        <is>
          <t>Wet</t>
        </is>
      </c>
      <c r="X397" t="inlineStr">
        <is>
          <t>Wet</t>
        </is>
      </c>
      <c r="Y397" t="inlineStr">
        <is>
          <t>Silty Clay Loam</t>
        </is>
      </c>
      <c r="Z397" t="inlineStr">
        <is>
          <t>Flat / Lowland</t>
        </is>
      </c>
      <c r="AA397" t="n">
        <v>30</v>
      </c>
      <c r="AB397" t="inlineStr">
        <is>
          <t>—</t>
        </is>
      </c>
      <c r="AC397" t="n">
        <v>281.4</v>
      </c>
      <c r="AD397" t="n">
        <v>120</v>
      </c>
      <c r="AE397" t="n">
        <v>15</v>
      </c>
      <c r="AF397" t="n">
        <v>135</v>
      </c>
      <c r="AG397" t="inlineStr">
        <is>
          <t>Transplanting (Pindot) — optimal for clay-loam paddy fields</t>
        </is>
      </c>
      <c r="AH397" t="inlineStr">
        <is>
          <t>Wet Tillage (Puddling): 2 plowings + thorough harrowing under flooded condition</t>
        </is>
      </c>
      <c r="AI397" t="inlineStr">
        <is>
          <t>Continuous flooding 2–5 cm depth during vegetative stage; drain 2 weeks before harvest</t>
        </is>
      </c>
      <c r="AJ397" t="n">
        <v>97.12</v>
      </c>
      <c r="AK397" t="n">
        <v>307.78</v>
      </c>
      <c r="AL397" t="n">
        <v>3.17</v>
      </c>
      <c r="AM397" t="inlineStr">
        <is>
          <t>No</t>
        </is>
      </c>
      <c r="AN397" t="inlineStr">
        <is>
          <t>Observed harvest</t>
        </is>
      </c>
    </row>
    <row r="398">
      <c r="A398" t="inlineStr">
        <is>
          <t>Palay</t>
        </is>
      </c>
      <c r="B398" t="inlineStr">
        <is>
          <t>Bued</t>
        </is>
      </c>
      <c r="C398" t="inlineStr">
        <is>
          <t>WS 2021</t>
        </is>
      </c>
      <c r="D398" t="inlineStr">
        <is>
          <t>June</t>
        </is>
      </c>
      <c r="E398" t="inlineStr">
        <is>
          <t>2021</t>
        </is>
      </c>
      <c r="F398" t="inlineStr">
        <is>
          <t>October</t>
        </is>
      </c>
      <c r="G398" t="inlineStr">
        <is>
          <t>2021</t>
        </is>
      </c>
      <c r="H398" t="n">
        <v>8.06</v>
      </c>
      <c r="I398" t="n">
        <v>27.03</v>
      </c>
      <c r="J398" t="n">
        <v>23.72</v>
      </c>
      <c r="K398" t="n">
        <v>34.26</v>
      </c>
      <c r="L398" t="n">
        <v>82.83</v>
      </c>
      <c r="M398" t="n">
        <v>98.25</v>
      </c>
      <c r="N398" t="n">
        <v>20.27</v>
      </c>
      <c r="O398" t="n">
        <v>10.89</v>
      </c>
      <c r="P398" t="n">
        <v>26.2</v>
      </c>
      <c r="Q398" t="n">
        <v>20.65</v>
      </c>
      <c r="R398" t="n">
        <v>31.79</v>
      </c>
      <c r="S398" t="n">
        <v>85.65000000000001</v>
      </c>
      <c r="T398" t="n">
        <v>98.22</v>
      </c>
      <c r="U398" t="n">
        <v>16.96</v>
      </c>
      <c r="V398" t="inlineStr">
        <is>
          <t>Type I – Tropical Monsoon (PAGASA)</t>
        </is>
      </c>
      <c r="W398" t="inlineStr">
        <is>
          <t>Wet</t>
        </is>
      </c>
      <c r="X398" t="inlineStr">
        <is>
          <t>Wet</t>
        </is>
      </c>
      <c r="Y398" t="inlineStr">
        <is>
          <t>Silty Clay Loam</t>
        </is>
      </c>
      <c r="Z398" t="inlineStr">
        <is>
          <t>Flat / Lowland</t>
        </is>
      </c>
      <c r="AA398" t="n">
        <v>30</v>
      </c>
      <c r="AB398" t="inlineStr">
        <is>
          <t>Tagamusing River</t>
        </is>
      </c>
      <c r="AC398" t="n">
        <v>210.84</v>
      </c>
      <c r="AD398" t="n">
        <v>56.5</v>
      </c>
      <c r="AE398" t="n">
        <v>37.5</v>
      </c>
      <c r="AF398" t="n">
        <v>94</v>
      </c>
      <c r="AG398" t="inlineStr">
        <is>
          <t>Transplanting (Pindot) — optimal for clay-loam paddy fields</t>
        </is>
      </c>
      <c r="AH398" t="inlineStr">
        <is>
          <t>Wet Tillage (Puddling): 2 plowings + thorough harrowing under flooded condition</t>
        </is>
      </c>
      <c r="AI398" t="inlineStr">
        <is>
          <t>Continuous flooding 2–5 cm depth during vegetative stage; drain 2 weeks before harvest</t>
        </is>
      </c>
      <c r="AJ398" t="n">
        <v>73.3</v>
      </c>
      <c r="AK398" t="n">
        <v>157.91</v>
      </c>
      <c r="AL398" t="n">
        <v>2.15</v>
      </c>
      <c r="AM398" t="inlineStr">
        <is>
          <t>No</t>
        </is>
      </c>
      <c r="AN398" t="inlineStr">
        <is>
          <t>Observed harvest</t>
        </is>
      </c>
    </row>
    <row r="399">
      <c r="A399" t="inlineStr">
        <is>
          <t>Palay</t>
        </is>
      </c>
      <c r="B399" t="inlineStr">
        <is>
          <t>Bugayong</t>
        </is>
      </c>
      <c r="C399" t="inlineStr">
        <is>
          <t>WS 2021</t>
        </is>
      </c>
      <c r="D399" t="inlineStr">
        <is>
          <t>June</t>
        </is>
      </c>
      <c r="E399" t="inlineStr">
        <is>
          <t>2021</t>
        </is>
      </c>
      <c r="F399" t="inlineStr">
        <is>
          <t>October</t>
        </is>
      </c>
      <c r="G399" t="inlineStr">
        <is>
          <t>2021</t>
        </is>
      </c>
      <c r="H399" t="n">
        <v>8.06</v>
      </c>
      <c r="I399" t="n">
        <v>27.03</v>
      </c>
      <c r="J399" t="n">
        <v>23.72</v>
      </c>
      <c r="K399" t="n">
        <v>34.26</v>
      </c>
      <c r="L399" t="n">
        <v>82.83</v>
      </c>
      <c r="M399" t="n">
        <v>98.25</v>
      </c>
      <c r="N399" t="n">
        <v>20.27</v>
      </c>
      <c r="O399" t="n">
        <v>10.89</v>
      </c>
      <c r="P399" t="n">
        <v>26.2</v>
      </c>
      <c r="Q399" t="n">
        <v>20.65</v>
      </c>
      <c r="R399" t="n">
        <v>31.79</v>
      </c>
      <c r="S399" t="n">
        <v>85.65000000000001</v>
      </c>
      <c r="T399" t="n">
        <v>98.22</v>
      </c>
      <c r="U399" t="n">
        <v>16.96</v>
      </c>
      <c r="V399" t="inlineStr">
        <is>
          <t>Type I – Tropical Monsoon (PAGASA)</t>
        </is>
      </c>
      <c r="W399" t="inlineStr">
        <is>
          <t>Wet</t>
        </is>
      </c>
      <c r="X399" t="inlineStr">
        <is>
          <t>Wet</t>
        </is>
      </c>
      <c r="Y399" t="inlineStr">
        <is>
          <t>Sandy Loam / Silty Clay Loam</t>
        </is>
      </c>
      <c r="Z399" t="inlineStr">
        <is>
          <t>Flat / Lowland</t>
        </is>
      </c>
      <c r="AA399" t="n">
        <v>30</v>
      </c>
      <c r="AB399" t="inlineStr">
        <is>
          <t>Aloragat River</t>
        </is>
      </c>
      <c r="AC399" t="n">
        <v>346.08</v>
      </c>
      <c r="AD399" t="n">
        <v>25.95</v>
      </c>
      <c r="AE399" t="n">
        <v>52.05</v>
      </c>
      <c r="AF399" t="n">
        <v>78</v>
      </c>
      <c r="AG399" t="inlineStr">
        <is>
          <t>Transplanting (Pindot) — recommended; Direct Seeding possible in dry season</t>
        </is>
      </c>
      <c r="AH399" t="inlineStr">
        <is>
          <t>Conventional Tillage: 2 plowings + harrowing; puddle thoroughly for transplanting</t>
        </is>
      </c>
      <c r="AI399" t="inlineStr">
        <is>
          <t>Intermittent to continuous flooding; manage according to drainage section present</t>
        </is>
      </c>
      <c r="AJ399" t="n">
        <v>24.91</v>
      </c>
      <c r="AK399" t="n">
        <v>76.68000000000001</v>
      </c>
      <c r="AL399" t="n">
        <v>3.08</v>
      </c>
      <c r="AM399" t="inlineStr">
        <is>
          <t>No</t>
        </is>
      </c>
      <c r="AN399" t="inlineStr">
        <is>
          <t>Observed harvest</t>
        </is>
      </c>
    </row>
    <row r="400">
      <c r="A400" t="inlineStr">
        <is>
          <t>Palay</t>
        </is>
      </c>
      <c r="B400" t="inlineStr">
        <is>
          <t>Camanggaan</t>
        </is>
      </c>
      <c r="C400" t="inlineStr">
        <is>
          <t>WS 2021</t>
        </is>
      </c>
      <c r="D400" t="inlineStr">
        <is>
          <t>June</t>
        </is>
      </c>
      <c r="E400" t="inlineStr">
        <is>
          <t>2021</t>
        </is>
      </c>
      <c r="F400" t="inlineStr">
        <is>
          <t>October</t>
        </is>
      </c>
      <c r="G400" t="inlineStr">
        <is>
          <t>2021</t>
        </is>
      </c>
      <c r="H400" t="n">
        <v>8.06</v>
      </c>
      <c r="I400" t="n">
        <v>27.03</v>
      </c>
      <c r="J400" t="n">
        <v>23.72</v>
      </c>
      <c r="K400" t="n">
        <v>34.26</v>
      </c>
      <c r="L400" t="n">
        <v>82.83</v>
      </c>
      <c r="M400" t="n">
        <v>98.25</v>
      </c>
      <c r="N400" t="n">
        <v>20.27</v>
      </c>
      <c r="O400" t="n">
        <v>10.89</v>
      </c>
      <c r="P400" t="n">
        <v>26.2</v>
      </c>
      <c r="Q400" t="n">
        <v>20.65</v>
      </c>
      <c r="R400" t="n">
        <v>31.79</v>
      </c>
      <c r="S400" t="n">
        <v>85.65000000000001</v>
      </c>
      <c r="T400" t="n">
        <v>98.22</v>
      </c>
      <c r="U400" t="n">
        <v>16.96</v>
      </c>
      <c r="V400" t="inlineStr">
        <is>
          <t>Type I – Tropical Monsoon (PAGASA)</t>
        </is>
      </c>
      <c r="W400" t="inlineStr">
        <is>
          <t>Wet</t>
        </is>
      </c>
      <c r="X400" t="inlineStr">
        <is>
          <t>Wet</t>
        </is>
      </c>
      <c r="Y400" t="inlineStr">
        <is>
          <t>Sandy Loam</t>
        </is>
      </c>
      <c r="Z400" t="inlineStr">
        <is>
          <t>Flat / Lowland</t>
        </is>
      </c>
      <c r="AA400" t="n">
        <v>30</v>
      </c>
      <c r="AB400" t="inlineStr">
        <is>
          <t>—</t>
        </is>
      </c>
      <c r="AC400" t="n">
        <v>244.44</v>
      </c>
      <c r="AD400" t="n">
        <v>19</v>
      </c>
      <c r="AE400" t="n">
        <v>68</v>
      </c>
      <c r="AF400" t="n">
        <v>87</v>
      </c>
      <c r="AG400" t="inlineStr">
        <is>
          <t>Transplanting (Pindot) or Direct Seeding (Pinaghandaan)</t>
        </is>
      </c>
      <c r="AH400" t="inlineStr">
        <is>
          <t>Conventional Tillage: 2 plowings + 2 harrowings; soil workable when moist</t>
        </is>
      </c>
      <c r="AI400" t="inlineStr">
        <is>
          <t>Intermittent irrigation (Alternate Wetting and Drying — AWD); moderate retention</t>
        </is>
      </c>
      <c r="AJ400" t="n">
        <v>6.85</v>
      </c>
      <c r="AK400" t="n">
        <v>19.27</v>
      </c>
      <c r="AL400" t="n">
        <v>2.81</v>
      </c>
      <c r="AM400" t="inlineStr">
        <is>
          <t>No</t>
        </is>
      </c>
      <c r="AN400" t="inlineStr">
        <is>
          <t>Observed harvest</t>
        </is>
      </c>
    </row>
    <row r="401">
      <c r="A401" t="inlineStr">
        <is>
          <t>Palay</t>
        </is>
      </c>
      <c r="B401" t="inlineStr">
        <is>
          <t>Capas</t>
        </is>
      </c>
      <c r="C401" t="inlineStr">
        <is>
          <t>WS 2021</t>
        </is>
      </c>
      <c r="D401" t="inlineStr">
        <is>
          <t>June</t>
        </is>
      </c>
      <c r="E401" t="inlineStr">
        <is>
          <t>2021</t>
        </is>
      </c>
      <c r="F401" t="inlineStr">
        <is>
          <t>October</t>
        </is>
      </c>
      <c r="G401" t="inlineStr">
        <is>
          <t>2021</t>
        </is>
      </c>
      <c r="H401" t="n">
        <v>8.06</v>
      </c>
      <c r="I401" t="n">
        <v>27.03</v>
      </c>
      <c r="J401" t="n">
        <v>23.72</v>
      </c>
      <c r="K401" t="n">
        <v>34.26</v>
      </c>
      <c r="L401" t="n">
        <v>82.83</v>
      </c>
      <c r="M401" t="n">
        <v>98.25</v>
      </c>
      <c r="N401" t="n">
        <v>20.27</v>
      </c>
      <c r="O401" t="n">
        <v>10.89</v>
      </c>
      <c r="P401" t="n">
        <v>26.2</v>
      </c>
      <c r="Q401" t="n">
        <v>20.65</v>
      </c>
      <c r="R401" t="n">
        <v>31.79</v>
      </c>
      <c r="S401" t="n">
        <v>85.65000000000001</v>
      </c>
      <c r="T401" t="n">
        <v>98.22</v>
      </c>
      <c r="U401" t="n">
        <v>16.96</v>
      </c>
      <c r="V401" t="inlineStr">
        <is>
          <t>Type I – Tropical Monsoon (PAGASA)</t>
        </is>
      </c>
      <c r="W401" t="inlineStr">
        <is>
          <t>Wet</t>
        </is>
      </c>
      <c r="X401" t="inlineStr">
        <is>
          <t>Wet</t>
        </is>
      </c>
      <c r="Y401" t="inlineStr">
        <is>
          <t>Sandy Loam</t>
        </is>
      </c>
      <c r="Z401" t="inlineStr">
        <is>
          <t>Flat / Lowland</t>
        </is>
      </c>
      <c r="AA401" t="n">
        <v>30</v>
      </c>
      <c r="AB401" t="inlineStr">
        <is>
          <t>—</t>
        </is>
      </c>
      <c r="AC401" t="n">
        <v>377.16</v>
      </c>
      <c r="AD401" t="n">
        <v>139</v>
      </c>
      <c r="AE401" t="n">
        <v>164</v>
      </c>
      <c r="AF401" t="n">
        <v>303</v>
      </c>
      <c r="AG401" t="inlineStr">
        <is>
          <t>Transplanting (Pindot) or Direct Seeding (Pinaghandaan)</t>
        </is>
      </c>
      <c r="AH401" t="inlineStr">
        <is>
          <t>Conventional Tillage: 2 plowings + 2 harrowings; soil workable when moist</t>
        </is>
      </c>
      <c r="AI401" t="inlineStr">
        <is>
          <t>Intermittent irrigation (Alternate Wetting and Drying — AWD); moderate retention</t>
        </is>
      </c>
      <c r="AJ401" t="n">
        <v>2.73</v>
      </c>
      <c r="AK401" t="n">
        <v>21.84</v>
      </c>
      <c r="AL401" t="n">
        <v>8</v>
      </c>
      <c r="AM401" t="inlineStr">
        <is>
          <t>No</t>
        </is>
      </c>
      <c r="AN401" t="inlineStr">
        <is>
          <t>Observed harvest</t>
        </is>
      </c>
    </row>
    <row r="402">
      <c r="A402" t="inlineStr">
        <is>
          <t>Palay</t>
        </is>
      </c>
      <c r="B402" t="inlineStr">
        <is>
          <t>Cili</t>
        </is>
      </c>
      <c r="C402" t="inlineStr">
        <is>
          <t>WS 2021</t>
        </is>
      </c>
      <c r="D402" t="inlineStr">
        <is>
          <t>June</t>
        </is>
      </c>
      <c r="E402" t="inlineStr">
        <is>
          <t>2021</t>
        </is>
      </c>
      <c r="F402" t="inlineStr">
        <is>
          <t>October</t>
        </is>
      </c>
      <c r="G402" t="inlineStr">
        <is>
          <t>2021</t>
        </is>
      </c>
      <c r="H402" t="n">
        <v>8.06</v>
      </c>
      <c r="I402" t="n">
        <v>27.03</v>
      </c>
      <c r="J402" t="n">
        <v>23.72</v>
      </c>
      <c r="K402" t="n">
        <v>34.26</v>
      </c>
      <c r="L402" t="n">
        <v>82.83</v>
      </c>
      <c r="M402" t="n">
        <v>98.25</v>
      </c>
      <c r="N402" t="n">
        <v>20.27</v>
      </c>
      <c r="O402" t="n">
        <v>10.89</v>
      </c>
      <c r="P402" t="n">
        <v>26.2</v>
      </c>
      <c r="Q402" t="n">
        <v>20.65</v>
      </c>
      <c r="R402" t="n">
        <v>31.79</v>
      </c>
      <c r="S402" t="n">
        <v>85.65000000000001</v>
      </c>
      <c r="T402" t="n">
        <v>98.22</v>
      </c>
      <c r="U402" t="n">
        <v>16.96</v>
      </c>
      <c r="V402" t="inlineStr">
        <is>
          <t>Type I – Tropical Monsoon (PAGASA)</t>
        </is>
      </c>
      <c r="W402" t="inlineStr">
        <is>
          <t>Wet</t>
        </is>
      </c>
      <c r="X402" t="inlineStr">
        <is>
          <t>Wet</t>
        </is>
      </c>
      <c r="Y402" t="inlineStr">
        <is>
          <t>Silty Clay Loam</t>
        </is>
      </c>
      <c r="Z402" t="inlineStr">
        <is>
          <t>Flat / Lowland</t>
        </is>
      </c>
      <c r="AA402" t="n">
        <v>30</v>
      </c>
      <c r="AB402" t="inlineStr">
        <is>
          <t>Alibeng River</t>
        </is>
      </c>
      <c r="AC402" t="n">
        <v>264.6</v>
      </c>
      <c r="AD402" t="n">
        <v>40</v>
      </c>
      <c r="AE402" t="n">
        <v>128</v>
      </c>
      <c r="AF402" t="n">
        <v>168</v>
      </c>
      <c r="AG402" t="inlineStr">
        <is>
          <t>Transplanting (Pindot) — optimal for clay-loam paddy fields</t>
        </is>
      </c>
      <c r="AH402" t="inlineStr">
        <is>
          <t>Wet Tillage (Puddling): 2 plowings + thorough harrowing under flooded condition</t>
        </is>
      </c>
      <c r="AI402" t="inlineStr">
        <is>
          <t>Continuous flooding 2–5 cm depth during vegetative stage; drain 2 weeks before harvest</t>
        </is>
      </c>
      <c r="AJ402" t="n">
        <v>75.14</v>
      </c>
      <c r="AK402" t="n">
        <v>5.28</v>
      </c>
      <c r="AL402" t="n">
        <v>0.07000000000000001</v>
      </c>
      <c r="AM402" t="inlineStr">
        <is>
          <t>No</t>
        </is>
      </c>
      <c r="AN402" t="inlineStr">
        <is>
          <t>Observed harvest</t>
        </is>
      </c>
    </row>
    <row r="403">
      <c r="A403" t="inlineStr">
        <is>
          <t>Palay</t>
        </is>
      </c>
      <c r="B403" t="inlineStr">
        <is>
          <t>Dumayat</t>
        </is>
      </c>
      <c r="C403" t="inlineStr">
        <is>
          <t>WS 2021</t>
        </is>
      </c>
      <c r="D403" t="inlineStr">
        <is>
          <t>June</t>
        </is>
      </c>
      <c r="E403" t="inlineStr">
        <is>
          <t>2021</t>
        </is>
      </c>
      <c r="F403" t="inlineStr">
        <is>
          <t>October</t>
        </is>
      </c>
      <c r="G403" t="inlineStr">
        <is>
          <t>2021</t>
        </is>
      </c>
      <c r="H403" t="n">
        <v>8.06</v>
      </c>
      <c r="I403" t="n">
        <v>27.03</v>
      </c>
      <c r="J403" t="n">
        <v>23.72</v>
      </c>
      <c r="K403" t="n">
        <v>34.26</v>
      </c>
      <c r="L403" t="n">
        <v>82.83</v>
      </c>
      <c r="M403" t="n">
        <v>98.25</v>
      </c>
      <c r="N403" t="n">
        <v>20.27</v>
      </c>
      <c r="O403" t="n">
        <v>10.89</v>
      </c>
      <c r="P403" t="n">
        <v>26.2</v>
      </c>
      <c r="Q403" t="n">
        <v>20.65</v>
      </c>
      <c r="R403" t="n">
        <v>31.79</v>
      </c>
      <c r="S403" t="n">
        <v>85.65000000000001</v>
      </c>
      <c r="T403" t="n">
        <v>98.22</v>
      </c>
      <c r="U403" t="n">
        <v>16.96</v>
      </c>
      <c r="V403" t="inlineStr">
        <is>
          <t>Type I – Tropical Monsoon (PAGASA)</t>
        </is>
      </c>
      <c r="W403" t="inlineStr">
        <is>
          <t>Wet</t>
        </is>
      </c>
      <c r="X403" t="inlineStr">
        <is>
          <t>Wet</t>
        </is>
      </c>
      <c r="Y403" t="inlineStr">
        <is>
          <t>Silty Clay Loam</t>
        </is>
      </c>
      <c r="Z403" t="inlineStr">
        <is>
          <t>Flat / Lowland</t>
        </is>
      </c>
      <c r="AA403" t="n">
        <v>30</v>
      </c>
      <c r="AB403" t="inlineStr">
        <is>
          <t>—</t>
        </is>
      </c>
      <c r="AC403" t="n">
        <v>266.28</v>
      </c>
      <c r="AD403" t="n">
        <v>56</v>
      </c>
      <c r="AE403" t="n">
        <v>30</v>
      </c>
      <c r="AF403" t="n">
        <v>86</v>
      </c>
      <c r="AG403" t="inlineStr">
        <is>
          <t>Transplanting (Pindot) — optimal for clay-loam paddy fields</t>
        </is>
      </c>
      <c r="AH403" t="inlineStr">
        <is>
          <t>Wet Tillage (Puddling): 2 plowings + thorough harrowing under flooded condition</t>
        </is>
      </c>
      <c r="AI403" t="inlineStr">
        <is>
          <t>Continuous flooding 2–5 cm depth during vegetative stage; drain 2 weeks before harvest</t>
        </is>
      </c>
      <c r="AJ403" t="n">
        <v>70.11</v>
      </c>
      <c r="AK403" t="n">
        <v>8</v>
      </c>
      <c r="AL403" t="n">
        <v>0.11</v>
      </c>
      <c r="AM403" t="inlineStr">
        <is>
          <t>No</t>
        </is>
      </c>
      <c r="AN403" t="inlineStr">
        <is>
          <t>Observed harvest</t>
        </is>
      </c>
    </row>
    <row r="404">
      <c r="A404" t="inlineStr">
        <is>
          <t>Palay</t>
        </is>
      </c>
      <c r="B404" t="inlineStr">
        <is>
          <t>Linmansangan</t>
        </is>
      </c>
      <c r="C404" t="inlineStr">
        <is>
          <t>WS 2021</t>
        </is>
      </c>
      <c r="D404" t="inlineStr">
        <is>
          <t>June</t>
        </is>
      </c>
      <c r="E404" t="inlineStr">
        <is>
          <t>2021</t>
        </is>
      </c>
      <c r="F404" t="inlineStr">
        <is>
          <t>October</t>
        </is>
      </c>
      <c r="G404" t="inlineStr">
        <is>
          <t>2021</t>
        </is>
      </c>
      <c r="H404" t="n">
        <v>8.06</v>
      </c>
      <c r="I404" t="n">
        <v>27.03</v>
      </c>
      <c r="J404" t="n">
        <v>23.72</v>
      </c>
      <c r="K404" t="n">
        <v>34.26</v>
      </c>
      <c r="L404" t="n">
        <v>82.83</v>
      </c>
      <c r="M404" t="n">
        <v>98.25</v>
      </c>
      <c r="N404" t="n">
        <v>20.27</v>
      </c>
      <c r="O404" t="n">
        <v>10.89</v>
      </c>
      <c r="P404" t="n">
        <v>26.2</v>
      </c>
      <c r="Q404" t="n">
        <v>20.65</v>
      </c>
      <c r="R404" t="n">
        <v>31.79</v>
      </c>
      <c r="S404" t="n">
        <v>85.65000000000001</v>
      </c>
      <c r="T404" t="n">
        <v>98.22</v>
      </c>
      <c r="U404" t="n">
        <v>16.96</v>
      </c>
      <c r="V404" t="inlineStr">
        <is>
          <t>Type I – Tropical Monsoon (PAGASA)</t>
        </is>
      </c>
      <c r="W404" t="inlineStr">
        <is>
          <t>Wet</t>
        </is>
      </c>
      <c r="X404" t="inlineStr">
        <is>
          <t>Wet</t>
        </is>
      </c>
      <c r="Y404" t="inlineStr">
        <is>
          <t>Silty Clay Loam</t>
        </is>
      </c>
      <c r="Z404" t="inlineStr">
        <is>
          <t>Flat / Lowland</t>
        </is>
      </c>
      <c r="AA404" t="n">
        <v>30</v>
      </c>
      <c r="AB404" t="inlineStr">
        <is>
          <t>—</t>
        </is>
      </c>
      <c r="AC404" t="n">
        <v>492.24</v>
      </c>
      <c r="AD404" t="n">
        <v>65.5</v>
      </c>
      <c r="AE404" t="n">
        <v>129</v>
      </c>
      <c r="AF404" t="n">
        <v>194.5</v>
      </c>
      <c r="AG404" t="inlineStr">
        <is>
          <t>Transplanting (Pindot) — optimal for clay-loam paddy fields</t>
        </is>
      </c>
      <c r="AH404" t="inlineStr">
        <is>
          <t>Wet Tillage (Puddling): 2 plowings + thorough harrowing under flooded condition</t>
        </is>
      </c>
      <c r="AI404" t="inlineStr">
        <is>
          <t>Continuous flooding 2–5 cm depth during vegetative stage; drain 2 weeks before harvest</t>
        </is>
      </c>
      <c r="AJ404" t="n">
        <v>88.77</v>
      </c>
      <c r="AK404" t="n">
        <v>157.93</v>
      </c>
      <c r="AL404" t="n">
        <v>1.78</v>
      </c>
      <c r="AM404" t="inlineStr">
        <is>
          <t>No</t>
        </is>
      </c>
      <c r="AN404" t="inlineStr">
        <is>
          <t>Observed harvest</t>
        </is>
      </c>
    </row>
    <row r="405">
      <c r="A405" t="inlineStr">
        <is>
          <t>Palay</t>
        </is>
      </c>
      <c r="B405" t="inlineStr">
        <is>
          <t>Mangkasuy</t>
        </is>
      </c>
      <c r="C405" t="inlineStr">
        <is>
          <t>WS 2021</t>
        </is>
      </c>
      <c r="D405" t="inlineStr">
        <is>
          <t>June</t>
        </is>
      </c>
      <c r="E405" t="inlineStr">
        <is>
          <t>2021</t>
        </is>
      </c>
      <c r="F405" t="inlineStr">
        <is>
          <t>October</t>
        </is>
      </c>
      <c r="G405" t="inlineStr">
        <is>
          <t>2021</t>
        </is>
      </c>
      <c r="H405" t="n">
        <v>8.06</v>
      </c>
      <c r="I405" t="n">
        <v>27.03</v>
      </c>
      <c r="J405" t="n">
        <v>23.72</v>
      </c>
      <c r="K405" t="n">
        <v>34.26</v>
      </c>
      <c r="L405" t="n">
        <v>82.83</v>
      </c>
      <c r="M405" t="n">
        <v>98.25</v>
      </c>
      <c r="N405" t="n">
        <v>20.27</v>
      </c>
      <c r="O405" t="n">
        <v>10.89</v>
      </c>
      <c r="P405" t="n">
        <v>26.2</v>
      </c>
      <c r="Q405" t="n">
        <v>20.65</v>
      </c>
      <c r="R405" t="n">
        <v>31.79</v>
      </c>
      <c r="S405" t="n">
        <v>85.65000000000001</v>
      </c>
      <c r="T405" t="n">
        <v>98.22</v>
      </c>
      <c r="U405" t="n">
        <v>16.96</v>
      </c>
      <c r="V405" t="inlineStr">
        <is>
          <t>Type I – Tropical Monsoon (PAGASA)</t>
        </is>
      </c>
      <c r="W405" t="inlineStr">
        <is>
          <t>Wet</t>
        </is>
      </c>
      <c r="X405" t="inlineStr">
        <is>
          <t>Wet</t>
        </is>
      </c>
      <c r="Y405" t="inlineStr">
        <is>
          <t>Sandy Loam</t>
        </is>
      </c>
      <c r="Z405" t="inlineStr">
        <is>
          <t>Flat / Lowland</t>
        </is>
      </c>
      <c r="AA405" t="n">
        <v>30</v>
      </c>
      <c r="AB405" t="inlineStr">
        <is>
          <t>Tagamusing River</t>
        </is>
      </c>
      <c r="AC405" t="n">
        <v>802.2</v>
      </c>
      <c r="AD405" t="n">
        <v>90</v>
      </c>
      <c r="AE405" t="n">
        <v>262</v>
      </c>
      <c r="AF405" t="n">
        <v>352</v>
      </c>
      <c r="AG405" t="inlineStr">
        <is>
          <t>Transplanting (Pindot) or Direct Seeding (Pinaghandaan)</t>
        </is>
      </c>
      <c r="AH405" t="inlineStr">
        <is>
          <t>Conventional Tillage: 2 plowings + 2 harrowings; soil workable when moist</t>
        </is>
      </c>
      <c r="AI405" t="inlineStr">
        <is>
          <t>Intermittent irrigation (Alternate Wetting and Drying — AWD); moderate retention</t>
        </is>
      </c>
      <c r="AJ405" t="n">
        <v>50.15</v>
      </c>
      <c r="AK405" t="n">
        <v>97.64</v>
      </c>
      <c r="AL405" t="n">
        <v>1.95</v>
      </c>
      <c r="AM405" t="inlineStr">
        <is>
          <t>No</t>
        </is>
      </c>
      <c r="AN405" t="inlineStr">
        <is>
          <t>Observed harvest</t>
        </is>
      </c>
    </row>
    <row r="406">
      <c r="A406" t="inlineStr">
        <is>
          <t>Palay</t>
        </is>
      </c>
      <c r="B406" t="inlineStr">
        <is>
          <t>Moreno</t>
        </is>
      </c>
      <c r="C406" t="inlineStr">
        <is>
          <t>WS 2021</t>
        </is>
      </c>
      <c r="D406" t="inlineStr">
        <is>
          <t>June</t>
        </is>
      </c>
      <c r="E406" t="inlineStr">
        <is>
          <t>2021</t>
        </is>
      </c>
      <c r="F406" t="inlineStr">
        <is>
          <t>October</t>
        </is>
      </c>
      <c r="G406" t="inlineStr">
        <is>
          <t>2021</t>
        </is>
      </c>
      <c r="H406" t="n">
        <v>8.06</v>
      </c>
      <c r="I406" t="n">
        <v>27.03</v>
      </c>
      <c r="J406" t="n">
        <v>23.72</v>
      </c>
      <c r="K406" t="n">
        <v>34.26</v>
      </c>
      <c r="L406" t="n">
        <v>82.83</v>
      </c>
      <c r="M406" t="n">
        <v>98.25</v>
      </c>
      <c r="N406" t="n">
        <v>20.27</v>
      </c>
      <c r="O406" t="n">
        <v>10.89</v>
      </c>
      <c r="P406" t="n">
        <v>26.2</v>
      </c>
      <c r="Q406" t="n">
        <v>20.65</v>
      </c>
      <c r="R406" t="n">
        <v>31.79</v>
      </c>
      <c r="S406" t="n">
        <v>85.65000000000001</v>
      </c>
      <c r="T406" t="n">
        <v>98.22</v>
      </c>
      <c r="U406" t="n">
        <v>16.96</v>
      </c>
      <c r="V406" t="inlineStr">
        <is>
          <t>Type I – Tropical Monsoon (PAGASA)</t>
        </is>
      </c>
      <c r="W406" t="inlineStr">
        <is>
          <t>Wet</t>
        </is>
      </c>
      <c r="X406" t="inlineStr">
        <is>
          <t>Wet</t>
        </is>
      </c>
      <c r="Y406" t="inlineStr">
        <is>
          <t>Sandy Loam</t>
        </is>
      </c>
      <c r="Z406" t="inlineStr">
        <is>
          <t>Moderately Sloping / Highland</t>
        </is>
      </c>
      <c r="AA406" t="n">
        <v>90</v>
      </c>
      <c r="AB406" t="inlineStr">
        <is>
          <t>Alibeng River</t>
        </is>
      </c>
      <c r="AC406" t="n">
        <v>641.76</v>
      </c>
      <c r="AD406" t="n">
        <v>47.4</v>
      </c>
      <c r="AE406" t="n">
        <v>116.6</v>
      </c>
      <c r="AF406" t="n">
        <v>164</v>
      </c>
      <c r="AG406" t="inlineStr">
        <is>
          <t>Transplanting (Pindot) or Direct Seeding (Pinaghandaan)</t>
        </is>
      </c>
      <c r="AH406" t="inlineStr">
        <is>
          <t>Conventional Tillage: 2 plowings + 2 harrowings; soil workable when moist</t>
        </is>
      </c>
      <c r="AI406" t="inlineStr">
        <is>
          <t>Intermittent irrigation (Alternate Wetting and Drying — AWD); moderate retention; terrace or bund-assisted water retention essential on slopes</t>
        </is>
      </c>
      <c r="AJ406" t="n">
        <v>45.72</v>
      </c>
      <c r="AK406" t="n">
        <v>126.27</v>
      </c>
      <c r="AL406" t="n">
        <v>2.76</v>
      </c>
      <c r="AM406" t="inlineStr">
        <is>
          <t>No</t>
        </is>
      </c>
      <c r="AN406" t="inlineStr">
        <is>
          <t>Observed harvest</t>
        </is>
      </c>
    </row>
    <row r="407">
      <c r="A407" t="inlineStr">
        <is>
          <t>Palay</t>
        </is>
      </c>
      <c r="B407" t="inlineStr">
        <is>
          <t>Pasileng Norte</t>
        </is>
      </c>
      <c r="C407" t="inlineStr">
        <is>
          <t>WS 2021</t>
        </is>
      </c>
      <c r="D407" t="inlineStr">
        <is>
          <t>June</t>
        </is>
      </c>
      <c r="E407" t="inlineStr">
        <is>
          <t>2021</t>
        </is>
      </c>
      <c r="F407" t="inlineStr">
        <is>
          <t>October</t>
        </is>
      </c>
      <c r="G407" t="inlineStr">
        <is>
          <t>2021</t>
        </is>
      </c>
      <c r="H407" t="n">
        <v>8.06</v>
      </c>
      <c r="I407" t="n">
        <v>27.03</v>
      </c>
      <c r="J407" t="n">
        <v>23.72</v>
      </c>
      <c r="K407" t="n">
        <v>34.26</v>
      </c>
      <c r="L407" t="n">
        <v>82.83</v>
      </c>
      <c r="M407" t="n">
        <v>98.25</v>
      </c>
      <c r="N407" t="n">
        <v>20.27</v>
      </c>
      <c r="O407" t="n">
        <v>10.89</v>
      </c>
      <c r="P407" t="n">
        <v>26.2</v>
      </c>
      <c r="Q407" t="n">
        <v>20.65</v>
      </c>
      <c r="R407" t="n">
        <v>31.79</v>
      </c>
      <c r="S407" t="n">
        <v>85.65000000000001</v>
      </c>
      <c r="T407" t="n">
        <v>98.22</v>
      </c>
      <c r="U407" t="n">
        <v>16.96</v>
      </c>
      <c r="V407" t="inlineStr">
        <is>
          <t>Type I – Tropical Monsoon (PAGASA)</t>
        </is>
      </c>
      <c r="W407" t="inlineStr">
        <is>
          <t>Wet</t>
        </is>
      </c>
      <c r="X407" t="inlineStr">
        <is>
          <t>Wet</t>
        </is>
      </c>
      <c r="Y407" t="inlineStr">
        <is>
          <t>Sandy Loam</t>
        </is>
      </c>
      <c r="Z407" t="inlineStr">
        <is>
          <t>Flat / Lowland</t>
        </is>
      </c>
      <c r="AA407" t="n">
        <v>30</v>
      </c>
      <c r="AB407" t="inlineStr">
        <is>
          <t>Tagamusing River</t>
        </is>
      </c>
      <c r="AC407" t="n">
        <v>140.28</v>
      </c>
      <c r="AD407" t="n">
        <v>78.34999999999999</v>
      </c>
      <c r="AE407" t="n">
        <v>2.65</v>
      </c>
      <c r="AF407" t="n">
        <v>81</v>
      </c>
      <c r="AG407" t="inlineStr">
        <is>
          <t>Transplanting (Pindot) or Direct Seeding (Pinaghandaan)</t>
        </is>
      </c>
      <c r="AH407" t="inlineStr">
        <is>
          <t>Conventional Tillage: 2 plowings + 2 harrowings; soil workable when moist</t>
        </is>
      </c>
      <c r="AI407" t="inlineStr">
        <is>
          <t>Intermittent irrigation (Alternate Wetting and Drying — AWD); moderate retention</t>
        </is>
      </c>
      <c r="AJ407" t="n">
        <v>18.07</v>
      </c>
      <c r="AK407" t="n">
        <v>92.89</v>
      </c>
      <c r="AL407" t="n">
        <v>5.14</v>
      </c>
      <c r="AM407" t="inlineStr">
        <is>
          <t>No</t>
        </is>
      </c>
      <c r="AN407" t="inlineStr">
        <is>
          <t>Observed harvest</t>
        </is>
      </c>
    </row>
    <row r="408">
      <c r="A408" t="inlineStr">
        <is>
          <t>Palay</t>
        </is>
      </c>
      <c r="B408" t="inlineStr">
        <is>
          <t>Pasileng Sur</t>
        </is>
      </c>
      <c r="C408" t="inlineStr">
        <is>
          <t>WS 2021</t>
        </is>
      </c>
      <c r="D408" t="inlineStr">
        <is>
          <t>June</t>
        </is>
      </c>
      <c r="E408" t="inlineStr">
        <is>
          <t>2021</t>
        </is>
      </c>
      <c r="F408" t="inlineStr">
        <is>
          <t>October</t>
        </is>
      </c>
      <c r="G408" t="inlineStr">
        <is>
          <t>2021</t>
        </is>
      </c>
      <c r="H408" t="n">
        <v>8.06</v>
      </c>
      <c r="I408" t="n">
        <v>27.03</v>
      </c>
      <c r="J408" t="n">
        <v>23.72</v>
      </c>
      <c r="K408" t="n">
        <v>34.26</v>
      </c>
      <c r="L408" t="n">
        <v>82.83</v>
      </c>
      <c r="M408" t="n">
        <v>98.25</v>
      </c>
      <c r="N408" t="n">
        <v>20.27</v>
      </c>
      <c r="O408" t="n">
        <v>10.89</v>
      </c>
      <c r="P408" t="n">
        <v>26.2</v>
      </c>
      <c r="Q408" t="n">
        <v>20.65</v>
      </c>
      <c r="R408" t="n">
        <v>31.79</v>
      </c>
      <c r="S408" t="n">
        <v>85.65000000000001</v>
      </c>
      <c r="T408" t="n">
        <v>98.22</v>
      </c>
      <c r="U408" t="n">
        <v>16.96</v>
      </c>
      <c r="V408" t="inlineStr">
        <is>
          <t>Type I – Tropical Monsoon (PAGASA)</t>
        </is>
      </c>
      <c r="W408" t="inlineStr">
        <is>
          <t>Wet</t>
        </is>
      </c>
      <c r="X408" t="inlineStr">
        <is>
          <t>Wet</t>
        </is>
      </c>
      <c r="Y408" t="inlineStr">
        <is>
          <t>Sandy Loam</t>
        </is>
      </c>
      <c r="Z408" t="inlineStr">
        <is>
          <t>Flat / Lowland</t>
        </is>
      </c>
      <c r="AA408" t="n">
        <v>30</v>
      </c>
      <c r="AB408" t="inlineStr">
        <is>
          <t>Tagamusing River</t>
        </is>
      </c>
      <c r="AC408" t="n">
        <v>414.96</v>
      </c>
      <c r="AD408" t="n">
        <v>150.9</v>
      </c>
      <c r="AE408" t="n">
        <v>29.1</v>
      </c>
      <c r="AF408" t="n">
        <v>180</v>
      </c>
      <c r="AG408" t="inlineStr">
        <is>
          <t>Transplanting (Pindot) or Direct Seeding (Pinaghandaan)</t>
        </is>
      </c>
      <c r="AH408" t="inlineStr">
        <is>
          <t>Conventional Tillage: 2 plowings + 2 harrowings; soil workable when moist</t>
        </is>
      </c>
      <c r="AI408" t="inlineStr">
        <is>
          <t>Intermittent irrigation (Alternate Wetting and Drying — AWD); moderate retention</t>
        </is>
      </c>
      <c r="AJ408" t="n">
        <v>17.25</v>
      </c>
      <c r="AK408" t="n">
        <v>4.94</v>
      </c>
      <c r="AL408" t="n">
        <v>0.29</v>
      </c>
      <c r="AM408" t="inlineStr">
        <is>
          <t>No</t>
        </is>
      </c>
      <c r="AN408" t="inlineStr">
        <is>
          <t>Observed harvest</t>
        </is>
      </c>
    </row>
    <row r="409">
      <c r="A409" t="inlineStr">
        <is>
          <t>Palay</t>
        </is>
      </c>
      <c r="B409" t="inlineStr">
        <is>
          <t>San Felipe Central</t>
        </is>
      </c>
      <c r="C409" t="inlineStr">
        <is>
          <t>WS 2021</t>
        </is>
      </c>
      <c r="D409" t="inlineStr">
        <is>
          <t>June</t>
        </is>
      </c>
      <c r="E409" t="inlineStr">
        <is>
          <t>2021</t>
        </is>
      </c>
      <c r="F409" t="inlineStr">
        <is>
          <t>October</t>
        </is>
      </c>
      <c r="G409" t="inlineStr">
        <is>
          <t>2021</t>
        </is>
      </c>
      <c r="H409" t="n">
        <v>8.06</v>
      </c>
      <c r="I409" t="n">
        <v>27.03</v>
      </c>
      <c r="J409" t="n">
        <v>23.72</v>
      </c>
      <c r="K409" t="n">
        <v>34.26</v>
      </c>
      <c r="L409" t="n">
        <v>82.83</v>
      </c>
      <c r="M409" t="n">
        <v>98.25</v>
      </c>
      <c r="N409" t="n">
        <v>20.27</v>
      </c>
      <c r="O409" t="n">
        <v>10.89</v>
      </c>
      <c r="P409" t="n">
        <v>26.2</v>
      </c>
      <c r="Q409" t="n">
        <v>20.65</v>
      </c>
      <c r="R409" t="n">
        <v>31.79</v>
      </c>
      <c r="S409" t="n">
        <v>85.65000000000001</v>
      </c>
      <c r="T409" t="n">
        <v>98.22</v>
      </c>
      <c r="U409" t="n">
        <v>16.96</v>
      </c>
      <c r="V409" t="inlineStr">
        <is>
          <t>Type I – Tropical Monsoon (PAGASA)</t>
        </is>
      </c>
      <c r="W409" t="inlineStr">
        <is>
          <t>Wet</t>
        </is>
      </c>
      <c r="X409" t="inlineStr">
        <is>
          <t>Wet</t>
        </is>
      </c>
      <c r="Y409" t="inlineStr">
        <is>
          <t>Sandy Loam</t>
        </is>
      </c>
      <c r="Z409" t="inlineStr">
        <is>
          <t>Flat / Lowland</t>
        </is>
      </c>
      <c r="AA409" t="n">
        <v>30</v>
      </c>
      <c r="AB409" t="inlineStr">
        <is>
          <t>—</t>
        </is>
      </c>
      <c r="AC409" t="n">
        <v>452.76</v>
      </c>
      <c r="AD409" t="n">
        <v>117</v>
      </c>
      <c r="AE409" t="n">
        <v>62</v>
      </c>
      <c r="AF409" t="n">
        <v>179</v>
      </c>
      <c r="AG409" t="inlineStr">
        <is>
          <t>Transplanting (Pindot) or Direct Seeding (Pinaghandaan)</t>
        </is>
      </c>
      <c r="AH409" t="inlineStr">
        <is>
          <t>Conventional Tillage: 2 plowings + 2 harrowings; soil workable when moist</t>
        </is>
      </c>
      <c r="AI409" t="inlineStr">
        <is>
          <t>Intermittent irrigation (Alternate Wetting and Drying — AWD); moderate retention</t>
        </is>
      </c>
      <c r="AJ409" t="n">
        <v>20.12</v>
      </c>
      <c r="AK409" t="n">
        <v>5.51</v>
      </c>
      <c r="AL409" t="n">
        <v>0.27</v>
      </c>
      <c r="AM409" t="inlineStr">
        <is>
          <t>No</t>
        </is>
      </c>
      <c r="AN409" t="inlineStr">
        <is>
          <t>Observed harvest</t>
        </is>
      </c>
    </row>
    <row r="410">
      <c r="A410" t="inlineStr">
        <is>
          <t>Palay</t>
        </is>
      </c>
      <c r="B410" t="inlineStr">
        <is>
          <t>San Felipe Sur</t>
        </is>
      </c>
      <c r="C410" t="inlineStr">
        <is>
          <t>WS 2021</t>
        </is>
      </c>
      <c r="D410" t="inlineStr">
        <is>
          <t>June</t>
        </is>
      </c>
      <c r="E410" t="inlineStr">
        <is>
          <t>2021</t>
        </is>
      </c>
      <c r="F410" t="inlineStr">
        <is>
          <t>October</t>
        </is>
      </c>
      <c r="G410" t="inlineStr">
        <is>
          <t>2021</t>
        </is>
      </c>
      <c r="H410" t="n">
        <v>8.06</v>
      </c>
      <c r="I410" t="n">
        <v>27.03</v>
      </c>
      <c r="J410" t="n">
        <v>23.72</v>
      </c>
      <c r="K410" t="n">
        <v>34.26</v>
      </c>
      <c r="L410" t="n">
        <v>82.83</v>
      </c>
      <c r="M410" t="n">
        <v>98.25</v>
      </c>
      <c r="N410" t="n">
        <v>20.27</v>
      </c>
      <c r="O410" t="n">
        <v>10.89</v>
      </c>
      <c r="P410" t="n">
        <v>26.2</v>
      </c>
      <c r="Q410" t="n">
        <v>20.65</v>
      </c>
      <c r="R410" t="n">
        <v>31.79</v>
      </c>
      <c r="S410" t="n">
        <v>85.65000000000001</v>
      </c>
      <c r="T410" t="n">
        <v>98.22</v>
      </c>
      <c r="U410" t="n">
        <v>16.96</v>
      </c>
      <c r="V410" t="inlineStr">
        <is>
          <t>Type I – Tropical Monsoon (PAGASA)</t>
        </is>
      </c>
      <c r="W410" t="inlineStr">
        <is>
          <t>Wet</t>
        </is>
      </c>
      <c r="X410" t="inlineStr">
        <is>
          <t>Wet</t>
        </is>
      </c>
      <c r="Y410" t="inlineStr">
        <is>
          <t>Sandy Loam</t>
        </is>
      </c>
      <c r="Z410" t="inlineStr">
        <is>
          <t>Flat / Lowland</t>
        </is>
      </c>
      <c r="AA410" t="n">
        <v>30</v>
      </c>
      <c r="AB410" t="inlineStr">
        <is>
          <t>Tagamusing River</t>
        </is>
      </c>
      <c r="AC410" t="n">
        <v>504</v>
      </c>
      <c r="AD410" t="n">
        <v>127.5</v>
      </c>
      <c r="AE410" t="n">
        <v>50.5</v>
      </c>
      <c r="AF410" t="n">
        <v>178</v>
      </c>
      <c r="AG410" t="inlineStr">
        <is>
          <t>Transplanting (Pindot) or Direct Seeding (Pinaghandaan)</t>
        </is>
      </c>
      <c r="AH410" t="inlineStr">
        <is>
          <t>Conventional Tillage: 2 plowings + 2 harrowings; soil workable when moist</t>
        </is>
      </c>
      <c r="AI410" t="inlineStr">
        <is>
          <t>Intermittent irrigation (Alternate Wetting and Drying — AWD); moderate retention</t>
        </is>
      </c>
      <c r="AJ410" t="n">
        <v>54.06</v>
      </c>
      <c r="AK410" t="n">
        <v>11.5</v>
      </c>
      <c r="AL410" t="n">
        <v>0.21</v>
      </c>
      <c r="AM410" t="inlineStr">
        <is>
          <t>No</t>
        </is>
      </c>
      <c r="AN410" t="inlineStr">
        <is>
          <t>Observed harvest</t>
        </is>
      </c>
    </row>
    <row r="411">
      <c r="A411" t="inlineStr">
        <is>
          <t>Palay</t>
        </is>
      </c>
      <c r="B411" t="inlineStr">
        <is>
          <t>San Pablo</t>
        </is>
      </c>
      <c r="C411" t="inlineStr">
        <is>
          <t>WS 2021</t>
        </is>
      </c>
      <c r="D411" t="inlineStr">
        <is>
          <t>June</t>
        </is>
      </c>
      <c r="E411" t="inlineStr">
        <is>
          <t>2021</t>
        </is>
      </c>
      <c r="F411" t="inlineStr">
        <is>
          <t>October</t>
        </is>
      </c>
      <c r="G411" t="inlineStr">
        <is>
          <t>2021</t>
        </is>
      </c>
      <c r="H411" t="n">
        <v>8.06</v>
      </c>
      <c r="I411" t="n">
        <v>27.03</v>
      </c>
      <c r="J411" t="n">
        <v>23.72</v>
      </c>
      <c r="K411" t="n">
        <v>34.26</v>
      </c>
      <c r="L411" t="n">
        <v>82.83</v>
      </c>
      <c r="M411" t="n">
        <v>98.25</v>
      </c>
      <c r="N411" t="n">
        <v>20.27</v>
      </c>
      <c r="O411" t="n">
        <v>10.89</v>
      </c>
      <c r="P411" t="n">
        <v>26.2</v>
      </c>
      <c r="Q411" t="n">
        <v>20.65</v>
      </c>
      <c r="R411" t="n">
        <v>31.79</v>
      </c>
      <c r="S411" t="n">
        <v>85.65000000000001</v>
      </c>
      <c r="T411" t="n">
        <v>98.22</v>
      </c>
      <c r="U411" t="n">
        <v>16.96</v>
      </c>
      <c r="V411" t="inlineStr">
        <is>
          <t>Type I – Tropical Monsoon (PAGASA)</t>
        </is>
      </c>
      <c r="W411" t="inlineStr">
        <is>
          <t>Wet</t>
        </is>
      </c>
      <c r="X411" t="inlineStr">
        <is>
          <t>Wet</t>
        </is>
      </c>
      <c r="Y411" t="inlineStr">
        <is>
          <t>Sandy Loam</t>
        </is>
      </c>
      <c r="Z411" t="inlineStr">
        <is>
          <t>Flat / Lowland</t>
        </is>
      </c>
      <c r="AA411" t="n">
        <v>30</v>
      </c>
      <c r="AB411" t="inlineStr">
        <is>
          <t>San Pablo Creek</t>
        </is>
      </c>
      <c r="AC411" t="n">
        <v>215.04</v>
      </c>
      <c r="AD411" t="n">
        <v>103.5</v>
      </c>
      <c r="AE411" t="n">
        <v>30.5</v>
      </c>
      <c r="AF411" t="n">
        <v>134</v>
      </c>
      <c r="AG411" t="inlineStr">
        <is>
          <t>Transplanting (Pindot) or Direct Seeding (Pinaghandaan)</t>
        </is>
      </c>
      <c r="AH411" t="inlineStr">
        <is>
          <t>Conventional Tillage: 2 plowings + 2 harrowings; soil workable when moist</t>
        </is>
      </c>
      <c r="AI411" t="inlineStr">
        <is>
          <t>Intermittent irrigation (Alternate Wetting and Drying — AWD); moderate retention</t>
        </is>
      </c>
      <c r="AJ411" t="n">
        <v>32.37</v>
      </c>
      <c r="AK411" t="n">
        <v>79.22</v>
      </c>
      <c r="AL411" t="n">
        <v>2.45</v>
      </c>
      <c r="AM411" t="inlineStr">
        <is>
          <t>No</t>
        </is>
      </c>
      <c r="AN411" t="inlineStr">
        <is>
          <t>Observed harvest</t>
        </is>
      </c>
    </row>
    <row r="412">
      <c r="A412" t="inlineStr">
        <is>
          <t>Palay</t>
        </is>
      </c>
      <c r="B412" t="inlineStr">
        <is>
          <t>Santiago</t>
        </is>
      </c>
      <c r="C412" t="inlineStr">
        <is>
          <t>WS 2021</t>
        </is>
      </c>
      <c r="D412" t="inlineStr">
        <is>
          <t>June</t>
        </is>
      </c>
      <c r="E412" t="inlineStr">
        <is>
          <t>2021</t>
        </is>
      </c>
      <c r="F412" t="inlineStr">
        <is>
          <t>October</t>
        </is>
      </c>
      <c r="G412" t="inlineStr">
        <is>
          <t>2021</t>
        </is>
      </c>
      <c r="H412" t="n">
        <v>8.06</v>
      </c>
      <c r="I412" t="n">
        <v>27.03</v>
      </c>
      <c r="J412" t="n">
        <v>23.72</v>
      </c>
      <c r="K412" t="n">
        <v>34.26</v>
      </c>
      <c r="L412" t="n">
        <v>82.83</v>
      </c>
      <c r="M412" t="n">
        <v>98.25</v>
      </c>
      <c r="N412" t="n">
        <v>20.27</v>
      </c>
      <c r="O412" t="n">
        <v>10.89</v>
      </c>
      <c r="P412" t="n">
        <v>26.2</v>
      </c>
      <c r="Q412" t="n">
        <v>20.65</v>
      </c>
      <c r="R412" t="n">
        <v>31.79</v>
      </c>
      <c r="S412" t="n">
        <v>85.65000000000001</v>
      </c>
      <c r="T412" t="n">
        <v>98.22</v>
      </c>
      <c r="U412" t="n">
        <v>16.96</v>
      </c>
      <c r="V412" t="inlineStr">
        <is>
          <t>Type I – Tropical Monsoon (PAGASA)</t>
        </is>
      </c>
      <c r="W412" t="inlineStr">
        <is>
          <t>Wet</t>
        </is>
      </c>
      <c r="X412" t="inlineStr">
        <is>
          <t>Wet</t>
        </is>
      </c>
      <c r="Y412" t="inlineStr">
        <is>
          <t>Silty Clay Loam</t>
        </is>
      </c>
      <c r="Z412" t="inlineStr">
        <is>
          <t>Flat / Lowland</t>
        </is>
      </c>
      <c r="AA412" t="n">
        <v>30</v>
      </c>
      <c r="AB412" t="inlineStr">
        <is>
          <t>—</t>
        </is>
      </c>
      <c r="AC412" t="n">
        <v>283.08</v>
      </c>
      <c r="AD412" t="n">
        <v>103.6</v>
      </c>
      <c r="AE412" t="n">
        <v>145.4</v>
      </c>
      <c r="AF412" t="n">
        <v>249</v>
      </c>
      <c r="AG412" t="inlineStr">
        <is>
          <t>Transplanting (Pindot) — optimal for clay-loam paddy fields</t>
        </is>
      </c>
      <c r="AH412" t="inlineStr">
        <is>
          <t>Wet Tillage (Puddling): 2 plowings + thorough harrowing under flooded condition</t>
        </is>
      </c>
      <c r="AI412" t="inlineStr">
        <is>
          <t>Continuous flooding 2–5 cm depth during vegetative stage; drain 2 weeks before harvest</t>
        </is>
      </c>
      <c r="AJ412" t="n">
        <v>17.46</v>
      </c>
      <c r="AK412" t="n">
        <v>137.84</v>
      </c>
      <c r="AL412" t="n">
        <v>7.89</v>
      </c>
      <c r="AM412" t="inlineStr">
        <is>
          <t>No</t>
        </is>
      </c>
      <c r="AN412" t="inlineStr">
        <is>
          <t>Observed harvest</t>
        </is>
      </c>
    </row>
    <row r="413">
      <c r="A413" t="inlineStr">
        <is>
          <t>Palay</t>
        </is>
      </c>
      <c r="B413" t="inlineStr">
        <is>
          <t>Sta. Catalina</t>
        </is>
      </c>
      <c r="C413" t="inlineStr">
        <is>
          <t>WS 2021</t>
        </is>
      </c>
      <c r="D413" t="inlineStr">
        <is>
          <t>June</t>
        </is>
      </c>
      <c r="E413" t="inlineStr">
        <is>
          <t>2021</t>
        </is>
      </c>
      <c r="F413" t="inlineStr">
        <is>
          <t>October</t>
        </is>
      </c>
      <c r="G413" t="inlineStr">
        <is>
          <t>2021</t>
        </is>
      </c>
      <c r="H413" t="n">
        <v>8.06</v>
      </c>
      <c r="I413" t="n">
        <v>27.03</v>
      </c>
      <c r="J413" t="n">
        <v>23.72</v>
      </c>
      <c r="K413" t="n">
        <v>34.26</v>
      </c>
      <c r="L413" t="n">
        <v>82.83</v>
      </c>
      <c r="M413" t="n">
        <v>98.25</v>
      </c>
      <c r="N413" t="n">
        <v>20.27</v>
      </c>
      <c r="O413" t="n">
        <v>10.89</v>
      </c>
      <c r="P413" t="n">
        <v>26.2</v>
      </c>
      <c r="Q413" t="n">
        <v>20.65</v>
      </c>
      <c r="R413" t="n">
        <v>31.79</v>
      </c>
      <c r="S413" t="n">
        <v>85.65000000000001</v>
      </c>
      <c r="T413" t="n">
        <v>98.22</v>
      </c>
      <c r="U413" t="n">
        <v>16.96</v>
      </c>
      <c r="V413" t="inlineStr">
        <is>
          <t>Type I – Tropical Monsoon (PAGASA)</t>
        </is>
      </c>
      <c r="W413" t="inlineStr">
        <is>
          <t>Wet</t>
        </is>
      </c>
      <c r="X413" t="inlineStr">
        <is>
          <t>Wet</t>
        </is>
      </c>
      <c r="Y413" t="inlineStr">
        <is>
          <t>Fine Sand / Sandy Loam</t>
        </is>
      </c>
      <c r="Z413" t="inlineStr">
        <is>
          <t>Moderately Sloping / Highland</t>
        </is>
      </c>
      <c r="AA413" t="n">
        <v>90</v>
      </c>
      <c r="AB413" t="inlineStr">
        <is>
          <t>—</t>
        </is>
      </c>
      <c r="AC413" t="n">
        <v>709.8</v>
      </c>
      <c r="AD413" t="n">
        <v>49</v>
      </c>
      <c r="AE413" t="n">
        <v>180</v>
      </c>
      <c r="AF413" t="n">
        <v>229</v>
      </c>
      <c r="AG413" t="inlineStr">
        <is>
          <t>Transplanting (Pindot)</t>
        </is>
      </c>
      <c r="AH413" t="inlineStr">
        <is>
          <t>Minimum Tillage (avoid compaction; sandy structure fragile)</t>
        </is>
      </c>
      <c r="AI413" t="inlineStr">
        <is>
          <t>Continuous flooding or frequent irrigation; high percolation risk; terrace or bund-assisted water retention essential on slopes</t>
        </is>
      </c>
      <c r="AJ413" t="n">
        <v>13.47</v>
      </c>
      <c r="AK413" t="n">
        <v>94.73999999999999</v>
      </c>
      <c r="AL413" t="n">
        <v>7.03</v>
      </c>
      <c r="AM413" t="inlineStr">
        <is>
          <t>No</t>
        </is>
      </c>
      <c r="AN413" t="inlineStr">
        <is>
          <t>Observed harvest</t>
        </is>
      </c>
    </row>
    <row r="414">
      <c r="A414" t="inlineStr">
        <is>
          <t>Palay</t>
        </is>
      </c>
      <c r="B414" t="inlineStr">
        <is>
          <t>Sta. Maria Norte</t>
        </is>
      </c>
      <c r="C414" t="inlineStr">
        <is>
          <t>WS 2021</t>
        </is>
      </c>
      <c r="D414" t="inlineStr">
        <is>
          <t>June</t>
        </is>
      </c>
      <c r="E414" t="inlineStr">
        <is>
          <t>2021</t>
        </is>
      </c>
      <c r="F414" t="inlineStr">
        <is>
          <t>October</t>
        </is>
      </c>
      <c r="G414" t="inlineStr">
        <is>
          <t>2021</t>
        </is>
      </c>
      <c r="H414" t="n">
        <v>8.06</v>
      </c>
      <c r="I414" t="n">
        <v>27.03</v>
      </c>
      <c r="J414" t="n">
        <v>23.72</v>
      </c>
      <c r="K414" t="n">
        <v>34.26</v>
      </c>
      <c r="L414" t="n">
        <v>82.83</v>
      </c>
      <c r="M414" t="n">
        <v>98.25</v>
      </c>
      <c r="N414" t="n">
        <v>20.27</v>
      </c>
      <c r="O414" t="n">
        <v>10.89</v>
      </c>
      <c r="P414" t="n">
        <v>26.2</v>
      </c>
      <c r="Q414" t="n">
        <v>20.65</v>
      </c>
      <c r="R414" t="n">
        <v>31.79</v>
      </c>
      <c r="S414" t="n">
        <v>85.65000000000001</v>
      </c>
      <c r="T414" t="n">
        <v>98.22</v>
      </c>
      <c r="U414" t="n">
        <v>16.96</v>
      </c>
      <c r="V414" t="inlineStr">
        <is>
          <t>Type I – Tropical Monsoon (PAGASA)</t>
        </is>
      </c>
      <c r="W414" t="inlineStr">
        <is>
          <t>Wet</t>
        </is>
      </c>
      <c r="X414" t="inlineStr">
        <is>
          <t>Wet</t>
        </is>
      </c>
      <c r="Y414" t="inlineStr">
        <is>
          <t>Sandy Loam</t>
        </is>
      </c>
      <c r="Z414" t="inlineStr">
        <is>
          <t>Flat / Lowland</t>
        </is>
      </c>
      <c r="AA414" t="n">
        <v>30</v>
      </c>
      <c r="AB414" t="inlineStr">
        <is>
          <t>Tagamusing River</t>
        </is>
      </c>
      <c r="AC414" t="n">
        <v>157.08</v>
      </c>
      <c r="AD414" t="n">
        <v>24.5</v>
      </c>
      <c r="AE414" t="n">
        <v>43.5</v>
      </c>
      <c r="AF414" t="n">
        <v>68</v>
      </c>
      <c r="AG414" t="inlineStr">
        <is>
          <t>Transplanting (Pindot) or Direct Seeding (Pinaghandaan)</t>
        </is>
      </c>
      <c r="AH414" t="inlineStr">
        <is>
          <t>Conventional Tillage: 2 plowings + 2 harrowings; soil workable when moist</t>
        </is>
      </c>
      <c r="AI414" t="inlineStr">
        <is>
          <t>Intermittent irrigation (Alternate Wetting and Drying — AWD); moderate retention</t>
        </is>
      </c>
      <c r="AJ414" t="n">
        <v>40.09</v>
      </c>
      <c r="AK414" t="n">
        <v>9.619999999999999</v>
      </c>
      <c r="AL414" t="n">
        <v>0.24</v>
      </c>
      <c r="AM414" t="inlineStr">
        <is>
          <t>No</t>
        </is>
      </c>
      <c r="AN414" t="inlineStr">
        <is>
          <t>Observed harvest</t>
        </is>
      </c>
    </row>
    <row r="415">
      <c r="A415" t="inlineStr">
        <is>
          <t>Palay</t>
        </is>
      </c>
      <c r="B415" t="inlineStr">
        <is>
          <t>Sumabnit</t>
        </is>
      </c>
      <c r="C415" t="inlineStr">
        <is>
          <t>WS 2021</t>
        </is>
      </c>
      <c r="D415" t="inlineStr">
        <is>
          <t>June</t>
        </is>
      </c>
      <c r="E415" t="inlineStr">
        <is>
          <t>2021</t>
        </is>
      </c>
      <c r="F415" t="inlineStr">
        <is>
          <t>October</t>
        </is>
      </c>
      <c r="G415" t="inlineStr">
        <is>
          <t>2021</t>
        </is>
      </c>
      <c r="H415" t="n">
        <v>8.06</v>
      </c>
      <c r="I415" t="n">
        <v>27.03</v>
      </c>
      <c r="J415" t="n">
        <v>23.72</v>
      </c>
      <c r="K415" t="n">
        <v>34.26</v>
      </c>
      <c r="L415" t="n">
        <v>82.83</v>
      </c>
      <c r="M415" t="n">
        <v>98.25</v>
      </c>
      <c r="N415" t="n">
        <v>20.27</v>
      </c>
      <c r="O415" t="n">
        <v>10.89</v>
      </c>
      <c r="P415" t="n">
        <v>26.2</v>
      </c>
      <c r="Q415" t="n">
        <v>20.65</v>
      </c>
      <c r="R415" t="n">
        <v>31.79</v>
      </c>
      <c r="S415" t="n">
        <v>85.65000000000001</v>
      </c>
      <c r="T415" t="n">
        <v>98.22</v>
      </c>
      <c r="U415" t="n">
        <v>16.96</v>
      </c>
      <c r="V415" t="inlineStr">
        <is>
          <t>Type I – Tropical Monsoon (PAGASA)</t>
        </is>
      </c>
      <c r="W415" t="inlineStr">
        <is>
          <t>Wet</t>
        </is>
      </c>
      <c r="X415" t="inlineStr">
        <is>
          <t>Wet</t>
        </is>
      </c>
      <c r="Y415" t="inlineStr">
        <is>
          <t>Silty Clay Loam / Fine Sandy Loam</t>
        </is>
      </c>
      <c r="Z415" t="inlineStr">
        <is>
          <t>Flat / Lowland</t>
        </is>
      </c>
      <c r="AA415" t="n">
        <v>30</v>
      </c>
      <c r="AB415" t="inlineStr">
        <is>
          <t>Tagamusing River</t>
        </is>
      </c>
      <c r="AC415" t="n">
        <v>406.56</v>
      </c>
      <c r="AD415" t="n">
        <v>133.3</v>
      </c>
      <c r="AE415" t="n">
        <v>123.7</v>
      </c>
      <c r="AF415" t="n">
        <v>257</v>
      </c>
      <c r="AG415" t="inlineStr">
        <is>
          <t>Transplanting (Pindot)</t>
        </is>
      </c>
      <c r="AH415" t="inlineStr">
        <is>
          <t>Minimum Tillage (avoid compaction; sandy structure fragile)</t>
        </is>
      </c>
      <c r="AI415" t="inlineStr">
        <is>
          <t>Continuous flooding or frequent irrigation; high percolation risk</t>
        </is>
      </c>
      <c r="AJ415" t="n">
        <v>17.44</v>
      </c>
      <c r="AK415" t="n">
        <v>79.06</v>
      </c>
      <c r="AL415" t="n">
        <v>4.53</v>
      </c>
      <c r="AM415" t="inlineStr">
        <is>
          <t>No</t>
        </is>
      </c>
      <c r="AN415" t="inlineStr">
        <is>
          <t>Observed harvest</t>
        </is>
      </c>
    </row>
    <row r="416">
      <c r="A416" t="inlineStr">
        <is>
          <t>Palay</t>
        </is>
      </c>
      <c r="B416" t="inlineStr">
        <is>
          <t>Tabuyoc</t>
        </is>
      </c>
      <c r="C416" t="inlineStr">
        <is>
          <t>WS 2021</t>
        </is>
      </c>
      <c r="D416" t="inlineStr">
        <is>
          <t>June</t>
        </is>
      </c>
      <c r="E416" t="inlineStr">
        <is>
          <t>2021</t>
        </is>
      </c>
      <c r="F416" t="inlineStr">
        <is>
          <t>October</t>
        </is>
      </c>
      <c r="G416" t="inlineStr">
        <is>
          <t>2021</t>
        </is>
      </c>
      <c r="H416" t="n">
        <v>8.06</v>
      </c>
      <c r="I416" t="n">
        <v>27.03</v>
      </c>
      <c r="J416" t="n">
        <v>23.72</v>
      </c>
      <c r="K416" t="n">
        <v>34.26</v>
      </c>
      <c r="L416" t="n">
        <v>82.83</v>
      </c>
      <c r="M416" t="n">
        <v>98.25</v>
      </c>
      <c r="N416" t="n">
        <v>20.27</v>
      </c>
      <c r="O416" t="n">
        <v>10.89</v>
      </c>
      <c r="P416" t="n">
        <v>26.2</v>
      </c>
      <c r="Q416" t="n">
        <v>20.65</v>
      </c>
      <c r="R416" t="n">
        <v>31.79</v>
      </c>
      <c r="S416" t="n">
        <v>85.65000000000001</v>
      </c>
      <c r="T416" t="n">
        <v>98.22</v>
      </c>
      <c r="U416" t="n">
        <v>16.96</v>
      </c>
      <c r="V416" t="inlineStr">
        <is>
          <t>Type I – Tropical Monsoon (PAGASA)</t>
        </is>
      </c>
      <c r="W416" t="inlineStr">
        <is>
          <t>Wet</t>
        </is>
      </c>
      <c r="X416" t="inlineStr">
        <is>
          <t>Wet</t>
        </is>
      </c>
      <c r="Y416" t="inlineStr">
        <is>
          <t>Silty Clay Loam</t>
        </is>
      </c>
      <c r="Z416" t="inlineStr">
        <is>
          <t>Flat / Lowland</t>
        </is>
      </c>
      <c r="AA416" t="n">
        <v>30</v>
      </c>
      <c r="AB416" t="inlineStr">
        <is>
          <t>—</t>
        </is>
      </c>
      <c r="AC416" t="n">
        <v>277.2</v>
      </c>
      <c r="AD416" t="n">
        <v>134</v>
      </c>
      <c r="AE416" t="n">
        <v>5</v>
      </c>
      <c r="AF416" t="n">
        <v>139</v>
      </c>
      <c r="AG416" t="inlineStr">
        <is>
          <t>Transplanting (Pindot) — optimal for clay-loam paddy fields</t>
        </is>
      </c>
      <c r="AH416" t="inlineStr">
        <is>
          <t>Wet Tillage (Puddling): 2 plowings + thorough harrowing under flooded condition</t>
        </is>
      </c>
      <c r="AI416" t="inlineStr">
        <is>
          <t>Continuous flooding 2–5 cm depth during vegetative stage; drain 2 weeks before harvest</t>
        </is>
      </c>
      <c r="AJ416" t="n">
        <v>16.06</v>
      </c>
      <c r="AK416" t="n">
        <v>5.84</v>
      </c>
      <c r="AL416" t="n">
        <v>0.36</v>
      </c>
      <c r="AM416" t="inlineStr">
        <is>
          <t>No</t>
        </is>
      </c>
      <c r="AN416" t="inlineStr">
        <is>
          <t>Observed harvest</t>
        </is>
      </c>
    </row>
    <row r="417">
      <c r="A417" t="inlineStr">
        <is>
          <t>Palay</t>
        </is>
      </c>
      <c r="B417" t="inlineStr">
        <is>
          <t>Vacante</t>
        </is>
      </c>
      <c r="C417" t="inlineStr">
        <is>
          <t>WS 2021</t>
        </is>
      </c>
      <c r="D417" t="inlineStr">
        <is>
          <t>June</t>
        </is>
      </c>
      <c r="E417" t="inlineStr">
        <is>
          <t>2021</t>
        </is>
      </c>
      <c r="F417" t="inlineStr">
        <is>
          <t>October</t>
        </is>
      </c>
      <c r="G417" t="inlineStr">
        <is>
          <t>2021</t>
        </is>
      </c>
      <c r="H417" t="n">
        <v>8.06</v>
      </c>
      <c r="I417" t="n">
        <v>27.03</v>
      </c>
      <c r="J417" t="n">
        <v>23.72</v>
      </c>
      <c r="K417" t="n">
        <v>34.26</v>
      </c>
      <c r="L417" t="n">
        <v>82.83</v>
      </c>
      <c r="M417" t="n">
        <v>98.25</v>
      </c>
      <c r="N417" t="n">
        <v>20.27</v>
      </c>
      <c r="O417" t="n">
        <v>10.89</v>
      </c>
      <c r="P417" t="n">
        <v>26.2</v>
      </c>
      <c r="Q417" t="n">
        <v>20.65</v>
      </c>
      <c r="R417" t="n">
        <v>31.79</v>
      </c>
      <c r="S417" t="n">
        <v>85.65000000000001</v>
      </c>
      <c r="T417" t="n">
        <v>98.22</v>
      </c>
      <c r="U417" t="n">
        <v>16.96</v>
      </c>
      <c r="V417" t="inlineStr">
        <is>
          <t>Type I – Tropical Monsoon (PAGASA)</t>
        </is>
      </c>
      <c r="W417" t="inlineStr">
        <is>
          <t>Wet</t>
        </is>
      </c>
      <c r="X417" t="inlineStr">
        <is>
          <t>Wet</t>
        </is>
      </c>
      <c r="Y417" t="inlineStr">
        <is>
          <t>Silty Clay Loam</t>
        </is>
      </c>
      <c r="Z417" t="inlineStr">
        <is>
          <t>Flat / Lowland</t>
        </is>
      </c>
      <c r="AA417" t="n">
        <v>30</v>
      </c>
      <c r="AB417" t="inlineStr">
        <is>
          <t>Aloragat River</t>
        </is>
      </c>
      <c r="AC417" t="n">
        <v>484.68</v>
      </c>
      <c r="AD417" t="n">
        <v>28</v>
      </c>
      <c r="AE417" t="n">
        <v>81</v>
      </c>
      <c r="AF417" t="n">
        <v>109</v>
      </c>
      <c r="AG417" t="inlineStr">
        <is>
          <t>Transplanting (Pindot) — optimal for clay-loam paddy fields</t>
        </is>
      </c>
      <c r="AH417" t="inlineStr">
        <is>
          <t>Wet Tillage (Puddling): 2 plowings + thorough harrowing under flooded condition</t>
        </is>
      </c>
      <c r="AI417" t="inlineStr">
        <is>
          <t>Continuous flooding 2–5 cm depth during vegetative stage; drain 2 weeks before harvest</t>
        </is>
      </c>
      <c r="AJ417" t="n">
        <v>6.37</v>
      </c>
      <c r="AK417" t="n">
        <v>8.34</v>
      </c>
      <c r="AL417" t="n">
        <v>1.31</v>
      </c>
      <c r="AM417" t="inlineStr">
        <is>
          <t>No</t>
        </is>
      </c>
      <c r="AN417" t="inlineStr">
        <is>
          <t>Observed harvest</t>
        </is>
      </c>
    </row>
    <row r="418">
      <c r="A418" t="inlineStr">
        <is>
          <t>Palay</t>
        </is>
      </c>
      <c r="B418" t="inlineStr">
        <is>
          <t>Balangobong</t>
        </is>
      </c>
      <c r="C418" t="inlineStr">
        <is>
          <t>WS 2022</t>
        </is>
      </c>
      <c r="D418" t="inlineStr">
        <is>
          <t>June</t>
        </is>
      </c>
      <c r="E418" t="inlineStr">
        <is>
          <t>2022</t>
        </is>
      </c>
      <c r="F418" t="inlineStr">
        <is>
          <t>October</t>
        </is>
      </c>
      <c r="G418" t="inlineStr">
        <is>
          <t>2022</t>
        </is>
      </c>
      <c r="H418" t="n">
        <v>8.01</v>
      </c>
      <c r="I418" t="n">
        <v>27.14</v>
      </c>
      <c r="J418" t="n">
        <v>23.01</v>
      </c>
      <c r="K418" t="n">
        <v>32.47</v>
      </c>
      <c r="L418" t="n">
        <v>82.48</v>
      </c>
      <c r="M418" t="n">
        <v>98.2</v>
      </c>
      <c r="N418" t="n">
        <v>20.55</v>
      </c>
      <c r="O418" t="n">
        <v>13.41</v>
      </c>
      <c r="P418" t="n">
        <v>26.64</v>
      </c>
      <c r="Q418" t="n">
        <v>21.81</v>
      </c>
      <c r="R418" t="n">
        <v>31.98</v>
      </c>
      <c r="S418" t="n">
        <v>85.39</v>
      </c>
      <c r="T418" t="n">
        <v>98.09999999999999</v>
      </c>
      <c r="U418" t="n">
        <v>16.36</v>
      </c>
      <c r="V418" t="inlineStr">
        <is>
          <t>Type I – Tropical Monsoon (PAGASA)</t>
        </is>
      </c>
      <c r="W418" t="inlineStr">
        <is>
          <t>Wet</t>
        </is>
      </c>
      <c r="X418" t="inlineStr">
        <is>
          <t>Wet</t>
        </is>
      </c>
      <c r="Y418" t="inlineStr">
        <is>
          <t>Silty Clay Loam</t>
        </is>
      </c>
      <c r="Z418" t="inlineStr">
        <is>
          <t>Flat / Lowland</t>
        </is>
      </c>
      <c r="AA418" t="n">
        <v>30</v>
      </c>
      <c r="AB418" t="inlineStr">
        <is>
          <t>—</t>
        </is>
      </c>
      <c r="AC418" t="n">
        <v>281.4</v>
      </c>
      <c r="AD418" t="n">
        <v>120</v>
      </c>
      <c r="AE418" t="n">
        <v>15</v>
      </c>
      <c r="AF418" t="n">
        <v>135</v>
      </c>
      <c r="AG418" t="inlineStr">
        <is>
          <t>Transplanting (Pindot) — optimal for clay-loam paddy fields</t>
        </is>
      </c>
      <c r="AH418" t="inlineStr">
        <is>
          <t>Wet Tillage (Puddling): 2 plowings + thorough harrowing under flooded condition</t>
        </is>
      </c>
      <c r="AI418" t="inlineStr">
        <is>
          <t>Continuous flooding 2–5 cm depth during vegetative stage; drain 2 weeks before harvest</t>
        </is>
      </c>
      <c r="AJ418" t="n">
        <v>103.25</v>
      </c>
      <c r="AK418" t="n">
        <v>0</v>
      </c>
      <c r="AL418" t="n">
        <v>0</v>
      </c>
      <c r="AM418" t="inlineStr">
        <is>
          <t>No</t>
        </is>
      </c>
      <c r="AN418" t="inlineStr">
        <is>
          <t>Observed harvest</t>
        </is>
      </c>
    </row>
    <row r="419">
      <c r="A419" t="inlineStr">
        <is>
          <t>Palay</t>
        </is>
      </c>
      <c r="B419" t="inlineStr">
        <is>
          <t>Bued</t>
        </is>
      </c>
      <c r="C419" t="inlineStr">
        <is>
          <t>WS 2022</t>
        </is>
      </c>
      <c r="D419" t="inlineStr">
        <is>
          <t>June</t>
        </is>
      </c>
      <c r="E419" t="inlineStr">
        <is>
          <t>2022</t>
        </is>
      </c>
      <c r="F419" t="inlineStr">
        <is>
          <t>October</t>
        </is>
      </c>
      <c r="G419" t="inlineStr">
        <is>
          <t>2022</t>
        </is>
      </c>
      <c r="H419" t="n">
        <v>8.01</v>
      </c>
      <c r="I419" t="n">
        <v>27.14</v>
      </c>
      <c r="J419" t="n">
        <v>23.01</v>
      </c>
      <c r="K419" t="n">
        <v>32.47</v>
      </c>
      <c r="L419" t="n">
        <v>82.48</v>
      </c>
      <c r="M419" t="n">
        <v>98.2</v>
      </c>
      <c r="N419" t="n">
        <v>20.55</v>
      </c>
      <c r="O419" t="n">
        <v>13.41</v>
      </c>
      <c r="P419" t="n">
        <v>26.64</v>
      </c>
      <c r="Q419" t="n">
        <v>21.81</v>
      </c>
      <c r="R419" t="n">
        <v>31.98</v>
      </c>
      <c r="S419" t="n">
        <v>85.39</v>
      </c>
      <c r="T419" t="n">
        <v>98.09999999999999</v>
      </c>
      <c r="U419" t="n">
        <v>16.36</v>
      </c>
      <c r="V419" t="inlineStr">
        <is>
          <t>Type I – Tropical Monsoon (PAGASA)</t>
        </is>
      </c>
      <c r="W419" t="inlineStr">
        <is>
          <t>Wet</t>
        </is>
      </c>
      <c r="X419" t="inlineStr">
        <is>
          <t>Wet</t>
        </is>
      </c>
      <c r="Y419" t="inlineStr">
        <is>
          <t>Silty Clay Loam</t>
        </is>
      </c>
      <c r="Z419" t="inlineStr">
        <is>
          <t>Flat / Lowland</t>
        </is>
      </c>
      <c r="AA419" t="n">
        <v>30</v>
      </c>
      <c r="AB419" t="inlineStr">
        <is>
          <t>Tagamusing River</t>
        </is>
      </c>
      <c r="AC419" t="n">
        <v>210.84</v>
      </c>
      <c r="AD419" t="n">
        <v>56.5</v>
      </c>
      <c r="AE419" t="n">
        <v>37.5</v>
      </c>
      <c r="AF419" t="n">
        <v>94</v>
      </c>
      <c r="AG419" t="inlineStr">
        <is>
          <t>Transplanting (Pindot) — optimal for clay-loam paddy fields</t>
        </is>
      </c>
      <c r="AH419" t="inlineStr">
        <is>
          <t>Wet Tillage (Puddling): 2 plowings + thorough harrowing under flooded condition</t>
        </is>
      </c>
      <c r="AI419" t="inlineStr">
        <is>
          <t>Continuous flooding 2–5 cm depth during vegetative stage; drain 2 weeks before harvest</t>
        </is>
      </c>
      <c r="AJ419" t="n">
        <v>103.25</v>
      </c>
      <c r="AK419" t="n">
        <v>0</v>
      </c>
      <c r="AL419" t="n">
        <v>0</v>
      </c>
      <c r="AM419" t="inlineStr">
        <is>
          <t>No</t>
        </is>
      </c>
      <c r="AN419" t="inlineStr">
        <is>
          <t>Observed harvest</t>
        </is>
      </c>
    </row>
    <row r="420">
      <c r="A420" t="inlineStr">
        <is>
          <t>Palay</t>
        </is>
      </c>
      <c r="B420" t="inlineStr">
        <is>
          <t>Bugayong</t>
        </is>
      </c>
      <c r="C420" t="inlineStr">
        <is>
          <t>WS 2022</t>
        </is>
      </c>
      <c r="D420" t="inlineStr">
        <is>
          <t>June</t>
        </is>
      </c>
      <c r="E420" t="inlineStr">
        <is>
          <t>2022</t>
        </is>
      </c>
      <c r="F420" t="inlineStr">
        <is>
          <t>October</t>
        </is>
      </c>
      <c r="G420" t="inlineStr">
        <is>
          <t>2022</t>
        </is>
      </c>
      <c r="H420" t="n">
        <v>8.01</v>
      </c>
      <c r="I420" t="n">
        <v>27.14</v>
      </c>
      <c r="J420" t="n">
        <v>23.01</v>
      </c>
      <c r="K420" t="n">
        <v>32.47</v>
      </c>
      <c r="L420" t="n">
        <v>82.48</v>
      </c>
      <c r="M420" t="n">
        <v>98.2</v>
      </c>
      <c r="N420" t="n">
        <v>20.55</v>
      </c>
      <c r="O420" t="n">
        <v>13.41</v>
      </c>
      <c r="P420" t="n">
        <v>26.64</v>
      </c>
      <c r="Q420" t="n">
        <v>21.81</v>
      </c>
      <c r="R420" t="n">
        <v>31.98</v>
      </c>
      <c r="S420" t="n">
        <v>85.39</v>
      </c>
      <c r="T420" t="n">
        <v>98.09999999999999</v>
      </c>
      <c r="U420" t="n">
        <v>16.36</v>
      </c>
      <c r="V420" t="inlineStr">
        <is>
          <t>Type I – Tropical Monsoon (PAGASA)</t>
        </is>
      </c>
      <c r="W420" t="inlineStr">
        <is>
          <t>Wet</t>
        </is>
      </c>
      <c r="X420" t="inlineStr">
        <is>
          <t>Wet</t>
        </is>
      </c>
      <c r="Y420" t="inlineStr">
        <is>
          <t>Sandy Loam / Silty Clay Loam</t>
        </is>
      </c>
      <c r="Z420" t="inlineStr">
        <is>
          <t>Flat / Lowland</t>
        </is>
      </c>
      <c r="AA420" t="n">
        <v>30</v>
      </c>
      <c r="AB420" t="inlineStr">
        <is>
          <t>Aloragat River</t>
        </is>
      </c>
      <c r="AC420" t="n">
        <v>346.08</v>
      </c>
      <c r="AD420" t="n">
        <v>25.95</v>
      </c>
      <c r="AE420" t="n">
        <v>52.05</v>
      </c>
      <c r="AF420" t="n">
        <v>78</v>
      </c>
      <c r="AG420" t="inlineStr">
        <is>
          <t>Transplanting (Pindot) — recommended; Direct Seeding possible in dry season</t>
        </is>
      </c>
      <c r="AH420" t="inlineStr">
        <is>
          <t>Conventional Tillage: 2 plowings + harrowing; puddle thoroughly for transplanting</t>
        </is>
      </c>
      <c r="AI420" t="inlineStr">
        <is>
          <t>Intermittent to continuous flooding; manage according to drainage section present</t>
        </is>
      </c>
      <c r="AJ420" t="n">
        <v>20.34</v>
      </c>
      <c r="AK420" t="n">
        <v>0</v>
      </c>
      <c r="AL420" t="n">
        <v>0</v>
      </c>
      <c r="AM420" t="inlineStr">
        <is>
          <t>No</t>
        </is>
      </c>
      <c r="AN420" t="inlineStr">
        <is>
          <t>Observed harvest</t>
        </is>
      </c>
    </row>
    <row r="421">
      <c r="A421" t="inlineStr">
        <is>
          <t>Palay</t>
        </is>
      </c>
      <c r="B421" t="inlineStr">
        <is>
          <t>Camanggaan</t>
        </is>
      </c>
      <c r="C421" t="inlineStr">
        <is>
          <t>WS 2022</t>
        </is>
      </c>
      <c r="D421" t="inlineStr">
        <is>
          <t>June</t>
        </is>
      </c>
      <c r="E421" t="inlineStr">
        <is>
          <t>2022</t>
        </is>
      </c>
      <c r="F421" t="inlineStr">
        <is>
          <t>October</t>
        </is>
      </c>
      <c r="G421" t="inlineStr">
        <is>
          <t>2022</t>
        </is>
      </c>
      <c r="H421" t="n">
        <v>8.01</v>
      </c>
      <c r="I421" t="n">
        <v>27.14</v>
      </c>
      <c r="J421" t="n">
        <v>23.01</v>
      </c>
      <c r="K421" t="n">
        <v>32.47</v>
      </c>
      <c r="L421" t="n">
        <v>82.48</v>
      </c>
      <c r="M421" t="n">
        <v>98.2</v>
      </c>
      <c r="N421" t="n">
        <v>20.55</v>
      </c>
      <c r="O421" t="n">
        <v>13.41</v>
      </c>
      <c r="P421" t="n">
        <v>26.64</v>
      </c>
      <c r="Q421" t="n">
        <v>21.81</v>
      </c>
      <c r="R421" t="n">
        <v>31.98</v>
      </c>
      <c r="S421" t="n">
        <v>85.39</v>
      </c>
      <c r="T421" t="n">
        <v>98.09999999999999</v>
      </c>
      <c r="U421" t="n">
        <v>16.36</v>
      </c>
      <c r="V421" t="inlineStr">
        <is>
          <t>Type I – Tropical Monsoon (PAGASA)</t>
        </is>
      </c>
      <c r="W421" t="inlineStr">
        <is>
          <t>Wet</t>
        </is>
      </c>
      <c r="X421" t="inlineStr">
        <is>
          <t>Wet</t>
        </is>
      </c>
      <c r="Y421" t="inlineStr">
        <is>
          <t>Sandy Loam</t>
        </is>
      </c>
      <c r="Z421" t="inlineStr">
        <is>
          <t>Flat / Lowland</t>
        </is>
      </c>
      <c r="AA421" t="n">
        <v>30</v>
      </c>
      <c r="AB421" t="inlineStr">
        <is>
          <t>—</t>
        </is>
      </c>
      <c r="AC421" t="n">
        <v>244.44</v>
      </c>
      <c r="AD421" t="n">
        <v>19</v>
      </c>
      <c r="AE421" t="n">
        <v>68</v>
      </c>
      <c r="AF421" t="n">
        <v>87</v>
      </c>
      <c r="AG421" t="inlineStr">
        <is>
          <t>Transplanting (Pindot) or Direct Seeding (Pinaghandaan)</t>
        </is>
      </c>
      <c r="AH421" t="inlineStr">
        <is>
          <t>Conventional Tillage: 2 plowings + 2 harrowings; soil workable when moist</t>
        </is>
      </c>
      <c r="AI421" t="inlineStr">
        <is>
          <t>Intermittent irrigation (Alternate Wetting and Drying — AWD); moderate retention</t>
        </is>
      </c>
      <c r="AJ421" t="n">
        <v>4.62</v>
      </c>
      <c r="AK421" t="n">
        <v>0</v>
      </c>
      <c r="AL421" t="n">
        <v>0</v>
      </c>
      <c r="AM421" t="inlineStr">
        <is>
          <t>No</t>
        </is>
      </c>
      <c r="AN421" t="inlineStr">
        <is>
          <t>Observed harvest</t>
        </is>
      </c>
    </row>
    <row r="422">
      <c r="A422" t="inlineStr">
        <is>
          <t>Palay</t>
        </is>
      </c>
      <c r="B422" t="inlineStr">
        <is>
          <t>Capas</t>
        </is>
      </c>
      <c r="C422" t="inlineStr">
        <is>
          <t>WS 2022</t>
        </is>
      </c>
      <c r="D422" t="inlineStr">
        <is>
          <t>June</t>
        </is>
      </c>
      <c r="E422" t="inlineStr">
        <is>
          <t>2022</t>
        </is>
      </c>
      <c r="F422" t="inlineStr">
        <is>
          <t>October</t>
        </is>
      </c>
      <c r="G422" t="inlineStr">
        <is>
          <t>2022</t>
        </is>
      </c>
      <c r="H422" t="n">
        <v>8.01</v>
      </c>
      <c r="I422" t="n">
        <v>27.14</v>
      </c>
      <c r="J422" t="n">
        <v>23.01</v>
      </c>
      <c r="K422" t="n">
        <v>32.47</v>
      </c>
      <c r="L422" t="n">
        <v>82.48</v>
      </c>
      <c r="M422" t="n">
        <v>98.2</v>
      </c>
      <c r="N422" t="n">
        <v>20.55</v>
      </c>
      <c r="O422" t="n">
        <v>13.41</v>
      </c>
      <c r="P422" t="n">
        <v>26.64</v>
      </c>
      <c r="Q422" t="n">
        <v>21.81</v>
      </c>
      <c r="R422" t="n">
        <v>31.98</v>
      </c>
      <c r="S422" t="n">
        <v>85.39</v>
      </c>
      <c r="T422" t="n">
        <v>98.09999999999999</v>
      </c>
      <c r="U422" t="n">
        <v>16.36</v>
      </c>
      <c r="V422" t="inlineStr">
        <is>
          <t>Type I – Tropical Monsoon (PAGASA)</t>
        </is>
      </c>
      <c r="W422" t="inlineStr">
        <is>
          <t>Wet</t>
        </is>
      </c>
      <c r="X422" t="inlineStr">
        <is>
          <t>Wet</t>
        </is>
      </c>
      <c r="Y422" t="inlineStr">
        <is>
          <t>Sandy Loam</t>
        </is>
      </c>
      <c r="Z422" t="inlineStr">
        <is>
          <t>Flat / Lowland</t>
        </is>
      </c>
      <c r="AA422" t="n">
        <v>30</v>
      </c>
      <c r="AB422" t="inlineStr">
        <is>
          <t>—</t>
        </is>
      </c>
      <c r="AC422" t="n">
        <v>377.16</v>
      </c>
      <c r="AD422" t="n">
        <v>139</v>
      </c>
      <c r="AE422" t="n">
        <v>164</v>
      </c>
      <c r="AF422" t="n">
        <v>303</v>
      </c>
      <c r="AG422" t="inlineStr">
        <is>
          <t>Transplanting (Pindot) or Direct Seeding (Pinaghandaan)</t>
        </is>
      </c>
      <c r="AH422" t="inlineStr">
        <is>
          <t>Conventional Tillage: 2 plowings + 2 harrowings; soil workable when moist</t>
        </is>
      </c>
      <c r="AI422" t="inlineStr">
        <is>
          <t>Intermittent irrigation (Alternate Wetting and Drying — AWD); moderate retention</t>
        </is>
      </c>
      <c r="AJ422" t="n">
        <v>4.87</v>
      </c>
      <c r="AK422" t="n">
        <v>0</v>
      </c>
      <c r="AL422" t="n">
        <v>0</v>
      </c>
      <c r="AM422" t="inlineStr">
        <is>
          <t>No</t>
        </is>
      </c>
      <c r="AN422" t="inlineStr">
        <is>
          <t>Observed harvest</t>
        </is>
      </c>
    </row>
    <row r="423">
      <c r="A423" t="inlineStr">
        <is>
          <t>Palay</t>
        </is>
      </c>
      <c r="B423" t="inlineStr">
        <is>
          <t>Cili</t>
        </is>
      </c>
      <c r="C423" t="inlineStr">
        <is>
          <t>WS 2022</t>
        </is>
      </c>
      <c r="D423" t="inlineStr">
        <is>
          <t>June</t>
        </is>
      </c>
      <c r="E423" t="inlineStr">
        <is>
          <t>2022</t>
        </is>
      </c>
      <c r="F423" t="inlineStr">
        <is>
          <t>October</t>
        </is>
      </c>
      <c r="G423" t="inlineStr">
        <is>
          <t>2022</t>
        </is>
      </c>
      <c r="H423" t="n">
        <v>8.01</v>
      </c>
      <c r="I423" t="n">
        <v>27.14</v>
      </c>
      <c r="J423" t="n">
        <v>23.01</v>
      </c>
      <c r="K423" t="n">
        <v>32.47</v>
      </c>
      <c r="L423" t="n">
        <v>82.48</v>
      </c>
      <c r="M423" t="n">
        <v>98.2</v>
      </c>
      <c r="N423" t="n">
        <v>20.55</v>
      </c>
      <c r="O423" t="n">
        <v>13.41</v>
      </c>
      <c r="P423" t="n">
        <v>26.64</v>
      </c>
      <c r="Q423" t="n">
        <v>21.81</v>
      </c>
      <c r="R423" t="n">
        <v>31.98</v>
      </c>
      <c r="S423" t="n">
        <v>85.39</v>
      </c>
      <c r="T423" t="n">
        <v>98.09999999999999</v>
      </c>
      <c r="U423" t="n">
        <v>16.36</v>
      </c>
      <c r="V423" t="inlineStr">
        <is>
          <t>Type I – Tropical Monsoon (PAGASA)</t>
        </is>
      </c>
      <c r="W423" t="inlineStr">
        <is>
          <t>Wet</t>
        </is>
      </c>
      <c r="X423" t="inlineStr">
        <is>
          <t>Wet</t>
        </is>
      </c>
      <c r="Y423" t="inlineStr">
        <is>
          <t>Silty Clay Loam</t>
        </is>
      </c>
      <c r="Z423" t="inlineStr">
        <is>
          <t>Flat / Lowland</t>
        </is>
      </c>
      <c r="AA423" t="n">
        <v>30</v>
      </c>
      <c r="AB423" t="inlineStr">
        <is>
          <t>Alibeng River</t>
        </is>
      </c>
      <c r="AC423" t="n">
        <v>264.6</v>
      </c>
      <c r="AD423" t="n">
        <v>40</v>
      </c>
      <c r="AE423" t="n">
        <v>128</v>
      </c>
      <c r="AF423" t="n">
        <v>168</v>
      </c>
      <c r="AG423" t="inlineStr">
        <is>
          <t>Transplanting (Pindot) — optimal for clay-loam paddy fields</t>
        </is>
      </c>
      <c r="AH423" t="inlineStr">
        <is>
          <t>Wet Tillage (Puddling): 2 plowings + thorough harrowing under flooded condition</t>
        </is>
      </c>
      <c r="AI423" t="inlineStr">
        <is>
          <t>Continuous flooding 2–5 cm depth during vegetative stage; drain 2 weeks before harvest</t>
        </is>
      </c>
      <c r="AJ423" t="n">
        <v>103.25</v>
      </c>
      <c r="AK423" t="n">
        <v>0</v>
      </c>
      <c r="AL423" t="n">
        <v>0</v>
      </c>
      <c r="AM423" t="inlineStr">
        <is>
          <t>No</t>
        </is>
      </c>
      <c r="AN423" t="inlineStr">
        <is>
          <t>Observed harvest</t>
        </is>
      </c>
    </row>
    <row r="424">
      <c r="A424" t="inlineStr">
        <is>
          <t>Palay</t>
        </is>
      </c>
      <c r="B424" t="inlineStr">
        <is>
          <t>Dumayat</t>
        </is>
      </c>
      <c r="C424" t="inlineStr">
        <is>
          <t>WS 2022</t>
        </is>
      </c>
      <c r="D424" t="inlineStr">
        <is>
          <t>June</t>
        </is>
      </c>
      <c r="E424" t="inlineStr">
        <is>
          <t>2022</t>
        </is>
      </c>
      <c r="F424" t="inlineStr">
        <is>
          <t>October</t>
        </is>
      </c>
      <c r="G424" t="inlineStr">
        <is>
          <t>2022</t>
        </is>
      </c>
      <c r="H424" t="n">
        <v>8.01</v>
      </c>
      <c r="I424" t="n">
        <v>27.14</v>
      </c>
      <c r="J424" t="n">
        <v>23.01</v>
      </c>
      <c r="K424" t="n">
        <v>32.47</v>
      </c>
      <c r="L424" t="n">
        <v>82.48</v>
      </c>
      <c r="M424" t="n">
        <v>98.2</v>
      </c>
      <c r="N424" t="n">
        <v>20.55</v>
      </c>
      <c r="O424" t="n">
        <v>13.41</v>
      </c>
      <c r="P424" t="n">
        <v>26.64</v>
      </c>
      <c r="Q424" t="n">
        <v>21.81</v>
      </c>
      <c r="R424" t="n">
        <v>31.98</v>
      </c>
      <c r="S424" t="n">
        <v>85.39</v>
      </c>
      <c r="T424" t="n">
        <v>98.09999999999999</v>
      </c>
      <c r="U424" t="n">
        <v>16.36</v>
      </c>
      <c r="V424" t="inlineStr">
        <is>
          <t>Type I – Tropical Monsoon (PAGASA)</t>
        </is>
      </c>
      <c r="W424" t="inlineStr">
        <is>
          <t>Wet</t>
        </is>
      </c>
      <c r="X424" t="inlineStr">
        <is>
          <t>Wet</t>
        </is>
      </c>
      <c r="Y424" t="inlineStr">
        <is>
          <t>Silty Clay Loam</t>
        </is>
      </c>
      <c r="Z424" t="inlineStr">
        <is>
          <t>Flat / Lowland</t>
        </is>
      </c>
      <c r="AA424" t="n">
        <v>30</v>
      </c>
      <c r="AB424" t="inlineStr">
        <is>
          <t>—</t>
        </is>
      </c>
      <c r="AC424" t="n">
        <v>266.28</v>
      </c>
      <c r="AD424" t="n">
        <v>56</v>
      </c>
      <c r="AE424" t="n">
        <v>30</v>
      </c>
      <c r="AF424" t="n">
        <v>86</v>
      </c>
      <c r="AG424" t="inlineStr">
        <is>
          <t>Transplanting (Pindot) — optimal for clay-loam paddy fields</t>
        </is>
      </c>
      <c r="AH424" t="inlineStr">
        <is>
          <t>Wet Tillage (Puddling): 2 plowings + thorough harrowing under flooded condition</t>
        </is>
      </c>
      <c r="AI424" t="inlineStr">
        <is>
          <t>Continuous flooding 2–5 cm depth during vegetative stage; drain 2 weeks before harvest</t>
        </is>
      </c>
      <c r="AJ424" t="n">
        <v>90.31</v>
      </c>
      <c r="AK424" t="n">
        <v>0</v>
      </c>
      <c r="AL424" t="n">
        <v>0</v>
      </c>
      <c r="AM424" t="inlineStr">
        <is>
          <t>No</t>
        </is>
      </c>
      <c r="AN424" t="inlineStr">
        <is>
          <t>Observed harvest</t>
        </is>
      </c>
    </row>
    <row r="425">
      <c r="A425" t="inlineStr">
        <is>
          <t>Palay</t>
        </is>
      </c>
      <c r="B425" t="inlineStr">
        <is>
          <t>Linmansangan</t>
        </is>
      </c>
      <c r="C425" t="inlineStr">
        <is>
          <t>WS 2022</t>
        </is>
      </c>
      <c r="D425" t="inlineStr">
        <is>
          <t>June</t>
        </is>
      </c>
      <c r="E425" t="inlineStr">
        <is>
          <t>2022</t>
        </is>
      </c>
      <c r="F425" t="inlineStr">
        <is>
          <t>October</t>
        </is>
      </c>
      <c r="G425" t="inlineStr">
        <is>
          <t>2022</t>
        </is>
      </c>
      <c r="H425" t="n">
        <v>8.01</v>
      </c>
      <c r="I425" t="n">
        <v>27.14</v>
      </c>
      <c r="J425" t="n">
        <v>23.01</v>
      </c>
      <c r="K425" t="n">
        <v>32.47</v>
      </c>
      <c r="L425" t="n">
        <v>82.48</v>
      </c>
      <c r="M425" t="n">
        <v>98.2</v>
      </c>
      <c r="N425" t="n">
        <v>20.55</v>
      </c>
      <c r="O425" t="n">
        <v>13.41</v>
      </c>
      <c r="P425" t="n">
        <v>26.64</v>
      </c>
      <c r="Q425" t="n">
        <v>21.81</v>
      </c>
      <c r="R425" t="n">
        <v>31.98</v>
      </c>
      <c r="S425" t="n">
        <v>85.39</v>
      </c>
      <c r="T425" t="n">
        <v>98.09999999999999</v>
      </c>
      <c r="U425" t="n">
        <v>16.36</v>
      </c>
      <c r="V425" t="inlineStr">
        <is>
          <t>Type I – Tropical Monsoon (PAGASA)</t>
        </is>
      </c>
      <c r="W425" t="inlineStr">
        <is>
          <t>Wet</t>
        </is>
      </c>
      <c r="X425" t="inlineStr">
        <is>
          <t>Wet</t>
        </is>
      </c>
      <c r="Y425" t="inlineStr">
        <is>
          <t>Silty Clay Loam</t>
        </is>
      </c>
      <c r="Z425" t="inlineStr">
        <is>
          <t>Flat / Lowland</t>
        </is>
      </c>
      <c r="AA425" t="n">
        <v>30</v>
      </c>
      <c r="AB425" t="inlineStr">
        <is>
          <t>—</t>
        </is>
      </c>
      <c r="AC425" t="n">
        <v>492.24</v>
      </c>
      <c r="AD425" t="n">
        <v>65.5</v>
      </c>
      <c r="AE425" t="n">
        <v>129</v>
      </c>
      <c r="AF425" t="n">
        <v>194.5</v>
      </c>
      <c r="AG425" t="inlineStr">
        <is>
          <t>Transplanting (Pindot) — optimal for clay-loam paddy fields</t>
        </is>
      </c>
      <c r="AH425" t="inlineStr">
        <is>
          <t>Wet Tillage (Puddling): 2 plowings + thorough harrowing under flooded condition</t>
        </is>
      </c>
      <c r="AI425" t="inlineStr">
        <is>
          <t>Continuous flooding 2–5 cm depth during vegetative stage; drain 2 weeks before harvest</t>
        </is>
      </c>
      <c r="AJ425" t="n">
        <v>94.2</v>
      </c>
      <c r="AK425" t="n">
        <v>0</v>
      </c>
      <c r="AL425" t="n">
        <v>0</v>
      </c>
      <c r="AM425" t="inlineStr">
        <is>
          <t>No</t>
        </is>
      </c>
      <c r="AN425" t="inlineStr">
        <is>
          <t>Observed harvest</t>
        </is>
      </c>
    </row>
    <row r="426">
      <c r="A426" t="inlineStr">
        <is>
          <t>Palay</t>
        </is>
      </c>
      <c r="B426" t="inlineStr">
        <is>
          <t>Mangkasuy</t>
        </is>
      </c>
      <c r="C426" t="inlineStr">
        <is>
          <t>WS 2022</t>
        </is>
      </c>
      <c r="D426" t="inlineStr">
        <is>
          <t>June</t>
        </is>
      </c>
      <c r="E426" t="inlineStr">
        <is>
          <t>2022</t>
        </is>
      </c>
      <c r="F426" t="inlineStr">
        <is>
          <t>October</t>
        </is>
      </c>
      <c r="G426" t="inlineStr">
        <is>
          <t>2022</t>
        </is>
      </c>
      <c r="H426" t="n">
        <v>8.01</v>
      </c>
      <c r="I426" t="n">
        <v>27.14</v>
      </c>
      <c r="J426" t="n">
        <v>23.01</v>
      </c>
      <c r="K426" t="n">
        <v>32.47</v>
      </c>
      <c r="L426" t="n">
        <v>82.48</v>
      </c>
      <c r="M426" t="n">
        <v>98.2</v>
      </c>
      <c r="N426" t="n">
        <v>20.55</v>
      </c>
      <c r="O426" t="n">
        <v>13.41</v>
      </c>
      <c r="P426" t="n">
        <v>26.64</v>
      </c>
      <c r="Q426" t="n">
        <v>21.81</v>
      </c>
      <c r="R426" t="n">
        <v>31.98</v>
      </c>
      <c r="S426" t="n">
        <v>85.39</v>
      </c>
      <c r="T426" t="n">
        <v>98.09999999999999</v>
      </c>
      <c r="U426" t="n">
        <v>16.36</v>
      </c>
      <c r="V426" t="inlineStr">
        <is>
          <t>Type I – Tropical Monsoon (PAGASA)</t>
        </is>
      </c>
      <c r="W426" t="inlineStr">
        <is>
          <t>Wet</t>
        </is>
      </c>
      <c r="X426" t="inlineStr">
        <is>
          <t>Wet</t>
        </is>
      </c>
      <c r="Y426" t="inlineStr">
        <is>
          <t>Sandy Loam</t>
        </is>
      </c>
      <c r="Z426" t="inlineStr">
        <is>
          <t>Flat / Lowland</t>
        </is>
      </c>
      <c r="AA426" t="n">
        <v>30</v>
      </c>
      <c r="AB426" t="inlineStr">
        <is>
          <t>Tagamusing River</t>
        </is>
      </c>
      <c r="AC426" t="n">
        <v>802.2</v>
      </c>
      <c r="AD426" t="n">
        <v>90</v>
      </c>
      <c r="AE426" t="n">
        <v>262</v>
      </c>
      <c r="AF426" t="n">
        <v>352</v>
      </c>
      <c r="AG426" t="inlineStr">
        <is>
          <t>Transplanting (Pindot) or Direct Seeding (Pinaghandaan)</t>
        </is>
      </c>
      <c r="AH426" t="inlineStr">
        <is>
          <t>Conventional Tillage: 2 plowings + 2 harrowings; soil workable when moist</t>
        </is>
      </c>
      <c r="AI426" t="inlineStr">
        <is>
          <t>Intermittent irrigation (Alternate Wetting and Drying — AWD); moderate retention</t>
        </is>
      </c>
      <c r="AJ426" t="n">
        <v>74.68000000000001</v>
      </c>
      <c r="AK426" t="n">
        <v>0</v>
      </c>
      <c r="AL426" t="n">
        <v>0</v>
      </c>
      <c r="AM426" t="inlineStr">
        <is>
          <t>No</t>
        </is>
      </c>
      <c r="AN426" t="inlineStr">
        <is>
          <t>Observed harvest</t>
        </is>
      </c>
    </row>
    <row r="427">
      <c r="A427" t="inlineStr">
        <is>
          <t>Palay</t>
        </is>
      </c>
      <c r="B427" t="inlineStr">
        <is>
          <t>Moreno</t>
        </is>
      </c>
      <c r="C427" t="inlineStr">
        <is>
          <t>WS 2022</t>
        </is>
      </c>
      <c r="D427" t="inlineStr">
        <is>
          <t>June</t>
        </is>
      </c>
      <c r="E427" t="inlineStr">
        <is>
          <t>2022</t>
        </is>
      </c>
      <c r="F427" t="inlineStr">
        <is>
          <t>October</t>
        </is>
      </c>
      <c r="G427" t="inlineStr">
        <is>
          <t>2022</t>
        </is>
      </c>
      <c r="H427" t="n">
        <v>8.01</v>
      </c>
      <c r="I427" t="n">
        <v>27.14</v>
      </c>
      <c r="J427" t="n">
        <v>23.01</v>
      </c>
      <c r="K427" t="n">
        <v>32.47</v>
      </c>
      <c r="L427" t="n">
        <v>82.48</v>
      </c>
      <c r="M427" t="n">
        <v>98.2</v>
      </c>
      <c r="N427" t="n">
        <v>20.55</v>
      </c>
      <c r="O427" t="n">
        <v>13.41</v>
      </c>
      <c r="P427" t="n">
        <v>26.64</v>
      </c>
      <c r="Q427" t="n">
        <v>21.81</v>
      </c>
      <c r="R427" t="n">
        <v>31.98</v>
      </c>
      <c r="S427" t="n">
        <v>85.39</v>
      </c>
      <c r="T427" t="n">
        <v>98.09999999999999</v>
      </c>
      <c r="U427" t="n">
        <v>16.36</v>
      </c>
      <c r="V427" t="inlineStr">
        <is>
          <t>Type I – Tropical Monsoon (PAGASA)</t>
        </is>
      </c>
      <c r="W427" t="inlineStr">
        <is>
          <t>Wet</t>
        </is>
      </c>
      <c r="X427" t="inlineStr">
        <is>
          <t>Wet</t>
        </is>
      </c>
      <c r="Y427" t="inlineStr">
        <is>
          <t>Sandy Loam</t>
        </is>
      </c>
      <c r="Z427" t="inlineStr">
        <is>
          <t>Moderately Sloping / Highland</t>
        </is>
      </c>
      <c r="AA427" t="n">
        <v>90</v>
      </c>
      <c r="AB427" t="inlineStr">
        <is>
          <t>Alibeng River</t>
        </is>
      </c>
      <c r="AC427" t="n">
        <v>641.76</v>
      </c>
      <c r="AD427" t="n">
        <v>47.4</v>
      </c>
      <c r="AE427" t="n">
        <v>116.6</v>
      </c>
      <c r="AF427" t="n">
        <v>164</v>
      </c>
      <c r="AG427" t="inlineStr">
        <is>
          <t>Transplanting (Pindot) or Direct Seeding (Pinaghandaan)</t>
        </is>
      </c>
      <c r="AH427" t="inlineStr">
        <is>
          <t>Conventional Tillage: 2 plowings + 2 harrowings; soil workable when moist</t>
        </is>
      </c>
      <c r="AI427" t="inlineStr">
        <is>
          <t>Intermittent irrigation (Alternate Wetting and Drying — AWD); moderate retention; terrace or bund-assisted water retention essential on slopes</t>
        </is>
      </c>
      <c r="AJ427" t="n">
        <v>72.02</v>
      </c>
      <c r="AK427" t="n">
        <v>0</v>
      </c>
      <c r="AL427" t="n">
        <v>0</v>
      </c>
      <c r="AM427" t="inlineStr">
        <is>
          <t>No</t>
        </is>
      </c>
      <c r="AN427" t="inlineStr">
        <is>
          <t>Observed harvest</t>
        </is>
      </c>
    </row>
    <row r="428">
      <c r="A428" t="inlineStr">
        <is>
          <t>Palay</t>
        </is>
      </c>
      <c r="B428" t="inlineStr">
        <is>
          <t>Pasileng Norte</t>
        </is>
      </c>
      <c r="C428" t="inlineStr">
        <is>
          <t>WS 2022</t>
        </is>
      </c>
      <c r="D428" t="inlineStr">
        <is>
          <t>June</t>
        </is>
      </c>
      <c r="E428" t="inlineStr">
        <is>
          <t>2022</t>
        </is>
      </c>
      <c r="F428" t="inlineStr">
        <is>
          <t>October</t>
        </is>
      </c>
      <c r="G428" t="inlineStr">
        <is>
          <t>2022</t>
        </is>
      </c>
      <c r="H428" t="n">
        <v>8.01</v>
      </c>
      <c r="I428" t="n">
        <v>27.14</v>
      </c>
      <c r="J428" t="n">
        <v>23.01</v>
      </c>
      <c r="K428" t="n">
        <v>32.47</v>
      </c>
      <c r="L428" t="n">
        <v>82.48</v>
      </c>
      <c r="M428" t="n">
        <v>98.2</v>
      </c>
      <c r="N428" t="n">
        <v>20.55</v>
      </c>
      <c r="O428" t="n">
        <v>13.41</v>
      </c>
      <c r="P428" t="n">
        <v>26.64</v>
      </c>
      <c r="Q428" t="n">
        <v>21.81</v>
      </c>
      <c r="R428" t="n">
        <v>31.98</v>
      </c>
      <c r="S428" t="n">
        <v>85.39</v>
      </c>
      <c r="T428" t="n">
        <v>98.09999999999999</v>
      </c>
      <c r="U428" t="n">
        <v>16.36</v>
      </c>
      <c r="V428" t="inlineStr">
        <is>
          <t>Type I – Tropical Monsoon (PAGASA)</t>
        </is>
      </c>
      <c r="W428" t="inlineStr">
        <is>
          <t>Wet</t>
        </is>
      </c>
      <c r="X428" t="inlineStr">
        <is>
          <t>Wet</t>
        </is>
      </c>
      <c r="Y428" t="inlineStr">
        <is>
          <t>Sandy Loam</t>
        </is>
      </c>
      <c r="Z428" t="inlineStr">
        <is>
          <t>Flat / Lowland</t>
        </is>
      </c>
      <c r="AA428" t="n">
        <v>30</v>
      </c>
      <c r="AB428" t="inlineStr">
        <is>
          <t>Tagamusing River</t>
        </is>
      </c>
      <c r="AC428" t="n">
        <v>140.28</v>
      </c>
      <c r="AD428" t="n">
        <v>78.34999999999999</v>
      </c>
      <c r="AE428" t="n">
        <v>2.65</v>
      </c>
      <c r="AF428" t="n">
        <v>81</v>
      </c>
      <c r="AG428" t="inlineStr">
        <is>
          <t>Transplanting (Pindot) or Direct Seeding (Pinaghandaan)</t>
        </is>
      </c>
      <c r="AH428" t="inlineStr">
        <is>
          <t>Conventional Tillage: 2 plowings + 2 harrowings; soil workable when moist</t>
        </is>
      </c>
      <c r="AI428" t="inlineStr">
        <is>
          <t>Intermittent irrigation (Alternate Wetting and Drying — AWD); moderate retention</t>
        </is>
      </c>
      <c r="AJ428" t="n">
        <v>68.01000000000001</v>
      </c>
      <c r="AK428" t="n">
        <v>0</v>
      </c>
      <c r="AL428" t="n">
        <v>0</v>
      </c>
      <c r="AM428" t="inlineStr">
        <is>
          <t>No</t>
        </is>
      </c>
      <c r="AN428" t="inlineStr">
        <is>
          <t>Observed harvest</t>
        </is>
      </c>
    </row>
    <row r="429">
      <c r="A429" t="inlineStr">
        <is>
          <t>Palay</t>
        </is>
      </c>
      <c r="B429" t="inlineStr">
        <is>
          <t>Pasileng Sur</t>
        </is>
      </c>
      <c r="C429" t="inlineStr">
        <is>
          <t>WS 2022</t>
        </is>
      </c>
      <c r="D429" t="inlineStr">
        <is>
          <t>June</t>
        </is>
      </c>
      <c r="E429" t="inlineStr">
        <is>
          <t>2022</t>
        </is>
      </c>
      <c r="F429" t="inlineStr">
        <is>
          <t>October</t>
        </is>
      </c>
      <c r="G429" t="inlineStr">
        <is>
          <t>2022</t>
        </is>
      </c>
      <c r="H429" t="n">
        <v>8.01</v>
      </c>
      <c r="I429" t="n">
        <v>27.14</v>
      </c>
      <c r="J429" t="n">
        <v>23.01</v>
      </c>
      <c r="K429" t="n">
        <v>32.47</v>
      </c>
      <c r="L429" t="n">
        <v>82.48</v>
      </c>
      <c r="M429" t="n">
        <v>98.2</v>
      </c>
      <c r="N429" t="n">
        <v>20.55</v>
      </c>
      <c r="O429" t="n">
        <v>13.41</v>
      </c>
      <c r="P429" t="n">
        <v>26.64</v>
      </c>
      <c r="Q429" t="n">
        <v>21.81</v>
      </c>
      <c r="R429" t="n">
        <v>31.98</v>
      </c>
      <c r="S429" t="n">
        <v>85.39</v>
      </c>
      <c r="T429" t="n">
        <v>98.09999999999999</v>
      </c>
      <c r="U429" t="n">
        <v>16.36</v>
      </c>
      <c r="V429" t="inlineStr">
        <is>
          <t>Type I – Tropical Monsoon (PAGASA)</t>
        </is>
      </c>
      <c r="W429" t="inlineStr">
        <is>
          <t>Wet</t>
        </is>
      </c>
      <c r="X429" t="inlineStr">
        <is>
          <t>Wet</t>
        </is>
      </c>
      <c r="Y429" t="inlineStr">
        <is>
          <t>Sandy Loam</t>
        </is>
      </c>
      <c r="Z429" t="inlineStr">
        <is>
          <t>Flat / Lowland</t>
        </is>
      </c>
      <c r="AA429" t="n">
        <v>30</v>
      </c>
      <c r="AB429" t="inlineStr">
        <is>
          <t>Tagamusing River</t>
        </is>
      </c>
      <c r="AC429" t="n">
        <v>414.96</v>
      </c>
      <c r="AD429" t="n">
        <v>150.9</v>
      </c>
      <c r="AE429" t="n">
        <v>29.1</v>
      </c>
      <c r="AF429" t="n">
        <v>180</v>
      </c>
      <c r="AG429" t="inlineStr">
        <is>
          <t>Transplanting (Pindot) or Direct Seeding (Pinaghandaan)</t>
        </is>
      </c>
      <c r="AH429" t="inlineStr">
        <is>
          <t>Conventional Tillage: 2 plowings + 2 harrowings; soil workable when moist</t>
        </is>
      </c>
      <c r="AI429" t="inlineStr">
        <is>
          <t>Intermittent irrigation (Alternate Wetting and Drying — AWD); moderate retention</t>
        </is>
      </c>
      <c r="AJ429" t="n">
        <v>89.52</v>
      </c>
      <c r="AK429" t="n">
        <v>0</v>
      </c>
      <c r="AL429" t="n">
        <v>0</v>
      </c>
      <c r="AM429" t="inlineStr">
        <is>
          <t>No</t>
        </is>
      </c>
      <c r="AN429" t="inlineStr">
        <is>
          <t>Observed harvest</t>
        </is>
      </c>
    </row>
    <row r="430">
      <c r="A430" t="inlineStr">
        <is>
          <t>Palay</t>
        </is>
      </c>
      <c r="B430" t="inlineStr">
        <is>
          <t>San Felipe Central</t>
        </is>
      </c>
      <c r="C430" t="inlineStr">
        <is>
          <t>WS 2022</t>
        </is>
      </c>
      <c r="D430" t="inlineStr">
        <is>
          <t>June</t>
        </is>
      </c>
      <c r="E430" t="inlineStr">
        <is>
          <t>2022</t>
        </is>
      </c>
      <c r="F430" t="inlineStr">
        <is>
          <t>October</t>
        </is>
      </c>
      <c r="G430" t="inlineStr">
        <is>
          <t>2022</t>
        </is>
      </c>
      <c r="H430" t="n">
        <v>8.01</v>
      </c>
      <c r="I430" t="n">
        <v>27.14</v>
      </c>
      <c r="J430" t="n">
        <v>23.01</v>
      </c>
      <c r="K430" t="n">
        <v>32.47</v>
      </c>
      <c r="L430" t="n">
        <v>82.48</v>
      </c>
      <c r="M430" t="n">
        <v>98.2</v>
      </c>
      <c r="N430" t="n">
        <v>20.55</v>
      </c>
      <c r="O430" t="n">
        <v>13.41</v>
      </c>
      <c r="P430" t="n">
        <v>26.64</v>
      </c>
      <c r="Q430" t="n">
        <v>21.81</v>
      </c>
      <c r="R430" t="n">
        <v>31.98</v>
      </c>
      <c r="S430" t="n">
        <v>85.39</v>
      </c>
      <c r="T430" t="n">
        <v>98.09999999999999</v>
      </c>
      <c r="U430" t="n">
        <v>16.36</v>
      </c>
      <c r="V430" t="inlineStr">
        <is>
          <t>Type I – Tropical Monsoon (PAGASA)</t>
        </is>
      </c>
      <c r="W430" t="inlineStr">
        <is>
          <t>Wet</t>
        </is>
      </c>
      <c r="X430" t="inlineStr">
        <is>
          <t>Wet</t>
        </is>
      </c>
      <c r="Y430" t="inlineStr">
        <is>
          <t>Sandy Loam</t>
        </is>
      </c>
      <c r="Z430" t="inlineStr">
        <is>
          <t>Flat / Lowland</t>
        </is>
      </c>
      <c r="AA430" t="n">
        <v>30</v>
      </c>
      <c r="AB430" t="inlineStr">
        <is>
          <t>—</t>
        </is>
      </c>
      <c r="AC430" t="n">
        <v>452.76</v>
      </c>
      <c r="AD430" t="n">
        <v>117</v>
      </c>
      <c r="AE430" t="n">
        <v>62</v>
      </c>
      <c r="AF430" t="n">
        <v>179</v>
      </c>
      <c r="AG430" t="inlineStr">
        <is>
          <t>Transplanting (Pindot) or Direct Seeding (Pinaghandaan)</t>
        </is>
      </c>
      <c r="AH430" t="inlineStr">
        <is>
          <t>Conventional Tillage: 2 plowings + 2 harrowings; soil workable when moist</t>
        </is>
      </c>
      <c r="AI430" t="inlineStr">
        <is>
          <t>Intermittent irrigation (Alternate Wetting and Drying — AWD); moderate retention</t>
        </is>
      </c>
      <c r="AJ430" t="n">
        <v>103.25</v>
      </c>
      <c r="AK430" t="n">
        <v>0</v>
      </c>
      <c r="AL430" t="n">
        <v>0</v>
      </c>
      <c r="AM430" t="inlineStr">
        <is>
          <t>No</t>
        </is>
      </c>
      <c r="AN430" t="inlineStr">
        <is>
          <t>Observed harvest</t>
        </is>
      </c>
    </row>
    <row r="431">
      <c r="A431" t="inlineStr">
        <is>
          <t>Palay</t>
        </is>
      </c>
      <c r="B431" t="inlineStr">
        <is>
          <t>San Felipe Sur</t>
        </is>
      </c>
      <c r="C431" t="inlineStr">
        <is>
          <t>WS 2022</t>
        </is>
      </c>
      <c r="D431" t="inlineStr">
        <is>
          <t>June</t>
        </is>
      </c>
      <c r="E431" t="inlineStr">
        <is>
          <t>2022</t>
        </is>
      </c>
      <c r="F431" t="inlineStr">
        <is>
          <t>October</t>
        </is>
      </c>
      <c r="G431" t="inlineStr">
        <is>
          <t>2022</t>
        </is>
      </c>
      <c r="H431" t="n">
        <v>8.01</v>
      </c>
      <c r="I431" t="n">
        <v>27.14</v>
      </c>
      <c r="J431" t="n">
        <v>23.01</v>
      </c>
      <c r="K431" t="n">
        <v>32.47</v>
      </c>
      <c r="L431" t="n">
        <v>82.48</v>
      </c>
      <c r="M431" t="n">
        <v>98.2</v>
      </c>
      <c r="N431" t="n">
        <v>20.55</v>
      </c>
      <c r="O431" t="n">
        <v>13.41</v>
      </c>
      <c r="P431" t="n">
        <v>26.64</v>
      </c>
      <c r="Q431" t="n">
        <v>21.81</v>
      </c>
      <c r="R431" t="n">
        <v>31.98</v>
      </c>
      <c r="S431" t="n">
        <v>85.39</v>
      </c>
      <c r="T431" t="n">
        <v>98.09999999999999</v>
      </c>
      <c r="U431" t="n">
        <v>16.36</v>
      </c>
      <c r="V431" t="inlineStr">
        <is>
          <t>Type I – Tropical Monsoon (PAGASA)</t>
        </is>
      </c>
      <c r="W431" t="inlineStr">
        <is>
          <t>Wet</t>
        </is>
      </c>
      <c r="X431" t="inlineStr">
        <is>
          <t>Wet</t>
        </is>
      </c>
      <c r="Y431" t="inlineStr">
        <is>
          <t>Sandy Loam</t>
        </is>
      </c>
      <c r="Z431" t="inlineStr">
        <is>
          <t>Flat / Lowland</t>
        </is>
      </c>
      <c r="AA431" t="n">
        <v>30</v>
      </c>
      <c r="AB431" t="inlineStr">
        <is>
          <t>Tagamusing River</t>
        </is>
      </c>
      <c r="AC431" t="n">
        <v>504</v>
      </c>
      <c r="AD431" t="n">
        <v>127.5</v>
      </c>
      <c r="AE431" t="n">
        <v>50.5</v>
      </c>
      <c r="AF431" t="n">
        <v>178</v>
      </c>
      <c r="AG431" t="inlineStr">
        <is>
          <t>Transplanting (Pindot) or Direct Seeding (Pinaghandaan)</t>
        </is>
      </c>
      <c r="AH431" t="inlineStr">
        <is>
          <t>Conventional Tillage: 2 plowings + 2 harrowings; soil workable when moist</t>
        </is>
      </c>
      <c r="AI431" t="inlineStr">
        <is>
          <t>Intermittent irrigation (Alternate Wetting and Drying — AWD); moderate retention</t>
        </is>
      </c>
      <c r="AJ431" t="n">
        <v>92.20999999999999</v>
      </c>
      <c r="AK431" t="n">
        <v>0</v>
      </c>
      <c r="AL431" t="n">
        <v>0</v>
      </c>
      <c r="AM431" t="inlineStr">
        <is>
          <t>No</t>
        </is>
      </c>
      <c r="AN431" t="inlineStr">
        <is>
          <t>Observed harvest</t>
        </is>
      </c>
    </row>
    <row r="432">
      <c r="A432" t="inlineStr">
        <is>
          <t>Palay</t>
        </is>
      </c>
      <c r="B432" t="inlineStr">
        <is>
          <t>San Pablo</t>
        </is>
      </c>
      <c r="C432" t="inlineStr">
        <is>
          <t>WS 2022</t>
        </is>
      </c>
      <c r="D432" t="inlineStr">
        <is>
          <t>June</t>
        </is>
      </c>
      <c r="E432" t="inlineStr">
        <is>
          <t>2022</t>
        </is>
      </c>
      <c r="F432" t="inlineStr">
        <is>
          <t>October</t>
        </is>
      </c>
      <c r="G432" t="inlineStr">
        <is>
          <t>2022</t>
        </is>
      </c>
      <c r="H432" t="n">
        <v>8.01</v>
      </c>
      <c r="I432" t="n">
        <v>27.14</v>
      </c>
      <c r="J432" t="n">
        <v>23.01</v>
      </c>
      <c r="K432" t="n">
        <v>32.47</v>
      </c>
      <c r="L432" t="n">
        <v>82.48</v>
      </c>
      <c r="M432" t="n">
        <v>98.2</v>
      </c>
      <c r="N432" t="n">
        <v>20.55</v>
      </c>
      <c r="O432" t="n">
        <v>13.41</v>
      </c>
      <c r="P432" t="n">
        <v>26.64</v>
      </c>
      <c r="Q432" t="n">
        <v>21.81</v>
      </c>
      <c r="R432" t="n">
        <v>31.98</v>
      </c>
      <c r="S432" t="n">
        <v>85.39</v>
      </c>
      <c r="T432" t="n">
        <v>98.09999999999999</v>
      </c>
      <c r="U432" t="n">
        <v>16.36</v>
      </c>
      <c r="V432" t="inlineStr">
        <is>
          <t>Type I – Tropical Monsoon (PAGASA)</t>
        </is>
      </c>
      <c r="W432" t="inlineStr">
        <is>
          <t>Wet</t>
        </is>
      </c>
      <c r="X432" t="inlineStr">
        <is>
          <t>Wet</t>
        </is>
      </c>
      <c r="Y432" t="inlineStr">
        <is>
          <t>Sandy Loam</t>
        </is>
      </c>
      <c r="Z432" t="inlineStr">
        <is>
          <t>Flat / Lowland</t>
        </is>
      </c>
      <c r="AA432" t="n">
        <v>30</v>
      </c>
      <c r="AB432" t="inlineStr">
        <is>
          <t>San Pablo Creek</t>
        </is>
      </c>
      <c r="AC432" t="n">
        <v>215.04</v>
      </c>
      <c r="AD432" t="n">
        <v>103.5</v>
      </c>
      <c r="AE432" t="n">
        <v>30.5</v>
      </c>
      <c r="AF432" t="n">
        <v>134</v>
      </c>
      <c r="AG432" t="inlineStr">
        <is>
          <t>Transplanting (Pindot) or Direct Seeding (Pinaghandaan)</t>
        </is>
      </c>
      <c r="AH432" t="inlineStr">
        <is>
          <t>Conventional Tillage: 2 plowings + 2 harrowings; soil workable when moist</t>
        </is>
      </c>
      <c r="AI432" t="inlineStr">
        <is>
          <t>Intermittent irrigation (Alternate Wetting and Drying — AWD); moderate retention</t>
        </is>
      </c>
      <c r="AJ432" t="n">
        <v>74.72</v>
      </c>
      <c r="AK432" t="n">
        <v>0</v>
      </c>
      <c r="AL432" t="n">
        <v>0</v>
      </c>
      <c r="AM432" t="inlineStr">
        <is>
          <t>No</t>
        </is>
      </c>
      <c r="AN432" t="inlineStr">
        <is>
          <t>Observed harvest</t>
        </is>
      </c>
    </row>
    <row r="433">
      <c r="A433" t="inlineStr">
        <is>
          <t>Palay</t>
        </is>
      </c>
      <c r="B433" t="inlineStr">
        <is>
          <t>Santiago</t>
        </is>
      </c>
      <c r="C433" t="inlineStr">
        <is>
          <t>WS 2022</t>
        </is>
      </c>
      <c r="D433" t="inlineStr">
        <is>
          <t>June</t>
        </is>
      </c>
      <c r="E433" t="inlineStr">
        <is>
          <t>2022</t>
        </is>
      </c>
      <c r="F433" t="inlineStr">
        <is>
          <t>October</t>
        </is>
      </c>
      <c r="G433" t="inlineStr">
        <is>
          <t>2022</t>
        </is>
      </c>
      <c r="H433" t="n">
        <v>8.01</v>
      </c>
      <c r="I433" t="n">
        <v>27.14</v>
      </c>
      <c r="J433" t="n">
        <v>23.01</v>
      </c>
      <c r="K433" t="n">
        <v>32.47</v>
      </c>
      <c r="L433" t="n">
        <v>82.48</v>
      </c>
      <c r="M433" t="n">
        <v>98.2</v>
      </c>
      <c r="N433" t="n">
        <v>20.55</v>
      </c>
      <c r="O433" t="n">
        <v>13.41</v>
      </c>
      <c r="P433" t="n">
        <v>26.64</v>
      </c>
      <c r="Q433" t="n">
        <v>21.81</v>
      </c>
      <c r="R433" t="n">
        <v>31.98</v>
      </c>
      <c r="S433" t="n">
        <v>85.39</v>
      </c>
      <c r="T433" t="n">
        <v>98.09999999999999</v>
      </c>
      <c r="U433" t="n">
        <v>16.36</v>
      </c>
      <c r="V433" t="inlineStr">
        <is>
          <t>Type I – Tropical Monsoon (PAGASA)</t>
        </is>
      </c>
      <c r="W433" t="inlineStr">
        <is>
          <t>Wet</t>
        </is>
      </c>
      <c r="X433" t="inlineStr">
        <is>
          <t>Wet</t>
        </is>
      </c>
      <c r="Y433" t="inlineStr">
        <is>
          <t>Silty Clay Loam</t>
        </is>
      </c>
      <c r="Z433" t="inlineStr">
        <is>
          <t>Flat / Lowland</t>
        </is>
      </c>
      <c r="AA433" t="n">
        <v>30</v>
      </c>
      <c r="AB433" t="inlineStr">
        <is>
          <t>—</t>
        </is>
      </c>
      <c r="AC433" t="n">
        <v>283.08</v>
      </c>
      <c r="AD433" t="n">
        <v>103.6</v>
      </c>
      <c r="AE433" t="n">
        <v>145.4</v>
      </c>
      <c r="AF433" t="n">
        <v>249</v>
      </c>
      <c r="AG433" t="inlineStr">
        <is>
          <t>Transplanting (Pindot) — optimal for clay-loam paddy fields</t>
        </is>
      </c>
      <c r="AH433" t="inlineStr">
        <is>
          <t>Wet Tillage (Puddling): 2 plowings + thorough harrowing under flooded condition</t>
        </is>
      </c>
      <c r="AI433" t="inlineStr">
        <is>
          <t>Continuous flooding 2–5 cm depth during vegetative stage; drain 2 weeks before harvest</t>
        </is>
      </c>
      <c r="AJ433" t="n">
        <v>38.3</v>
      </c>
      <c r="AK433" t="n">
        <v>0</v>
      </c>
      <c r="AL433" t="n">
        <v>0</v>
      </c>
      <c r="AM433" t="inlineStr">
        <is>
          <t>No</t>
        </is>
      </c>
      <c r="AN433" t="inlineStr">
        <is>
          <t>Observed harvest</t>
        </is>
      </c>
    </row>
    <row r="434">
      <c r="A434" t="inlineStr">
        <is>
          <t>Palay</t>
        </is>
      </c>
      <c r="B434" t="inlineStr">
        <is>
          <t>Sta. Catalina</t>
        </is>
      </c>
      <c r="C434" t="inlineStr">
        <is>
          <t>WS 2022</t>
        </is>
      </c>
      <c r="D434" t="inlineStr">
        <is>
          <t>June</t>
        </is>
      </c>
      <c r="E434" t="inlineStr">
        <is>
          <t>2022</t>
        </is>
      </c>
      <c r="F434" t="inlineStr">
        <is>
          <t>October</t>
        </is>
      </c>
      <c r="G434" t="inlineStr">
        <is>
          <t>2022</t>
        </is>
      </c>
      <c r="H434" t="n">
        <v>8.01</v>
      </c>
      <c r="I434" t="n">
        <v>27.14</v>
      </c>
      <c r="J434" t="n">
        <v>23.01</v>
      </c>
      <c r="K434" t="n">
        <v>32.47</v>
      </c>
      <c r="L434" t="n">
        <v>82.48</v>
      </c>
      <c r="M434" t="n">
        <v>98.2</v>
      </c>
      <c r="N434" t="n">
        <v>20.55</v>
      </c>
      <c r="O434" t="n">
        <v>13.41</v>
      </c>
      <c r="P434" t="n">
        <v>26.64</v>
      </c>
      <c r="Q434" t="n">
        <v>21.81</v>
      </c>
      <c r="R434" t="n">
        <v>31.98</v>
      </c>
      <c r="S434" t="n">
        <v>85.39</v>
      </c>
      <c r="T434" t="n">
        <v>98.09999999999999</v>
      </c>
      <c r="U434" t="n">
        <v>16.36</v>
      </c>
      <c r="V434" t="inlineStr">
        <is>
          <t>Type I – Tropical Monsoon (PAGASA)</t>
        </is>
      </c>
      <c r="W434" t="inlineStr">
        <is>
          <t>Wet</t>
        </is>
      </c>
      <c r="X434" t="inlineStr">
        <is>
          <t>Wet</t>
        </is>
      </c>
      <c r="Y434" t="inlineStr">
        <is>
          <t>Fine Sand / Sandy Loam</t>
        </is>
      </c>
      <c r="Z434" t="inlineStr">
        <is>
          <t>Moderately Sloping / Highland</t>
        </is>
      </c>
      <c r="AA434" t="n">
        <v>90</v>
      </c>
      <c r="AB434" t="inlineStr">
        <is>
          <t>—</t>
        </is>
      </c>
      <c r="AC434" t="n">
        <v>709.8</v>
      </c>
      <c r="AD434" t="n">
        <v>49</v>
      </c>
      <c r="AE434" t="n">
        <v>180</v>
      </c>
      <c r="AF434" t="n">
        <v>229</v>
      </c>
      <c r="AG434" t="inlineStr">
        <is>
          <t>Transplanting (Pindot)</t>
        </is>
      </c>
      <c r="AH434" t="inlineStr">
        <is>
          <t>Minimum Tillage (avoid compaction; sandy structure fragile)</t>
        </is>
      </c>
      <c r="AI434" t="inlineStr">
        <is>
          <t>Continuous flooding or frequent irrigation; high percolation risk; terrace or bund-assisted water retention essential on slopes</t>
        </is>
      </c>
      <c r="AJ434" t="n">
        <v>4.5</v>
      </c>
      <c r="AK434" t="n">
        <v>0</v>
      </c>
      <c r="AL434" t="n">
        <v>0</v>
      </c>
      <c r="AM434" t="inlineStr">
        <is>
          <t>No</t>
        </is>
      </c>
      <c r="AN434" t="inlineStr">
        <is>
          <t>Observed harvest</t>
        </is>
      </c>
    </row>
    <row r="435">
      <c r="A435" t="inlineStr">
        <is>
          <t>Palay</t>
        </is>
      </c>
      <c r="B435" t="inlineStr">
        <is>
          <t>Sta. Maria Norte</t>
        </is>
      </c>
      <c r="C435" t="inlineStr">
        <is>
          <t>WS 2022</t>
        </is>
      </c>
      <c r="D435" t="inlineStr">
        <is>
          <t>June</t>
        </is>
      </c>
      <c r="E435" t="inlineStr">
        <is>
          <t>2022</t>
        </is>
      </c>
      <c r="F435" t="inlineStr">
        <is>
          <t>October</t>
        </is>
      </c>
      <c r="G435" t="inlineStr">
        <is>
          <t>2022</t>
        </is>
      </c>
      <c r="H435" t="n">
        <v>8.01</v>
      </c>
      <c r="I435" t="n">
        <v>27.14</v>
      </c>
      <c r="J435" t="n">
        <v>23.01</v>
      </c>
      <c r="K435" t="n">
        <v>32.47</v>
      </c>
      <c r="L435" t="n">
        <v>82.48</v>
      </c>
      <c r="M435" t="n">
        <v>98.2</v>
      </c>
      <c r="N435" t="n">
        <v>20.55</v>
      </c>
      <c r="O435" t="n">
        <v>13.41</v>
      </c>
      <c r="P435" t="n">
        <v>26.64</v>
      </c>
      <c r="Q435" t="n">
        <v>21.81</v>
      </c>
      <c r="R435" t="n">
        <v>31.98</v>
      </c>
      <c r="S435" t="n">
        <v>85.39</v>
      </c>
      <c r="T435" t="n">
        <v>98.09999999999999</v>
      </c>
      <c r="U435" t="n">
        <v>16.36</v>
      </c>
      <c r="V435" t="inlineStr">
        <is>
          <t>Type I – Tropical Monsoon (PAGASA)</t>
        </is>
      </c>
      <c r="W435" t="inlineStr">
        <is>
          <t>Wet</t>
        </is>
      </c>
      <c r="X435" t="inlineStr">
        <is>
          <t>Wet</t>
        </is>
      </c>
      <c r="Y435" t="inlineStr">
        <is>
          <t>Sandy Loam</t>
        </is>
      </c>
      <c r="Z435" t="inlineStr">
        <is>
          <t>Flat / Lowland</t>
        </is>
      </c>
      <c r="AA435" t="n">
        <v>30</v>
      </c>
      <c r="AB435" t="inlineStr">
        <is>
          <t>Tagamusing River</t>
        </is>
      </c>
      <c r="AC435" t="n">
        <v>157.08</v>
      </c>
      <c r="AD435" t="n">
        <v>24.5</v>
      </c>
      <c r="AE435" t="n">
        <v>43.5</v>
      </c>
      <c r="AF435" t="n">
        <v>68</v>
      </c>
      <c r="AG435" t="inlineStr">
        <is>
          <t>Transplanting (Pindot) or Direct Seeding (Pinaghandaan)</t>
        </is>
      </c>
      <c r="AH435" t="inlineStr">
        <is>
          <t>Conventional Tillage: 2 plowings + 2 harrowings; soil workable when moist</t>
        </is>
      </c>
      <c r="AI435" t="inlineStr">
        <is>
          <t>Intermittent irrigation (Alternate Wetting and Drying — AWD); moderate retention</t>
        </is>
      </c>
      <c r="AJ435" t="n">
        <v>41.4</v>
      </c>
      <c r="AK435" t="n">
        <v>0</v>
      </c>
      <c r="AL435" t="n">
        <v>0</v>
      </c>
      <c r="AM435" t="inlineStr">
        <is>
          <t>No</t>
        </is>
      </c>
      <c r="AN435" t="inlineStr">
        <is>
          <t>Observed harvest</t>
        </is>
      </c>
    </row>
    <row r="436">
      <c r="A436" t="inlineStr">
        <is>
          <t>Palay</t>
        </is>
      </c>
      <c r="B436" t="inlineStr">
        <is>
          <t>Sumabnit</t>
        </is>
      </c>
      <c r="C436" t="inlineStr">
        <is>
          <t>WS 2022</t>
        </is>
      </c>
      <c r="D436" t="inlineStr">
        <is>
          <t>June</t>
        </is>
      </c>
      <c r="E436" t="inlineStr">
        <is>
          <t>2022</t>
        </is>
      </c>
      <c r="F436" t="inlineStr">
        <is>
          <t>October</t>
        </is>
      </c>
      <c r="G436" t="inlineStr">
        <is>
          <t>2022</t>
        </is>
      </c>
      <c r="H436" t="n">
        <v>8.01</v>
      </c>
      <c r="I436" t="n">
        <v>27.14</v>
      </c>
      <c r="J436" t="n">
        <v>23.01</v>
      </c>
      <c r="K436" t="n">
        <v>32.47</v>
      </c>
      <c r="L436" t="n">
        <v>82.48</v>
      </c>
      <c r="M436" t="n">
        <v>98.2</v>
      </c>
      <c r="N436" t="n">
        <v>20.55</v>
      </c>
      <c r="O436" t="n">
        <v>13.41</v>
      </c>
      <c r="P436" t="n">
        <v>26.64</v>
      </c>
      <c r="Q436" t="n">
        <v>21.81</v>
      </c>
      <c r="R436" t="n">
        <v>31.98</v>
      </c>
      <c r="S436" t="n">
        <v>85.39</v>
      </c>
      <c r="T436" t="n">
        <v>98.09999999999999</v>
      </c>
      <c r="U436" t="n">
        <v>16.36</v>
      </c>
      <c r="V436" t="inlineStr">
        <is>
          <t>Type I – Tropical Monsoon (PAGASA)</t>
        </is>
      </c>
      <c r="W436" t="inlineStr">
        <is>
          <t>Wet</t>
        </is>
      </c>
      <c r="X436" t="inlineStr">
        <is>
          <t>Wet</t>
        </is>
      </c>
      <c r="Y436" t="inlineStr">
        <is>
          <t>Silty Clay Loam / Fine Sandy Loam</t>
        </is>
      </c>
      <c r="Z436" t="inlineStr">
        <is>
          <t>Flat / Lowland</t>
        </is>
      </c>
      <c r="AA436" t="n">
        <v>30</v>
      </c>
      <c r="AB436" t="inlineStr">
        <is>
          <t>Tagamusing River</t>
        </is>
      </c>
      <c r="AC436" t="n">
        <v>406.56</v>
      </c>
      <c r="AD436" t="n">
        <v>133.3</v>
      </c>
      <c r="AE436" t="n">
        <v>123.7</v>
      </c>
      <c r="AF436" t="n">
        <v>257</v>
      </c>
      <c r="AG436" t="inlineStr">
        <is>
          <t>Transplanting (Pindot)</t>
        </is>
      </c>
      <c r="AH436" t="inlineStr">
        <is>
          <t>Minimum Tillage (avoid compaction; sandy structure fragile)</t>
        </is>
      </c>
      <c r="AI436" t="inlineStr">
        <is>
          <t>Continuous flooding or frequent irrigation; high percolation risk</t>
        </is>
      </c>
      <c r="AJ436" t="n">
        <v>61.91</v>
      </c>
      <c r="AK436" t="n">
        <v>0</v>
      </c>
      <c r="AL436" t="n">
        <v>0</v>
      </c>
      <c r="AM436" t="inlineStr">
        <is>
          <t>No</t>
        </is>
      </c>
      <c r="AN436" t="inlineStr">
        <is>
          <t>Observed harvest</t>
        </is>
      </c>
    </row>
    <row r="437">
      <c r="A437" t="inlineStr">
        <is>
          <t>Palay</t>
        </is>
      </c>
      <c r="B437" t="inlineStr">
        <is>
          <t>Tabuyoc</t>
        </is>
      </c>
      <c r="C437" t="inlineStr">
        <is>
          <t>WS 2022</t>
        </is>
      </c>
      <c r="D437" t="inlineStr">
        <is>
          <t>June</t>
        </is>
      </c>
      <c r="E437" t="inlineStr">
        <is>
          <t>2022</t>
        </is>
      </c>
      <c r="F437" t="inlineStr">
        <is>
          <t>October</t>
        </is>
      </c>
      <c r="G437" t="inlineStr">
        <is>
          <t>2022</t>
        </is>
      </c>
      <c r="H437" t="n">
        <v>8.01</v>
      </c>
      <c r="I437" t="n">
        <v>27.14</v>
      </c>
      <c r="J437" t="n">
        <v>23.01</v>
      </c>
      <c r="K437" t="n">
        <v>32.47</v>
      </c>
      <c r="L437" t="n">
        <v>82.48</v>
      </c>
      <c r="M437" t="n">
        <v>98.2</v>
      </c>
      <c r="N437" t="n">
        <v>20.55</v>
      </c>
      <c r="O437" t="n">
        <v>13.41</v>
      </c>
      <c r="P437" t="n">
        <v>26.64</v>
      </c>
      <c r="Q437" t="n">
        <v>21.81</v>
      </c>
      <c r="R437" t="n">
        <v>31.98</v>
      </c>
      <c r="S437" t="n">
        <v>85.39</v>
      </c>
      <c r="T437" t="n">
        <v>98.09999999999999</v>
      </c>
      <c r="U437" t="n">
        <v>16.36</v>
      </c>
      <c r="V437" t="inlineStr">
        <is>
          <t>Type I – Tropical Monsoon (PAGASA)</t>
        </is>
      </c>
      <c r="W437" t="inlineStr">
        <is>
          <t>Wet</t>
        </is>
      </c>
      <c r="X437" t="inlineStr">
        <is>
          <t>Wet</t>
        </is>
      </c>
      <c r="Y437" t="inlineStr">
        <is>
          <t>Silty Clay Loam</t>
        </is>
      </c>
      <c r="Z437" t="inlineStr">
        <is>
          <t>Flat / Lowland</t>
        </is>
      </c>
      <c r="AA437" t="n">
        <v>30</v>
      </c>
      <c r="AB437" t="inlineStr">
        <is>
          <t>—</t>
        </is>
      </c>
      <c r="AC437" t="n">
        <v>277.2</v>
      </c>
      <c r="AD437" t="n">
        <v>134</v>
      </c>
      <c r="AE437" t="n">
        <v>5</v>
      </c>
      <c r="AF437" t="n">
        <v>139</v>
      </c>
      <c r="AG437" t="inlineStr">
        <is>
          <t>Transplanting (Pindot) — optimal for clay-loam paddy fields</t>
        </is>
      </c>
      <c r="AH437" t="inlineStr">
        <is>
          <t>Wet Tillage (Puddling): 2 plowings + thorough harrowing under flooded condition</t>
        </is>
      </c>
      <c r="AI437" t="inlineStr">
        <is>
          <t>Continuous flooding 2–5 cm depth during vegetative stage; drain 2 weeks before harvest</t>
        </is>
      </c>
      <c r="AJ437" t="n">
        <v>3.64</v>
      </c>
      <c r="AK437" t="n">
        <v>0</v>
      </c>
      <c r="AL437" t="n">
        <v>0</v>
      </c>
      <c r="AM437" t="inlineStr">
        <is>
          <t>No</t>
        </is>
      </c>
      <c r="AN437" t="inlineStr">
        <is>
          <t>Observed harvest</t>
        </is>
      </c>
    </row>
    <row r="438">
      <c r="A438" t="inlineStr">
        <is>
          <t>Palay</t>
        </is>
      </c>
      <c r="B438" t="inlineStr">
        <is>
          <t>Vacante</t>
        </is>
      </c>
      <c r="C438" t="inlineStr">
        <is>
          <t>WS 2022</t>
        </is>
      </c>
      <c r="D438" t="inlineStr">
        <is>
          <t>June</t>
        </is>
      </c>
      <c r="E438" t="inlineStr">
        <is>
          <t>2022</t>
        </is>
      </c>
      <c r="F438" t="inlineStr">
        <is>
          <t>October</t>
        </is>
      </c>
      <c r="G438" t="inlineStr">
        <is>
          <t>2022</t>
        </is>
      </c>
      <c r="H438" t="n">
        <v>8.01</v>
      </c>
      <c r="I438" t="n">
        <v>27.14</v>
      </c>
      <c r="J438" t="n">
        <v>23.01</v>
      </c>
      <c r="K438" t="n">
        <v>32.47</v>
      </c>
      <c r="L438" t="n">
        <v>82.48</v>
      </c>
      <c r="M438" t="n">
        <v>98.2</v>
      </c>
      <c r="N438" t="n">
        <v>20.55</v>
      </c>
      <c r="O438" t="n">
        <v>13.41</v>
      </c>
      <c r="P438" t="n">
        <v>26.64</v>
      </c>
      <c r="Q438" t="n">
        <v>21.81</v>
      </c>
      <c r="R438" t="n">
        <v>31.98</v>
      </c>
      <c r="S438" t="n">
        <v>85.39</v>
      </c>
      <c r="T438" t="n">
        <v>98.09999999999999</v>
      </c>
      <c r="U438" t="n">
        <v>16.36</v>
      </c>
      <c r="V438" t="inlineStr">
        <is>
          <t>Type I – Tropical Monsoon (PAGASA)</t>
        </is>
      </c>
      <c r="W438" t="inlineStr">
        <is>
          <t>Wet</t>
        </is>
      </c>
      <c r="X438" t="inlineStr">
        <is>
          <t>Wet</t>
        </is>
      </c>
      <c r="Y438" t="inlineStr">
        <is>
          <t>Silty Clay Loam</t>
        </is>
      </c>
      <c r="Z438" t="inlineStr">
        <is>
          <t>Flat / Lowland</t>
        </is>
      </c>
      <c r="AA438" t="n">
        <v>30</v>
      </c>
      <c r="AB438" t="inlineStr">
        <is>
          <t>Aloragat River</t>
        </is>
      </c>
      <c r="AC438" t="n">
        <v>484.68</v>
      </c>
      <c r="AD438" t="n">
        <v>28</v>
      </c>
      <c r="AE438" t="n">
        <v>81</v>
      </c>
      <c r="AF438" t="n">
        <v>109</v>
      </c>
      <c r="AG438" t="inlineStr">
        <is>
          <t>Transplanting (Pindot) — optimal for clay-loam paddy fields</t>
        </is>
      </c>
      <c r="AH438" t="inlineStr">
        <is>
          <t>Wet Tillage (Puddling): 2 plowings + thorough harrowing under flooded condition</t>
        </is>
      </c>
      <c r="AI438" t="inlineStr">
        <is>
          <t>Continuous flooding 2–5 cm depth during vegetative stage; drain 2 weeks before harvest</t>
        </is>
      </c>
      <c r="AJ438" t="n">
        <v>29.89</v>
      </c>
      <c r="AK438" t="n">
        <v>0</v>
      </c>
      <c r="AL438" t="n">
        <v>0</v>
      </c>
      <c r="AM438" t="inlineStr">
        <is>
          <t>No</t>
        </is>
      </c>
      <c r="AN438" t="inlineStr">
        <is>
          <t>Observed harvest</t>
        </is>
      </c>
    </row>
    <row r="439">
      <c r="A439" t="inlineStr">
        <is>
          <t>Palay</t>
        </is>
      </c>
      <c r="B439" t="inlineStr">
        <is>
          <t>Balangobong</t>
        </is>
      </c>
      <c r="C439" t="inlineStr">
        <is>
          <t>WS 2023</t>
        </is>
      </c>
      <c r="D439" t="inlineStr">
        <is>
          <t>June</t>
        </is>
      </c>
      <c r="E439" t="inlineStr">
        <is>
          <t>2023</t>
        </is>
      </c>
      <c r="F439" t="inlineStr">
        <is>
          <t>October</t>
        </is>
      </c>
      <c r="G439" t="inlineStr">
        <is>
          <t>2023</t>
        </is>
      </c>
      <c r="H439" t="n">
        <v>12.88</v>
      </c>
      <c r="I439" t="n">
        <v>27.25</v>
      </c>
      <c r="J439" t="n">
        <v>23.24</v>
      </c>
      <c r="K439" t="n">
        <v>32.84</v>
      </c>
      <c r="L439" t="n">
        <v>85.62</v>
      </c>
      <c r="M439" t="n">
        <v>98.18000000000001</v>
      </c>
      <c r="N439" t="n">
        <v>18.77</v>
      </c>
      <c r="O439" t="n">
        <v>6.18</v>
      </c>
      <c r="P439" t="n">
        <v>26.89</v>
      </c>
      <c r="Q439" t="n">
        <v>21.79</v>
      </c>
      <c r="R439" t="n">
        <v>32.55</v>
      </c>
      <c r="S439" t="n">
        <v>84.83</v>
      </c>
      <c r="T439" t="n">
        <v>98.41</v>
      </c>
      <c r="U439" t="n">
        <v>17.88</v>
      </c>
      <c r="V439" t="inlineStr">
        <is>
          <t>Type I – Tropical Monsoon (PAGASA)</t>
        </is>
      </c>
      <c r="W439" t="inlineStr">
        <is>
          <t>Wet</t>
        </is>
      </c>
      <c r="X439" t="inlineStr">
        <is>
          <t>Wet</t>
        </is>
      </c>
      <c r="Y439" t="inlineStr">
        <is>
          <t>Silty Clay Loam</t>
        </is>
      </c>
      <c r="Z439" t="inlineStr">
        <is>
          <t>Flat / Lowland</t>
        </is>
      </c>
      <c r="AA439" t="n">
        <v>30</v>
      </c>
      <c r="AB439" t="inlineStr">
        <is>
          <t>—</t>
        </is>
      </c>
      <c r="AC439" t="n">
        <v>281.4</v>
      </c>
      <c r="AD439" t="n">
        <v>110.61</v>
      </c>
      <c r="AE439" t="n">
        <v>43.84</v>
      </c>
      <c r="AF439" t="n">
        <v>15</v>
      </c>
      <c r="AG439" t="inlineStr">
        <is>
          <t>Transplanting (Pindot) — optimal for clay-loam paddy fields</t>
        </is>
      </c>
      <c r="AH439" t="inlineStr">
        <is>
          <t>Wet Tillage (Puddling): 2 plowings + thorough harrowing under flooded condition</t>
        </is>
      </c>
      <c r="AI439" t="inlineStr">
        <is>
          <t>Continuous flooding 2–5 cm depth during vegetative stage; drain 2 weeks before harvest</t>
        </is>
      </c>
      <c r="AJ439" t="n">
        <v>120</v>
      </c>
      <c r="AK439" t="n">
        <v>569.5700000000001</v>
      </c>
      <c r="AL439" t="n">
        <v>4.75</v>
      </c>
      <c r="AM439" t="inlineStr">
        <is>
          <t>No</t>
        </is>
      </c>
      <c r="AN439" t="inlineStr">
        <is>
          <t>Observed harvest</t>
        </is>
      </c>
    </row>
    <row r="440">
      <c r="A440" t="inlineStr">
        <is>
          <t>Palay</t>
        </is>
      </c>
      <c r="B440" t="inlineStr">
        <is>
          <t>Bued</t>
        </is>
      </c>
      <c r="C440" t="inlineStr">
        <is>
          <t>WS 2023</t>
        </is>
      </c>
      <c r="D440" t="inlineStr">
        <is>
          <t>June</t>
        </is>
      </c>
      <c r="E440" t="inlineStr">
        <is>
          <t>2023</t>
        </is>
      </c>
      <c r="F440" t="inlineStr">
        <is>
          <t>October</t>
        </is>
      </c>
      <c r="G440" t="inlineStr">
        <is>
          <t>2023</t>
        </is>
      </c>
      <c r="H440" t="n">
        <v>12.88</v>
      </c>
      <c r="I440" t="n">
        <v>27.25</v>
      </c>
      <c r="J440" t="n">
        <v>23.24</v>
      </c>
      <c r="K440" t="n">
        <v>32.84</v>
      </c>
      <c r="L440" t="n">
        <v>85.62</v>
      </c>
      <c r="M440" t="n">
        <v>98.18000000000001</v>
      </c>
      <c r="N440" t="n">
        <v>18.77</v>
      </c>
      <c r="O440" t="n">
        <v>6.18</v>
      </c>
      <c r="P440" t="n">
        <v>26.89</v>
      </c>
      <c r="Q440" t="n">
        <v>21.79</v>
      </c>
      <c r="R440" t="n">
        <v>32.55</v>
      </c>
      <c r="S440" t="n">
        <v>84.83</v>
      </c>
      <c r="T440" t="n">
        <v>98.41</v>
      </c>
      <c r="U440" t="n">
        <v>17.88</v>
      </c>
      <c r="V440" t="inlineStr">
        <is>
          <t>Type I – Tropical Monsoon (PAGASA)</t>
        </is>
      </c>
      <c r="W440" t="inlineStr">
        <is>
          <t>Wet</t>
        </is>
      </c>
      <c r="X440" t="inlineStr">
        <is>
          <t>Wet</t>
        </is>
      </c>
      <c r="Y440" t="inlineStr">
        <is>
          <t>Silty Clay Loam</t>
        </is>
      </c>
      <c r="Z440" t="inlineStr">
        <is>
          <t>Flat / Lowland</t>
        </is>
      </c>
      <c r="AA440" t="n">
        <v>30</v>
      </c>
      <c r="AB440" t="inlineStr">
        <is>
          <t>Tagamusing River</t>
        </is>
      </c>
      <c r="AC440" t="n">
        <v>210.84</v>
      </c>
      <c r="AD440" t="n">
        <v>83.58</v>
      </c>
      <c r="AE440" t="n">
        <v>41.18</v>
      </c>
      <c r="AF440" t="n">
        <v>37.5</v>
      </c>
      <c r="AG440" t="inlineStr">
        <is>
          <t>Transplanting (Pindot) — optimal for clay-loam paddy fields</t>
        </is>
      </c>
      <c r="AH440" t="inlineStr">
        <is>
          <t>Wet Tillage (Puddling): 2 plowings + thorough harrowing under flooded condition</t>
        </is>
      </c>
      <c r="AI440" t="inlineStr">
        <is>
          <t>Continuous flooding 2–5 cm depth during vegetative stage; drain 2 weeks before harvest</t>
        </is>
      </c>
      <c r="AJ440" t="n">
        <v>56.5</v>
      </c>
      <c r="AK440" t="n">
        <v>248.22</v>
      </c>
      <c r="AL440" t="n">
        <v>4.39</v>
      </c>
      <c r="AM440" t="inlineStr">
        <is>
          <t>No</t>
        </is>
      </c>
      <c r="AN440" t="inlineStr">
        <is>
          <t>Observed harvest</t>
        </is>
      </c>
    </row>
    <row r="441">
      <c r="A441" t="inlineStr">
        <is>
          <t>Palay</t>
        </is>
      </c>
      <c r="B441" t="inlineStr">
        <is>
          <t>Bugayong</t>
        </is>
      </c>
      <c r="C441" t="inlineStr">
        <is>
          <t>WS 2023</t>
        </is>
      </c>
      <c r="D441" t="inlineStr">
        <is>
          <t>June</t>
        </is>
      </c>
      <c r="E441" t="inlineStr">
        <is>
          <t>2023</t>
        </is>
      </c>
      <c r="F441" t="inlineStr">
        <is>
          <t>October</t>
        </is>
      </c>
      <c r="G441" t="inlineStr">
        <is>
          <t>2023</t>
        </is>
      </c>
      <c r="H441" t="n">
        <v>12.88</v>
      </c>
      <c r="I441" t="n">
        <v>27.25</v>
      </c>
      <c r="J441" t="n">
        <v>23.24</v>
      </c>
      <c r="K441" t="n">
        <v>32.84</v>
      </c>
      <c r="L441" t="n">
        <v>85.62</v>
      </c>
      <c r="M441" t="n">
        <v>98.18000000000001</v>
      </c>
      <c r="N441" t="n">
        <v>18.77</v>
      </c>
      <c r="O441" t="n">
        <v>6.18</v>
      </c>
      <c r="P441" t="n">
        <v>26.89</v>
      </c>
      <c r="Q441" t="n">
        <v>21.79</v>
      </c>
      <c r="R441" t="n">
        <v>32.55</v>
      </c>
      <c r="S441" t="n">
        <v>84.83</v>
      </c>
      <c r="T441" t="n">
        <v>98.41</v>
      </c>
      <c r="U441" t="n">
        <v>17.88</v>
      </c>
      <c r="V441" t="inlineStr">
        <is>
          <t>Type I – Tropical Monsoon (PAGASA)</t>
        </is>
      </c>
      <c r="W441" t="inlineStr">
        <is>
          <t>Wet</t>
        </is>
      </c>
      <c r="X441" t="inlineStr">
        <is>
          <t>Wet</t>
        </is>
      </c>
      <c r="Y441" t="inlineStr">
        <is>
          <t>Sandy Loam / Silty Clay Loam</t>
        </is>
      </c>
      <c r="Z441" t="inlineStr">
        <is>
          <t>Flat / Lowland</t>
        </is>
      </c>
      <c r="AA441" t="n">
        <v>30</v>
      </c>
      <c r="AB441" t="inlineStr">
        <is>
          <t>Aloragat River</t>
        </is>
      </c>
      <c r="AC441" t="n">
        <v>346.08</v>
      </c>
      <c r="AD441" t="n">
        <v>24.5</v>
      </c>
      <c r="AE441" t="n">
        <v>41.45</v>
      </c>
      <c r="AF441" t="n">
        <v>52.05</v>
      </c>
      <c r="AG441" t="inlineStr">
        <is>
          <t>Transplanting (Pindot) — recommended; Direct Seeding possible in dry season</t>
        </is>
      </c>
      <c r="AH441" t="inlineStr">
        <is>
          <t>Conventional Tillage: 2 plowings + harrowing; puddle thoroughly for transplanting</t>
        </is>
      </c>
      <c r="AI441" t="inlineStr">
        <is>
          <t>Intermittent to continuous flooding; manage according to drainage section present</t>
        </is>
      </c>
      <c r="AJ441" t="n">
        <v>25.95</v>
      </c>
      <c r="AK441" t="n">
        <v>130.27</v>
      </c>
      <c r="AL441" t="n">
        <v>5.02</v>
      </c>
      <c r="AM441" t="inlineStr">
        <is>
          <t>No</t>
        </is>
      </c>
      <c r="AN441" t="inlineStr">
        <is>
          <t>Observed harvest</t>
        </is>
      </c>
    </row>
    <row r="442">
      <c r="A442" t="inlineStr">
        <is>
          <t>Palay</t>
        </is>
      </c>
      <c r="B442" t="inlineStr">
        <is>
          <t>Camanggaan</t>
        </is>
      </c>
      <c r="C442" t="inlineStr">
        <is>
          <t>WS 2023</t>
        </is>
      </c>
      <c r="D442" t="inlineStr">
        <is>
          <t>June</t>
        </is>
      </c>
      <c r="E442" t="inlineStr">
        <is>
          <t>2023</t>
        </is>
      </c>
      <c r="F442" t="inlineStr">
        <is>
          <t>October</t>
        </is>
      </c>
      <c r="G442" t="inlineStr">
        <is>
          <t>2023</t>
        </is>
      </c>
      <c r="H442" t="n">
        <v>12.88</v>
      </c>
      <c r="I442" t="n">
        <v>27.25</v>
      </c>
      <c r="J442" t="n">
        <v>23.24</v>
      </c>
      <c r="K442" t="n">
        <v>32.84</v>
      </c>
      <c r="L442" t="n">
        <v>85.62</v>
      </c>
      <c r="M442" t="n">
        <v>98.18000000000001</v>
      </c>
      <c r="N442" t="n">
        <v>18.77</v>
      </c>
      <c r="O442" t="n">
        <v>6.18</v>
      </c>
      <c r="P442" t="n">
        <v>26.89</v>
      </c>
      <c r="Q442" t="n">
        <v>21.79</v>
      </c>
      <c r="R442" t="n">
        <v>32.55</v>
      </c>
      <c r="S442" t="n">
        <v>84.83</v>
      </c>
      <c r="T442" t="n">
        <v>98.41</v>
      </c>
      <c r="U442" t="n">
        <v>17.88</v>
      </c>
      <c r="V442" t="inlineStr">
        <is>
          <t>Type I – Tropical Monsoon (PAGASA)</t>
        </is>
      </c>
      <c r="W442" t="inlineStr">
        <is>
          <t>Wet</t>
        </is>
      </c>
      <c r="X442" t="inlineStr">
        <is>
          <t>Wet</t>
        </is>
      </c>
      <c r="Y442" t="inlineStr">
        <is>
          <t>Sandy Loam</t>
        </is>
      </c>
      <c r="Z442" t="inlineStr">
        <is>
          <t>Flat / Lowland</t>
        </is>
      </c>
      <c r="AA442" t="n">
        <v>30</v>
      </c>
      <c r="AB442" t="inlineStr">
        <is>
          <t>—</t>
        </is>
      </c>
      <c r="AC442" t="n">
        <v>244.44</v>
      </c>
      <c r="AD442" t="n">
        <v>38.85</v>
      </c>
      <c r="AE442" t="n">
        <v>134.09</v>
      </c>
      <c r="AF442" t="n">
        <v>68</v>
      </c>
      <c r="AG442" t="inlineStr">
        <is>
          <t>Transplanting (Pindot) or Direct Seeding (Pinaghandaan)</t>
        </is>
      </c>
      <c r="AH442" t="inlineStr">
        <is>
          <t>Conventional Tillage: 2 plowings + 2 harrowings; soil workable when moist</t>
        </is>
      </c>
      <c r="AI442" t="inlineStr">
        <is>
          <t>Intermittent irrigation (Alternate Wetting and Drying — AWD); moderate retention</t>
        </is>
      </c>
      <c r="AJ442" t="n">
        <v>19</v>
      </c>
      <c r="AK442" t="n">
        <v>81.73999999999999</v>
      </c>
      <c r="AL442" t="n">
        <v>4.3</v>
      </c>
      <c r="AM442" t="inlineStr">
        <is>
          <t>No</t>
        </is>
      </c>
      <c r="AN442" t="inlineStr">
        <is>
          <t>Observed harvest</t>
        </is>
      </c>
    </row>
    <row r="443">
      <c r="A443" t="inlineStr">
        <is>
          <t>Palay</t>
        </is>
      </c>
      <c r="B443" t="inlineStr">
        <is>
          <t>Capas</t>
        </is>
      </c>
      <c r="C443" t="inlineStr">
        <is>
          <t>WS 2023</t>
        </is>
      </c>
      <c r="D443" t="inlineStr">
        <is>
          <t>June</t>
        </is>
      </c>
      <c r="E443" t="inlineStr">
        <is>
          <t>2023</t>
        </is>
      </c>
      <c r="F443" t="inlineStr">
        <is>
          <t>October</t>
        </is>
      </c>
      <c r="G443" t="inlineStr">
        <is>
          <t>2023</t>
        </is>
      </c>
      <c r="H443" t="n">
        <v>12.88</v>
      </c>
      <c r="I443" t="n">
        <v>27.25</v>
      </c>
      <c r="J443" t="n">
        <v>23.24</v>
      </c>
      <c r="K443" t="n">
        <v>32.84</v>
      </c>
      <c r="L443" t="n">
        <v>85.62</v>
      </c>
      <c r="M443" t="n">
        <v>98.18000000000001</v>
      </c>
      <c r="N443" t="n">
        <v>18.77</v>
      </c>
      <c r="O443" t="n">
        <v>6.18</v>
      </c>
      <c r="P443" t="n">
        <v>26.89</v>
      </c>
      <c r="Q443" t="n">
        <v>21.79</v>
      </c>
      <c r="R443" t="n">
        <v>32.55</v>
      </c>
      <c r="S443" t="n">
        <v>84.83</v>
      </c>
      <c r="T443" t="n">
        <v>98.41</v>
      </c>
      <c r="U443" t="n">
        <v>17.88</v>
      </c>
      <c r="V443" t="inlineStr">
        <is>
          <t>Type I – Tropical Monsoon (PAGASA)</t>
        </is>
      </c>
      <c r="W443" t="inlineStr">
        <is>
          <t>Wet</t>
        </is>
      </c>
      <c r="X443" t="inlineStr">
        <is>
          <t>Wet</t>
        </is>
      </c>
      <c r="Y443" t="inlineStr">
        <is>
          <t>Sandy Loam</t>
        </is>
      </c>
      <c r="Z443" t="inlineStr">
        <is>
          <t>Flat / Lowland</t>
        </is>
      </c>
      <c r="AA443" t="n">
        <v>30</v>
      </c>
      <c r="AB443" t="inlineStr">
        <is>
          <t>—</t>
        </is>
      </c>
      <c r="AC443" t="n">
        <v>377.16</v>
      </c>
      <c r="AD443" t="n">
        <v>117.69</v>
      </c>
      <c r="AE443" t="n">
        <v>156.07</v>
      </c>
      <c r="AF443" t="n">
        <v>164</v>
      </c>
      <c r="AG443" t="inlineStr">
        <is>
          <t>Transplanting (Pindot) or Direct Seeding (Pinaghandaan)</t>
        </is>
      </c>
      <c r="AH443" t="inlineStr">
        <is>
          <t>Conventional Tillage: 2 plowings + 2 harrowings; soil workable when moist</t>
        </is>
      </c>
      <c r="AI443" t="inlineStr">
        <is>
          <t>Intermittent irrigation (Alternate Wetting and Drying — AWD); moderate retention</t>
        </is>
      </c>
      <c r="AJ443" t="n">
        <v>139</v>
      </c>
      <c r="AK443" t="n">
        <v>766.55</v>
      </c>
      <c r="AL443" t="n">
        <v>5.51</v>
      </c>
      <c r="AM443" t="inlineStr">
        <is>
          <t>No</t>
        </is>
      </c>
      <c r="AN443" t="inlineStr">
        <is>
          <t>Observed harvest</t>
        </is>
      </c>
    </row>
    <row r="444">
      <c r="A444" t="inlineStr">
        <is>
          <t>Palay</t>
        </is>
      </c>
      <c r="B444" t="inlineStr">
        <is>
          <t>Cili</t>
        </is>
      </c>
      <c r="C444" t="inlineStr">
        <is>
          <t>WS 2023</t>
        </is>
      </c>
      <c r="D444" t="inlineStr">
        <is>
          <t>June</t>
        </is>
      </c>
      <c r="E444" t="inlineStr">
        <is>
          <t>2023</t>
        </is>
      </c>
      <c r="F444" t="inlineStr">
        <is>
          <t>October</t>
        </is>
      </c>
      <c r="G444" t="inlineStr">
        <is>
          <t>2023</t>
        </is>
      </c>
      <c r="H444" t="n">
        <v>12.88</v>
      </c>
      <c r="I444" t="n">
        <v>27.25</v>
      </c>
      <c r="J444" t="n">
        <v>23.24</v>
      </c>
      <c r="K444" t="n">
        <v>32.84</v>
      </c>
      <c r="L444" t="n">
        <v>85.62</v>
      </c>
      <c r="M444" t="n">
        <v>98.18000000000001</v>
      </c>
      <c r="N444" t="n">
        <v>18.77</v>
      </c>
      <c r="O444" t="n">
        <v>6.18</v>
      </c>
      <c r="P444" t="n">
        <v>26.89</v>
      </c>
      <c r="Q444" t="n">
        <v>21.79</v>
      </c>
      <c r="R444" t="n">
        <v>32.55</v>
      </c>
      <c r="S444" t="n">
        <v>84.83</v>
      </c>
      <c r="T444" t="n">
        <v>98.41</v>
      </c>
      <c r="U444" t="n">
        <v>17.88</v>
      </c>
      <c r="V444" t="inlineStr">
        <is>
          <t>Type I – Tropical Monsoon (PAGASA)</t>
        </is>
      </c>
      <c r="W444" t="inlineStr">
        <is>
          <t>Wet</t>
        </is>
      </c>
      <c r="X444" t="inlineStr">
        <is>
          <t>Wet</t>
        </is>
      </c>
      <c r="Y444" t="inlineStr">
        <is>
          <t>Silty Clay Loam</t>
        </is>
      </c>
      <c r="Z444" t="inlineStr">
        <is>
          <t>Flat / Lowland</t>
        </is>
      </c>
      <c r="AA444" t="n">
        <v>30</v>
      </c>
      <c r="AB444" t="inlineStr">
        <is>
          <t>Alibeng River</t>
        </is>
      </c>
      <c r="AC444" t="n">
        <v>264.6</v>
      </c>
      <c r="AD444" t="n">
        <v>47.56</v>
      </c>
      <c r="AE444" t="n">
        <v>43.56</v>
      </c>
      <c r="AF444" t="n">
        <v>128</v>
      </c>
      <c r="AG444" t="inlineStr">
        <is>
          <t>Transplanting (Pindot) — optimal for clay-loam paddy fields</t>
        </is>
      </c>
      <c r="AH444" t="inlineStr">
        <is>
          <t>Wet Tillage (Puddling): 2 plowings + thorough harrowing under flooded condition</t>
        </is>
      </c>
      <c r="AI444" t="inlineStr">
        <is>
          <t>Continuous flooding 2–5 cm depth during vegetative stage; drain 2 weeks before harvest</t>
        </is>
      </c>
      <c r="AJ444" t="n">
        <v>40</v>
      </c>
      <c r="AK444" t="n">
        <v>185.2</v>
      </c>
      <c r="AL444" t="n">
        <v>4.63</v>
      </c>
      <c r="AM444" t="inlineStr">
        <is>
          <t>No</t>
        </is>
      </c>
      <c r="AN444" t="inlineStr">
        <is>
          <t>Observed harvest</t>
        </is>
      </c>
    </row>
    <row r="445">
      <c r="A445" t="inlineStr">
        <is>
          <t>Palay</t>
        </is>
      </c>
      <c r="B445" t="inlineStr">
        <is>
          <t>Dumayat</t>
        </is>
      </c>
      <c r="C445" t="inlineStr">
        <is>
          <t>WS 2023</t>
        </is>
      </c>
      <c r="D445" t="inlineStr">
        <is>
          <t>June</t>
        </is>
      </c>
      <c r="E445" t="inlineStr">
        <is>
          <t>2023</t>
        </is>
      </c>
      <c r="F445" t="inlineStr">
        <is>
          <t>October</t>
        </is>
      </c>
      <c r="G445" t="inlineStr">
        <is>
          <t>2023</t>
        </is>
      </c>
      <c r="H445" t="n">
        <v>12.88</v>
      </c>
      <c r="I445" t="n">
        <v>27.25</v>
      </c>
      <c r="J445" t="n">
        <v>23.24</v>
      </c>
      <c r="K445" t="n">
        <v>32.84</v>
      </c>
      <c r="L445" t="n">
        <v>85.62</v>
      </c>
      <c r="M445" t="n">
        <v>98.18000000000001</v>
      </c>
      <c r="N445" t="n">
        <v>18.77</v>
      </c>
      <c r="O445" t="n">
        <v>6.18</v>
      </c>
      <c r="P445" t="n">
        <v>26.89</v>
      </c>
      <c r="Q445" t="n">
        <v>21.79</v>
      </c>
      <c r="R445" t="n">
        <v>32.55</v>
      </c>
      <c r="S445" t="n">
        <v>84.83</v>
      </c>
      <c r="T445" t="n">
        <v>98.41</v>
      </c>
      <c r="U445" t="n">
        <v>17.88</v>
      </c>
      <c r="V445" t="inlineStr">
        <is>
          <t>Type I – Tropical Monsoon (PAGASA)</t>
        </is>
      </c>
      <c r="W445" t="inlineStr">
        <is>
          <t>Wet</t>
        </is>
      </c>
      <c r="X445" t="inlineStr">
        <is>
          <t>Wet</t>
        </is>
      </c>
      <c r="Y445" t="inlineStr">
        <is>
          <t>Silty Clay Loam</t>
        </is>
      </c>
      <c r="Z445" t="inlineStr">
        <is>
          <t>Flat / Lowland</t>
        </is>
      </c>
      <c r="AA445" t="n">
        <v>30</v>
      </c>
      <c r="AB445" t="inlineStr">
        <is>
          <t>—</t>
        </is>
      </c>
      <c r="AC445" t="n">
        <v>266.28</v>
      </c>
      <c r="AD445" t="n">
        <v>48.74</v>
      </c>
      <c r="AE445" t="n">
        <v>42.94</v>
      </c>
      <c r="AF445" t="n">
        <v>30</v>
      </c>
      <c r="AG445" t="inlineStr">
        <is>
          <t>Transplanting (Pindot) — optimal for clay-loam paddy fields</t>
        </is>
      </c>
      <c r="AH445" t="inlineStr">
        <is>
          <t>Wet Tillage (Puddling): 2 plowings + thorough harrowing under flooded condition</t>
        </is>
      </c>
      <c r="AI445" t="inlineStr">
        <is>
          <t>Continuous flooding 2–5 cm depth during vegetative stage; drain 2 weeks before harvest</t>
        </is>
      </c>
      <c r="AJ445" t="n">
        <v>56</v>
      </c>
      <c r="AK445" t="n">
        <v>287.84</v>
      </c>
      <c r="AL445" t="n">
        <v>5.14</v>
      </c>
      <c r="AM445" t="inlineStr">
        <is>
          <t>No</t>
        </is>
      </c>
      <c r="AN445" t="inlineStr">
        <is>
          <t>Observed harvest</t>
        </is>
      </c>
    </row>
    <row r="446">
      <c r="A446" t="inlineStr">
        <is>
          <t>Palay</t>
        </is>
      </c>
      <c r="B446" t="inlineStr">
        <is>
          <t>Linmansangan</t>
        </is>
      </c>
      <c r="C446" t="inlineStr">
        <is>
          <t>WS 2023</t>
        </is>
      </c>
      <c r="D446" t="inlineStr">
        <is>
          <t>June</t>
        </is>
      </c>
      <c r="E446" t="inlineStr">
        <is>
          <t>2023</t>
        </is>
      </c>
      <c r="F446" t="inlineStr">
        <is>
          <t>October</t>
        </is>
      </c>
      <c r="G446" t="inlineStr">
        <is>
          <t>2023</t>
        </is>
      </c>
      <c r="H446" t="n">
        <v>12.88</v>
      </c>
      <c r="I446" t="n">
        <v>27.25</v>
      </c>
      <c r="J446" t="n">
        <v>23.24</v>
      </c>
      <c r="K446" t="n">
        <v>32.84</v>
      </c>
      <c r="L446" t="n">
        <v>85.62</v>
      </c>
      <c r="M446" t="n">
        <v>98.18000000000001</v>
      </c>
      <c r="N446" t="n">
        <v>18.77</v>
      </c>
      <c r="O446" t="n">
        <v>6.18</v>
      </c>
      <c r="P446" t="n">
        <v>26.89</v>
      </c>
      <c r="Q446" t="n">
        <v>21.79</v>
      </c>
      <c r="R446" t="n">
        <v>32.55</v>
      </c>
      <c r="S446" t="n">
        <v>84.83</v>
      </c>
      <c r="T446" t="n">
        <v>98.41</v>
      </c>
      <c r="U446" t="n">
        <v>17.88</v>
      </c>
      <c r="V446" t="inlineStr">
        <is>
          <t>Type I – Tropical Monsoon (PAGASA)</t>
        </is>
      </c>
      <c r="W446" t="inlineStr">
        <is>
          <t>Wet</t>
        </is>
      </c>
      <c r="X446" t="inlineStr">
        <is>
          <t>Wet</t>
        </is>
      </c>
      <c r="Y446" t="inlineStr">
        <is>
          <t>Silty Clay Loam</t>
        </is>
      </c>
      <c r="Z446" t="inlineStr">
        <is>
          <t>Flat / Lowland</t>
        </is>
      </c>
      <c r="AA446" t="n">
        <v>30</v>
      </c>
      <c r="AB446" t="inlineStr">
        <is>
          <t>—</t>
        </is>
      </c>
      <c r="AC446" t="n">
        <v>492.24</v>
      </c>
      <c r="AD446" t="n">
        <v>65.5</v>
      </c>
      <c r="AE446" t="n">
        <v>147.19</v>
      </c>
      <c r="AF446" t="n">
        <v>129.5</v>
      </c>
      <c r="AG446" t="inlineStr">
        <is>
          <t>Transplanting (Pindot) — optimal for clay-loam paddy fields</t>
        </is>
      </c>
      <c r="AH446" t="inlineStr">
        <is>
          <t>Wet Tillage (Puddling): 2 plowings + thorough harrowing under flooded condition</t>
        </is>
      </c>
      <c r="AI446" t="inlineStr">
        <is>
          <t>Continuous flooding 2–5 cm depth during vegetative stage; drain 2 weeks before harvest</t>
        </is>
      </c>
      <c r="AJ446" t="n">
        <v>65.5</v>
      </c>
      <c r="AK446" t="n">
        <v>302.43</v>
      </c>
      <c r="AL446" t="n">
        <v>4.62</v>
      </c>
      <c r="AM446" t="inlineStr">
        <is>
          <t>No</t>
        </is>
      </c>
      <c r="AN446" t="inlineStr">
        <is>
          <t>Observed harvest</t>
        </is>
      </c>
    </row>
    <row r="447">
      <c r="A447" t="inlineStr">
        <is>
          <t>Palay</t>
        </is>
      </c>
      <c r="B447" t="inlineStr">
        <is>
          <t>Mangkasuy</t>
        </is>
      </c>
      <c r="C447" t="inlineStr">
        <is>
          <t>WS 2023</t>
        </is>
      </c>
      <c r="D447" t="inlineStr">
        <is>
          <t>June</t>
        </is>
      </c>
      <c r="E447" t="inlineStr">
        <is>
          <t>2023</t>
        </is>
      </c>
      <c r="F447" t="inlineStr">
        <is>
          <t>October</t>
        </is>
      </c>
      <c r="G447" t="inlineStr">
        <is>
          <t>2023</t>
        </is>
      </c>
      <c r="H447" t="n">
        <v>12.88</v>
      </c>
      <c r="I447" t="n">
        <v>27.25</v>
      </c>
      <c r="J447" t="n">
        <v>23.24</v>
      </c>
      <c r="K447" t="n">
        <v>32.84</v>
      </c>
      <c r="L447" t="n">
        <v>85.62</v>
      </c>
      <c r="M447" t="n">
        <v>98.18000000000001</v>
      </c>
      <c r="N447" t="n">
        <v>18.77</v>
      </c>
      <c r="O447" t="n">
        <v>6.18</v>
      </c>
      <c r="P447" t="n">
        <v>26.89</v>
      </c>
      <c r="Q447" t="n">
        <v>21.79</v>
      </c>
      <c r="R447" t="n">
        <v>32.55</v>
      </c>
      <c r="S447" t="n">
        <v>84.83</v>
      </c>
      <c r="T447" t="n">
        <v>98.41</v>
      </c>
      <c r="U447" t="n">
        <v>17.88</v>
      </c>
      <c r="V447" t="inlineStr">
        <is>
          <t>Type I – Tropical Monsoon (PAGASA)</t>
        </is>
      </c>
      <c r="W447" t="inlineStr">
        <is>
          <t>Wet</t>
        </is>
      </c>
      <c r="X447" t="inlineStr">
        <is>
          <t>Wet</t>
        </is>
      </c>
      <c r="Y447" t="inlineStr">
        <is>
          <t>Sandy Loam</t>
        </is>
      </c>
      <c r="Z447" t="inlineStr">
        <is>
          <t>Flat / Lowland</t>
        </is>
      </c>
      <c r="AA447" t="n">
        <v>30</v>
      </c>
      <c r="AB447" t="inlineStr">
        <is>
          <t>Tagamusing River</t>
        </is>
      </c>
      <c r="AC447" t="n">
        <v>802.2</v>
      </c>
      <c r="AD447" t="n">
        <v>65.5</v>
      </c>
      <c r="AE447" t="n">
        <v>164</v>
      </c>
      <c r="AF447" t="n">
        <v>262</v>
      </c>
      <c r="AG447" t="inlineStr">
        <is>
          <t>Transplanting (Pindot) or Direct Seeding (Pinaghandaan)</t>
        </is>
      </c>
      <c r="AH447" t="inlineStr">
        <is>
          <t>Conventional Tillage: 2 plowings + 2 harrowings; soil workable when moist</t>
        </is>
      </c>
      <c r="AI447" t="inlineStr">
        <is>
          <t>Intermittent irrigation (Alternate Wetting and Drying — AWD); moderate retention</t>
        </is>
      </c>
      <c r="AJ447" t="n">
        <v>90</v>
      </c>
      <c r="AK447" t="n">
        <v>471.74</v>
      </c>
      <c r="AL447" t="n">
        <v>5.24</v>
      </c>
      <c r="AM447" t="inlineStr">
        <is>
          <t>No</t>
        </is>
      </c>
      <c r="AN447" t="inlineStr">
        <is>
          <t>Observed harvest</t>
        </is>
      </c>
    </row>
    <row r="448">
      <c r="A448" t="inlineStr">
        <is>
          <t>Palay</t>
        </is>
      </c>
      <c r="B448" t="inlineStr">
        <is>
          <t>Moreno</t>
        </is>
      </c>
      <c r="C448" t="inlineStr">
        <is>
          <t>WS 2023</t>
        </is>
      </c>
      <c r="D448" t="inlineStr">
        <is>
          <t>June</t>
        </is>
      </c>
      <c r="E448" t="inlineStr">
        <is>
          <t>2023</t>
        </is>
      </c>
      <c r="F448" t="inlineStr">
        <is>
          <t>October</t>
        </is>
      </c>
      <c r="G448" t="inlineStr">
        <is>
          <t>2023</t>
        </is>
      </c>
      <c r="H448" t="n">
        <v>12.88</v>
      </c>
      <c r="I448" t="n">
        <v>27.25</v>
      </c>
      <c r="J448" t="n">
        <v>23.24</v>
      </c>
      <c r="K448" t="n">
        <v>32.84</v>
      </c>
      <c r="L448" t="n">
        <v>85.62</v>
      </c>
      <c r="M448" t="n">
        <v>98.18000000000001</v>
      </c>
      <c r="N448" t="n">
        <v>18.77</v>
      </c>
      <c r="O448" t="n">
        <v>6.18</v>
      </c>
      <c r="P448" t="n">
        <v>26.89</v>
      </c>
      <c r="Q448" t="n">
        <v>21.79</v>
      </c>
      <c r="R448" t="n">
        <v>32.55</v>
      </c>
      <c r="S448" t="n">
        <v>84.83</v>
      </c>
      <c r="T448" t="n">
        <v>98.41</v>
      </c>
      <c r="U448" t="n">
        <v>17.88</v>
      </c>
      <c r="V448" t="inlineStr">
        <is>
          <t>Type I – Tropical Monsoon (PAGASA)</t>
        </is>
      </c>
      <c r="W448" t="inlineStr">
        <is>
          <t>Wet</t>
        </is>
      </c>
      <c r="X448" t="inlineStr">
        <is>
          <t>Wet</t>
        </is>
      </c>
      <c r="Y448" t="inlineStr">
        <is>
          <t>Sandy Loam</t>
        </is>
      </c>
      <c r="Z448" t="inlineStr">
        <is>
          <t>Moderately Sloping / Highland</t>
        </is>
      </c>
      <c r="AA448" t="n">
        <v>90</v>
      </c>
      <c r="AB448" t="inlineStr">
        <is>
          <t>Alibeng River</t>
        </is>
      </c>
      <c r="AC448" t="n">
        <v>641.76</v>
      </c>
      <c r="AD448" t="n">
        <v>65.5</v>
      </c>
      <c r="AE448" t="n">
        <v>130.56</v>
      </c>
      <c r="AF448" t="n">
        <v>116.6</v>
      </c>
      <c r="AG448" t="inlineStr">
        <is>
          <t>Transplanting (Pindot) or Direct Seeding (Pinaghandaan)</t>
        </is>
      </c>
      <c r="AH448" t="inlineStr">
        <is>
          <t>Conventional Tillage: 2 plowings + 2 harrowings; soil workable when moist</t>
        </is>
      </c>
      <c r="AI448" t="inlineStr">
        <is>
          <t>Intermittent irrigation (Alternate Wetting and Drying — AWD); moderate retention; terrace or bund-assisted water retention essential on slopes</t>
        </is>
      </c>
      <c r="AJ448" t="n">
        <v>47.4</v>
      </c>
      <c r="AK448" t="n">
        <v>250.3</v>
      </c>
      <c r="AL448" t="n">
        <v>5.28</v>
      </c>
      <c r="AM448" t="inlineStr">
        <is>
          <t>No</t>
        </is>
      </c>
      <c r="AN448" t="inlineStr">
        <is>
          <t>Observed harvest</t>
        </is>
      </c>
    </row>
    <row r="449">
      <c r="A449" t="inlineStr">
        <is>
          <t>Palay</t>
        </is>
      </c>
      <c r="B449" t="inlineStr">
        <is>
          <t>Pasileng Norte</t>
        </is>
      </c>
      <c r="C449" t="inlineStr">
        <is>
          <t>WS 2023</t>
        </is>
      </c>
      <c r="D449" t="inlineStr">
        <is>
          <t>June</t>
        </is>
      </c>
      <c r="E449" t="inlineStr">
        <is>
          <t>2023</t>
        </is>
      </c>
      <c r="F449" t="inlineStr">
        <is>
          <t>October</t>
        </is>
      </c>
      <c r="G449" t="inlineStr">
        <is>
          <t>2023</t>
        </is>
      </c>
      <c r="H449" t="n">
        <v>12.88</v>
      </c>
      <c r="I449" t="n">
        <v>27.25</v>
      </c>
      <c r="J449" t="n">
        <v>23.24</v>
      </c>
      <c r="K449" t="n">
        <v>32.84</v>
      </c>
      <c r="L449" t="n">
        <v>85.62</v>
      </c>
      <c r="M449" t="n">
        <v>98.18000000000001</v>
      </c>
      <c r="N449" t="n">
        <v>18.77</v>
      </c>
      <c r="O449" t="n">
        <v>6.18</v>
      </c>
      <c r="P449" t="n">
        <v>26.89</v>
      </c>
      <c r="Q449" t="n">
        <v>21.79</v>
      </c>
      <c r="R449" t="n">
        <v>32.55</v>
      </c>
      <c r="S449" t="n">
        <v>84.83</v>
      </c>
      <c r="T449" t="n">
        <v>98.41</v>
      </c>
      <c r="U449" t="n">
        <v>17.88</v>
      </c>
      <c r="V449" t="inlineStr">
        <is>
          <t>Type I – Tropical Monsoon (PAGASA)</t>
        </is>
      </c>
      <c r="W449" t="inlineStr">
        <is>
          <t>Wet</t>
        </is>
      </c>
      <c r="X449" t="inlineStr">
        <is>
          <t>Wet</t>
        </is>
      </c>
      <c r="Y449" t="inlineStr">
        <is>
          <t>Sandy Loam</t>
        </is>
      </c>
      <c r="Z449" t="inlineStr">
        <is>
          <t>Flat / Lowland</t>
        </is>
      </c>
      <c r="AA449" t="n">
        <v>30</v>
      </c>
      <c r="AB449" t="inlineStr">
        <is>
          <t>Tagamusing River</t>
        </is>
      </c>
      <c r="AC449" t="n">
        <v>140.28</v>
      </c>
      <c r="AD449" t="n">
        <v>65.5</v>
      </c>
      <c r="AE449" t="n">
        <v>25.35</v>
      </c>
      <c r="AF449" t="n">
        <v>2.65</v>
      </c>
      <c r="AG449" t="inlineStr">
        <is>
          <t>Transplanting (Pindot) or Direct Seeding (Pinaghandaan)</t>
        </is>
      </c>
      <c r="AH449" t="inlineStr">
        <is>
          <t>Conventional Tillage: 2 plowings + 2 harrowings; soil workable when moist</t>
        </is>
      </c>
      <c r="AI449" t="inlineStr">
        <is>
          <t>Intermittent irrigation (Alternate Wetting and Drying — AWD); moderate retention</t>
        </is>
      </c>
      <c r="AJ449" t="n">
        <v>78.34999999999999</v>
      </c>
      <c r="AK449" t="n">
        <v>423.46</v>
      </c>
      <c r="AL449" t="n">
        <v>5.4</v>
      </c>
      <c r="AM449" t="inlineStr">
        <is>
          <t>No</t>
        </is>
      </c>
      <c r="AN449" t="inlineStr">
        <is>
          <t>Observed harvest</t>
        </is>
      </c>
    </row>
    <row r="450">
      <c r="A450" t="inlineStr">
        <is>
          <t>Palay</t>
        </is>
      </c>
      <c r="B450" t="inlineStr">
        <is>
          <t>Pasileng Sur</t>
        </is>
      </c>
      <c r="C450" t="inlineStr">
        <is>
          <t>WS 2023</t>
        </is>
      </c>
      <c r="D450" t="inlineStr">
        <is>
          <t>June</t>
        </is>
      </c>
      <c r="E450" t="inlineStr">
        <is>
          <t>2023</t>
        </is>
      </c>
      <c r="F450" t="inlineStr">
        <is>
          <t>October</t>
        </is>
      </c>
      <c r="G450" t="inlineStr">
        <is>
          <t>2023</t>
        </is>
      </c>
      <c r="H450" t="n">
        <v>12.88</v>
      </c>
      <c r="I450" t="n">
        <v>27.25</v>
      </c>
      <c r="J450" t="n">
        <v>23.24</v>
      </c>
      <c r="K450" t="n">
        <v>32.84</v>
      </c>
      <c r="L450" t="n">
        <v>85.62</v>
      </c>
      <c r="M450" t="n">
        <v>98.18000000000001</v>
      </c>
      <c r="N450" t="n">
        <v>18.77</v>
      </c>
      <c r="O450" t="n">
        <v>6.18</v>
      </c>
      <c r="P450" t="n">
        <v>26.89</v>
      </c>
      <c r="Q450" t="n">
        <v>21.79</v>
      </c>
      <c r="R450" t="n">
        <v>32.55</v>
      </c>
      <c r="S450" t="n">
        <v>84.83</v>
      </c>
      <c r="T450" t="n">
        <v>98.41</v>
      </c>
      <c r="U450" t="n">
        <v>17.88</v>
      </c>
      <c r="V450" t="inlineStr">
        <is>
          <t>Type I – Tropical Monsoon (PAGASA)</t>
        </is>
      </c>
      <c r="W450" t="inlineStr">
        <is>
          <t>Wet</t>
        </is>
      </c>
      <c r="X450" t="inlineStr">
        <is>
          <t>Wet</t>
        </is>
      </c>
      <c r="Y450" t="inlineStr">
        <is>
          <t>Sandy Loam</t>
        </is>
      </c>
      <c r="Z450" t="inlineStr">
        <is>
          <t>Flat / Lowland</t>
        </is>
      </c>
      <c r="AA450" t="n">
        <v>30</v>
      </c>
      <c r="AB450" t="inlineStr">
        <is>
          <t>Tagamusing River</t>
        </is>
      </c>
      <c r="AC450" t="n">
        <v>414.96</v>
      </c>
      <c r="AD450" t="n">
        <v>130.4</v>
      </c>
      <c r="AE450" t="n">
        <v>36.61</v>
      </c>
      <c r="AF450" t="n">
        <v>29.1</v>
      </c>
      <c r="AG450" t="inlineStr">
        <is>
          <t>Transplanting (Pindot) or Direct Seeding (Pinaghandaan)</t>
        </is>
      </c>
      <c r="AH450" t="inlineStr">
        <is>
          <t>Conventional Tillage: 2 plowings + 2 harrowings; soil workable when moist</t>
        </is>
      </c>
      <c r="AI450" t="inlineStr">
        <is>
          <t>Intermittent irrigation (Alternate Wetting and Drying — AWD); moderate retention</t>
        </is>
      </c>
      <c r="AJ450" t="n">
        <v>150.9</v>
      </c>
      <c r="AK450" t="n">
        <v>761.85</v>
      </c>
      <c r="AL450" t="n">
        <v>5.05</v>
      </c>
      <c r="AM450" t="inlineStr">
        <is>
          <t>No</t>
        </is>
      </c>
      <c r="AN450" t="inlineStr">
        <is>
          <t>Observed harvest</t>
        </is>
      </c>
    </row>
    <row r="451">
      <c r="A451" t="inlineStr">
        <is>
          <t>Palay</t>
        </is>
      </c>
      <c r="B451" t="inlineStr">
        <is>
          <t>San Felipe Central</t>
        </is>
      </c>
      <c r="C451" t="inlineStr">
        <is>
          <t>WS 2023</t>
        </is>
      </c>
      <c r="D451" t="inlineStr">
        <is>
          <t>June</t>
        </is>
      </c>
      <c r="E451" t="inlineStr">
        <is>
          <t>2023</t>
        </is>
      </c>
      <c r="F451" t="inlineStr">
        <is>
          <t>October</t>
        </is>
      </c>
      <c r="G451" t="inlineStr">
        <is>
          <t>2023</t>
        </is>
      </c>
      <c r="H451" t="n">
        <v>12.88</v>
      </c>
      <c r="I451" t="n">
        <v>27.25</v>
      </c>
      <c r="J451" t="n">
        <v>23.24</v>
      </c>
      <c r="K451" t="n">
        <v>32.84</v>
      </c>
      <c r="L451" t="n">
        <v>85.62</v>
      </c>
      <c r="M451" t="n">
        <v>98.18000000000001</v>
      </c>
      <c r="N451" t="n">
        <v>18.77</v>
      </c>
      <c r="O451" t="n">
        <v>6.18</v>
      </c>
      <c r="P451" t="n">
        <v>26.89</v>
      </c>
      <c r="Q451" t="n">
        <v>21.79</v>
      </c>
      <c r="R451" t="n">
        <v>32.55</v>
      </c>
      <c r="S451" t="n">
        <v>84.83</v>
      </c>
      <c r="T451" t="n">
        <v>98.41</v>
      </c>
      <c r="U451" t="n">
        <v>17.88</v>
      </c>
      <c r="V451" t="inlineStr">
        <is>
          <t>Type I – Tropical Monsoon (PAGASA)</t>
        </is>
      </c>
      <c r="W451" t="inlineStr">
        <is>
          <t>Wet</t>
        </is>
      </c>
      <c r="X451" t="inlineStr">
        <is>
          <t>Wet</t>
        </is>
      </c>
      <c r="Y451" t="inlineStr">
        <is>
          <t>Sandy Loam</t>
        </is>
      </c>
      <c r="Z451" t="inlineStr">
        <is>
          <t>Flat / Lowland</t>
        </is>
      </c>
      <c r="AA451" t="n">
        <v>30</v>
      </c>
      <c r="AB451" t="inlineStr">
        <is>
          <t>—</t>
        </is>
      </c>
      <c r="AC451" t="n">
        <v>452.76</v>
      </c>
      <c r="AD451" t="n">
        <v>130.4</v>
      </c>
      <c r="AE451" t="n">
        <v>37.71</v>
      </c>
      <c r="AF451" t="n">
        <v>62</v>
      </c>
      <c r="AG451" t="inlineStr">
        <is>
          <t>Transplanting (Pindot) or Direct Seeding (Pinaghandaan)</t>
        </is>
      </c>
      <c r="AH451" t="inlineStr">
        <is>
          <t>Conventional Tillage: 2 plowings + 2 harrowings; soil workable when moist</t>
        </is>
      </c>
      <c r="AI451" t="inlineStr">
        <is>
          <t>Intermittent irrigation (Alternate Wetting and Drying — AWD); moderate retention</t>
        </is>
      </c>
      <c r="AJ451" t="n">
        <v>117</v>
      </c>
      <c r="AK451" t="n">
        <v>537.83</v>
      </c>
      <c r="AL451" t="n">
        <v>4.6</v>
      </c>
      <c r="AM451" t="inlineStr">
        <is>
          <t>No</t>
        </is>
      </c>
      <c r="AN451" t="inlineStr">
        <is>
          <t>Observed harvest</t>
        </is>
      </c>
    </row>
    <row r="452">
      <c r="A452" t="inlineStr">
        <is>
          <t>Palay</t>
        </is>
      </c>
      <c r="B452" t="inlineStr">
        <is>
          <t>San Felipe Sur</t>
        </is>
      </c>
      <c r="C452" t="inlineStr">
        <is>
          <t>WS 2023</t>
        </is>
      </c>
      <c r="D452" t="inlineStr">
        <is>
          <t>June</t>
        </is>
      </c>
      <c r="E452" t="inlineStr">
        <is>
          <t>2023</t>
        </is>
      </c>
      <c r="F452" t="inlineStr">
        <is>
          <t>October</t>
        </is>
      </c>
      <c r="G452" t="inlineStr">
        <is>
          <t>2023</t>
        </is>
      </c>
      <c r="H452" t="n">
        <v>12.88</v>
      </c>
      <c r="I452" t="n">
        <v>27.25</v>
      </c>
      <c r="J452" t="n">
        <v>23.24</v>
      </c>
      <c r="K452" t="n">
        <v>32.84</v>
      </c>
      <c r="L452" t="n">
        <v>85.62</v>
      </c>
      <c r="M452" t="n">
        <v>98.18000000000001</v>
      </c>
      <c r="N452" t="n">
        <v>18.77</v>
      </c>
      <c r="O452" t="n">
        <v>6.18</v>
      </c>
      <c r="P452" t="n">
        <v>26.89</v>
      </c>
      <c r="Q452" t="n">
        <v>21.79</v>
      </c>
      <c r="R452" t="n">
        <v>32.55</v>
      </c>
      <c r="S452" t="n">
        <v>84.83</v>
      </c>
      <c r="T452" t="n">
        <v>98.41</v>
      </c>
      <c r="U452" t="n">
        <v>17.88</v>
      </c>
      <c r="V452" t="inlineStr">
        <is>
          <t>Type I – Tropical Monsoon (PAGASA)</t>
        </is>
      </c>
      <c r="W452" t="inlineStr">
        <is>
          <t>Wet</t>
        </is>
      </c>
      <c r="X452" t="inlineStr">
        <is>
          <t>Wet</t>
        </is>
      </c>
      <c r="Y452" t="inlineStr">
        <is>
          <t>Sandy Loam</t>
        </is>
      </c>
      <c r="Z452" t="inlineStr">
        <is>
          <t>Flat / Lowland</t>
        </is>
      </c>
      <c r="AA452" t="n">
        <v>30</v>
      </c>
      <c r="AB452" t="inlineStr">
        <is>
          <t>Tagamusing River</t>
        </is>
      </c>
      <c r="AC452" t="n">
        <v>504</v>
      </c>
      <c r="AD452" t="n">
        <v>130.4</v>
      </c>
      <c r="AE452" t="n">
        <v>38.87</v>
      </c>
      <c r="AF452" t="n">
        <v>50.5</v>
      </c>
      <c r="AG452" t="inlineStr">
        <is>
          <t>Transplanting (Pindot) or Direct Seeding (Pinaghandaan)</t>
        </is>
      </c>
      <c r="AH452" t="inlineStr">
        <is>
          <t>Conventional Tillage: 2 plowings + 2 harrowings; soil workable when moist</t>
        </is>
      </c>
      <c r="AI452" t="inlineStr">
        <is>
          <t>Intermittent irrigation (Alternate Wetting and Drying — AWD); moderate retention</t>
        </is>
      </c>
      <c r="AJ452" t="n">
        <v>127.5</v>
      </c>
      <c r="AK452" t="n">
        <v>744.6</v>
      </c>
      <c r="AL452" t="n">
        <v>5.84</v>
      </c>
      <c r="AM452" t="inlineStr">
        <is>
          <t>No</t>
        </is>
      </c>
      <c r="AN452" t="inlineStr">
        <is>
          <t>Observed harvest</t>
        </is>
      </c>
    </row>
    <row r="453">
      <c r="A453" t="inlineStr">
        <is>
          <t>Palay</t>
        </is>
      </c>
      <c r="B453" t="inlineStr">
        <is>
          <t>San Pablo</t>
        </is>
      </c>
      <c r="C453" t="inlineStr">
        <is>
          <t>WS 2023</t>
        </is>
      </c>
      <c r="D453" t="inlineStr">
        <is>
          <t>June</t>
        </is>
      </c>
      <c r="E453" t="inlineStr">
        <is>
          <t>2023</t>
        </is>
      </c>
      <c r="F453" t="inlineStr">
        <is>
          <t>October</t>
        </is>
      </c>
      <c r="G453" t="inlineStr">
        <is>
          <t>2023</t>
        </is>
      </c>
      <c r="H453" t="n">
        <v>12.88</v>
      </c>
      <c r="I453" t="n">
        <v>27.25</v>
      </c>
      <c r="J453" t="n">
        <v>23.24</v>
      </c>
      <c r="K453" t="n">
        <v>32.84</v>
      </c>
      <c r="L453" t="n">
        <v>85.62</v>
      </c>
      <c r="M453" t="n">
        <v>98.18000000000001</v>
      </c>
      <c r="N453" t="n">
        <v>18.77</v>
      </c>
      <c r="O453" t="n">
        <v>6.18</v>
      </c>
      <c r="P453" t="n">
        <v>26.89</v>
      </c>
      <c r="Q453" t="n">
        <v>21.79</v>
      </c>
      <c r="R453" t="n">
        <v>32.55</v>
      </c>
      <c r="S453" t="n">
        <v>84.83</v>
      </c>
      <c r="T453" t="n">
        <v>98.41</v>
      </c>
      <c r="U453" t="n">
        <v>17.88</v>
      </c>
      <c r="V453" t="inlineStr">
        <is>
          <t>Type I – Tropical Monsoon (PAGASA)</t>
        </is>
      </c>
      <c r="W453" t="inlineStr">
        <is>
          <t>Wet</t>
        </is>
      </c>
      <c r="X453" t="inlineStr">
        <is>
          <t>Wet</t>
        </is>
      </c>
      <c r="Y453" t="inlineStr">
        <is>
          <t>Sandy Loam</t>
        </is>
      </c>
      <c r="Z453" t="inlineStr">
        <is>
          <t>Flat / Lowland</t>
        </is>
      </c>
      <c r="AA453" t="n">
        <v>30</v>
      </c>
      <c r="AB453" t="inlineStr">
        <is>
          <t>San Pablo Creek</t>
        </is>
      </c>
      <c r="AC453" t="n">
        <v>215.04</v>
      </c>
      <c r="AD453" t="n">
        <v>53.09</v>
      </c>
      <c r="AE453" t="n">
        <v>38.17</v>
      </c>
      <c r="AF453" t="n">
        <v>30.5</v>
      </c>
      <c r="AG453" t="inlineStr">
        <is>
          <t>Transplanting (Pindot) or Direct Seeding (Pinaghandaan)</t>
        </is>
      </c>
      <c r="AH453" t="inlineStr">
        <is>
          <t>Conventional Tillage: 2 plowings + 2 harrowings; soil workable when moist</t>
        </is>
      </c>
      <c r="AI453" t="inlineStr">
        <is>
          <t>Intermittent irrigation (Alternate Wetting and Drying — AWD); moderate retention</t>
        </is>
      </c>
      <c r="AJ453" t="n">
        <v>103.5</v>
      </c>
      <c r="AK453" t="n">
        <v>492.65</v>
      </c>
      <c r="AL453" t="n">
        <v>4.76</v>
      </c>
      <c r="AM453" t="inlineStr">
        <is>
          <t>No</t>
        </is>
      </c>
      <c r="AN453" t="inlineStr">
        <is>
          <t>Observed harvest</t>
        </is>
      </c>
    </row>
    <row r="454">
      <c r="A454" t="inlineStr">
        <is>
          <t>Palay</t>
        </is>
      </c>
      <c r="B454" t="inlineStr">
        <is>
          <t>Santiago</t>
        </is>
      </c>
      <c r="C454" t="inlineStr">
        <is>
          <t>WS 2023</t>
        </is>
      </c>
      <c r="D454" t="inlineStr">
        <is>
          <t>June</t>
        </is>
      </c>
      <c r="E454" t="inlineStr">
        <is>
          <t>2023</t>
        </is>
      </c>
      <c r="F454" t="inlineStr">
        <is>
          <t>October</t>
        </is>
      </c>
      <c r="G454" t="inlineStr">
        <is>
          <t>2023</t>
        </is>
      </c>
      <c r="H454" t="n">
        <v>12.88</v>
      </c>
      <c r="I454" t="n">
        <v>27.25</v>
      </c>
      <c r="J454" t="n">
        <v>23.24</v>
      </c>
      <c r="K454" t="n">
        <v>32.84</v>
      </c>
      <c r="L454" t="n">
        <v>85.62</v>
      </c>
      <c r="M454" t="n">
        <v>98.18000000000001</v>
      </c>
      <c r="N454" t="n">
        <v>18.77</v>
      </c>
      <c r="O454" t="n">
        <v>6.18</v>
      </c>
      <c r="P454" t="n">
        <v>26.89</v>
      </c>
      <c r="Q454" t="n">
        <v>21.79</v>
      </c>
      <c r="R454" t="n">
        <v>32.55</v>
      </c>
      <c r="S454" t="n">
        <v>84.83</v>
      </c>
      <c r="T454" t="n">
        <v>98.41</v>
      </c>
      <c r="U454" t="n">
        <v>17.88</v>
      </c>
      <c r="V454" t="inlineStr">
        <is>
          <t>Type I – Tropical Monsoon (PAGASA)</t>
        </is>
      </c>
      <c r="W454" t="inlineStr">
        <is>
          <t>Wet</t>
        </is>
      </c>
      <c r="X454" t="inlineStr">
        <is>
          <t>Wet</t>
        </is>
      </c>
      <c r="Y454" t="inlineStr">
        <is>
          <t>Silty Clay Loam</t>
        </is>
      </c>
      <c r="Z454" t="inlineStr">
        <is>
          <t>Flat / Lowland</t>
        </is>
      </c>
      <c r="AA454" t="n">
        <v>30</v>
      </c>
      <c r="AB454" t="inlineStr">
        <is>
          <t>—</t>
        </is>
      </c>
      <c r="AC454" t="n">
        <v>283.08</v>
      </c>
      <c r="AD454" t="n">
        <v>130.4</v>
      </c>
      <c r="AE454" t="n">
        <v>116.29</v>
      </c>
      <c r="AF454" t="n">
        <v>144.9</v>
      </c>
      <c r="AG454" t="inlineStr">
        <is>
          <t>Transplanting (Pindot) — optimal for clay-loam paddy fields</t>
        </is>
      </c>
      <c r="AH454" t="inlineStr">
        <is>
          <t>Wet Tillage (Puddling): 2 plowings + thorough harrowing under flooded condition</t>
        </is>
      </c>
      <c r="AI454" t="inlineStr">
        <is>
          <t>Continuous flooding 2–5 cm depth during vegetative stage; drain 2 weeks before harvest</t>
        </is>
      </c>
      <c r="AJ454" t="n">
        <v>103.6</v>
      </c>
      <c r="AK454" t="n">
        <v>528.0700000000001</v>
      </c>
      <c r="AL454" t="n">
        <v>5.1</v>
      </c>
      <c r="AM454" t="inlineStr">
        <is>
          <t>No</t>
        </is>
      </c>
      <c r="AN454" t="inlineStr">
        <is>
          <t>Observed harvest</t>
        </is>
      </c>
    </row>
    <row r="455">
      <c r="A455" t="inlineStr">
        <is>
          <t>Palay</t>
        </is>
      </c>
      <c r="B455" t="inlineStr">
        <is>
          <t>Sta. Catalina</t>
        </is>
      </c>
      <c r="C455" t="inlineStr">
        <is>
          <t>WS 2023</t>
        </is>
      </c>
      <c r="D455" t="inlineStr">
        <is>
          <t>June</t>
        </is>
      </c>
      <c r="E455" t="inlineStr">
        <is>
          <t>2023</t>
        </is>
      </c>
      <c r="F455" t="inlineStr">
        <is>
          <t>October</t>
        </is>
      </c>
      <c r="G455" t="inlineStr">
        <is>
          <t>2023</t>
        </is>
      </c>
      <c r="H455" t="n">
        <v>12.88</v>
      </c>
      <c r="I455" t="n">
        <v>27.25</v>
      </c>
      <c r="J455" t="n">
        <v>23.24</v>
      </c>
      <c r="K455" t="n">
        <v>32.84</v>
      </c>
      <c r="L455" t="n">
        <v>85.62</v>
      </c>
      <c r="M455" t="n">
        <v>98.18000000000001</v>
      </c>
      <c r="N455" t="n">
        <v>18.77</v>
      </c>
      <c r="O455" t="n">
        <v>6.18</v>
      </c>
      <c r="P455" t="n">
        <v>26.89</v>
      </c>
      <c r="Q455" t="n">
        <v>21.79</v>
      </c>
      <c r="R455" t="n">
        <v>32.55</v>
      </c>
      <c r="S455" t="n">
        <v>84.83</v>
      </c>
      <c r="T455" t="n">
        <v>98.41</v>
      </c>
      <c r="U455" t="n">
        <v>17.88</v>
      </c>
      <c r="V455" t="inlineStr">
        <is>
          <t>Type I – Tropical Monsoon (PAGASA)</t>
        </is>
      </c>
      <c r="W455" t="inlineStr">
        <is>
          <t>Wet</t>
        </is>
      </c>
      <c r="X455" t="inlineStr">
        <is>
          <t>Wet</t>
        </is>
      </c>
      <c r="Y455" t="inlineStr">
        <is>
          <t>Fine Sand / Sandy Loam</t>
        </is>
      </c>
      <c r="Z455" t="inlineStr">
        <is>
          <t>Moderately Sloping / Highland</t>
        </is>
      </c>
      <c r="AA455" t="n">
        <v>90</v>
      </c>
      <c r="AB455" t="inlineStr">
        <is>
          <t>—</t>
        </is>
      </c>
      <c r="AC455" t="n">
        <v>709.8</v>
      </c>
      <c r="AD455" t="n">
        <v>65.5</v>
      </c>
      <c r="AE455" t="n">
        <v>158.1</v>
      </c>
      <c r="AF455" t="n">
        <v>180</v>
      </c>
      <c r="AG455" t="inlineStr">
        <is>
          <t>Transplanting (Pindot)</t>
        </is>
      </c>
      <c r="AH455" t="inlineStr">
        <is>
          <t>Minimum Tillage (avoid compaction; sandy structure fragile)</t>
        </is>
      </c>
      <c r="AI455" t="inlineStr">
        <is>
          <t>Continuous flooding or frequent irrigation; high percolation risk; terrace or bund-assisted water retention essential on slopes</t>
        </is>
      </c>
      <c r="AJ455" t="n">
        <v>49</v>
      </c>
      <c r="AK455" t="n">
        <v>237.31</v>
      </c>
      <c r="AL455" t="n">
        <v>4.84</v>
      </c>
      <c r="AM455" t="inlineStr">
        <is>
          <t>No</t>
        </is>
      </c>
      <c r="AN455" t="inlineStr">
        <is>
          <t>Observed harvest</t>
        </is>
      </c>
    </row>
    <row r="456">
      <c r="A456" t="inlineStr">
        <is>
          <t>Palay</t>
        </is>
      </c>
      <c r="B456" t="inlineStr">
        <is>
          <t>Sta. Maria Norte</t>
        </is>
      </c>
      <c r="C456" t="inlineStr">
        <is>
          <t>WS 2023</t>
        </is>
      </c>
      <c r="D456" t="inlineStr">
        <is>
          <t>June</t>
        </is>
      </c>
      <c r="E456" t="inlineStr">
        <is>
          <t>2023</t>
        </is>
      </c>
      <c r="F456" t="inlineStr">
        <is>
          <t>October</t>
        </is>
      </c>
      <c r="G456" t="inlineStr">
        <is>
          <t>2023</t>
        </is>
      </c>
      <c r="H456" t="n">
        <v>12.88</v>
      </c>
      <c r="I456" t="n">
        <v>27.25</v>
      </c>
      <c r="J456" t="n">
        <v>23.24</v>
      </c>
      <c r="K456" t="n">
        <v>32.84</v>
      </c>
      <c r="L456" t="n">
        <v>85.62</v>
      </c>
      <c r="M456" t="n">
        <v>98.18000000000001</v>
      </c>
      <c r="N456" t="n">
        <v>18.77</v>
      </c>
      <c r="O456" t="n">
        <v>6.18</v>
      </c>
      <c r="P456" t="n">
        <v>26.89</v>
      </c>
      <c r="Q456" t="n">
        <v>21.79</v>
      </c>
      <c r="R456" t="n">
        <v>32.55</v>
      </c>
      <c r="S456" t="n">
        <v>84.83</v>
      </c>
      <c r="T456" t="n">
        <v>98.41</v>
      </c>
      <c r="U456" t="n">
        <v>17.88</v>
      </c>
      <c r="V456" t="inlineStr">
        <is>
          <t>Type I – Tropical Monsoon (PAGASA)</t>
        </is>
      </c>
      <c r="W456" t="inlineStr">
        <is>
          <t>Wet</t>
        </is>
      </c>
      <c r="X456" t="inlineStr">
        <is>
          <t>Wet</t>
        </is>
      </c>
      <c r="Y456" t="inlineStr">
        <is>
          <t>Sandy Loam</t>
        </is>
      </c>
      <c r="Z456" t="inlineStr">
        <is>
          <t>Flat / Lowland</t>
        </is>
      </c>
      <c r="AA456" t="n">
        <v>30</v>
      </c>
      <c r="AB456" t="inlineStr">
        <is>
          <t>Tagamusing River</t>
        </is>
      </c>
      <c r="AC456" t="n">
        <v>157.08</v>
      </c>
      <c r="AD456" t="n">
        <v>30.49</v>
      </c>
      <c r="AE456" t="n">
        <v>39.11</v>
      </c>
      <c r="AF456" t="n">
        <v>43.5</v>
      </c>
      <c r="AG456" t="inlineStr">
        <is>
          <t>Transplanting (Pindot) or Direct Seeding (Pinaghandaan)</t>
        </is>
      </c>
      <c r="AH456" t="inlineStr">
        <is>
          <t>Conventional Tillage: 2 plowings + 2 harrowings; soil workable when moist</t>
        </is>
      </c>
      <c r="AI456" t="inlineStr">
        <is>
          <t>Intermittent irrigation (Alternate Wetting and Drying — AWD); moderate retention</t>
        </is>
      </c>
      <c r="AJ456" t="n">
        <v>24.5</v>
      </c>
      <c r="AK456" t="n">
        <v>128.17</v>
      </c>
      <c r="AL456" t="n">
        <v>5.23</v>
      </c>
      <c r="AM456" t="inlineStr">
        <is>
          <t>No</t>
        </is>
      </c>
      <c r="AN456" t="inlineStr">
        <is>
          <t>Observed harvest</t>
        </is>
      </c>
    </row>
    <row r="457">
      <c r="A457" t="inlineStr">
        <is>
          <t>Palay</t>
        </is>
      </c>
      <c r="B457" t="inlineStr">
        <is>
          <t>Sumabnit</t>
        </is>
      </c>
      <c r="C457" t="inlineStr">
        <is>
          <t>WS 2023</t>
        </is>
      </c>
      <c r="D457" t="inlineStr">
        <is>
          <t>June</t>
        </is>
      </c>
      <c r="E457" t="inlineStr">
        <is>
          <t>2023</t>
        </is>
      </c>
      <c r="F457" t="inlineStr">
        <is>
          <t>October</t>
        </is>
      </c>
      <c r="G457" t="inlineStr">
        <is>
          <t>2023</t>
        </is>
      </c>
      <c r="H457" t="n">
        <v>12.88</v>
      </c>
      <c r="I457" t="n">
        <v>27.25</v>
      </c>
      <c r="J457" t="n">
        <v>23.24</v>
      </c>
      <c r="K457" t="n">
        <v>32.84</v>
      </c>
      <c r="L457" t="n">
        <v>85.62</v>
      </c>
      <c r="M457" t="n">
        <v>98.18000000000001</v>
      </c>
      <c r="N457" t="n">
        <v>18.77</v>
      </c>
      <c r="O457" t="n">
        <v>6.18</v>
      </c>
      <c r="P457" t="n">
        <v>26.89</v>
      </c>
      <c r="Q457" t="n">
        <v>21.79</v>
      </c>
      <c r="R457" t="n">
        <v>32.55</v>
      </c>
      <c r="S457" t="n">
        <v>84.83</v>
      </c>
      <c r="T457" t="n">
        <v>98.41</v>
      </c>
      <c r="U457" t="n">
        <v>17.88</v>
      </c>
      <c r="V457" t="inlineStr">
        <is>
          <t>Type I – Tropical Monsoon (PAGASA)</t>
        </is>
      </c>
      <c r="W457" t="inlineStr">
        <is>
          <t>Wet</t>
        </is>
      </c>
      <c r="X457" t="inlineStr">
        <is>
          <t>Wet</t>
        </is>
      </c>
      <c r="Y457" t="inlineStr">
        <is>
          <t>Silty Clay Loam / Fine Sandy Loam</t>
        </is>
      </c>
      <c r="Z457" t="inlineStr">
        <is>
          <t>Flat / Lowland</t>
        </is>
      </c>
      <c r="AA457" t="n">
        <v>30</v>
      </c>
      <c r="AB457" t="inlineStr">
        <is>
          <t>Tagamusing River</t>
        </is>
      </c>
      <c r="AC457" t="n">
        <v>406.56</v>
      </c>
      <c r="AD457" t="n">
        <v>130.4</v>
      </c>
      <c r="AE457" t="n">
        <v>116.6</v>
      </c>
      <c r="AF457" t="n">
        <v>123.7</v>
      </c>
      <c r="AG457" t="inlineStr">
        <is>
          <t>Transplanting (Pindot)</t>
        </is>
      </c>
      <c r="AH457" t="inlineStr">
        <is>
          <t>Minimum Tillage (avoid compaction; sandy structure fragile)</t>
        </is>
      </c>
      <c r="AI457" t="inlineStr">
        <is>
          <t>Continuous flooding or frequent irrigation; high percolation risk</t>
        </is>
      </c>
      <c r="AJ457" t="n">
        <v>133.3</v>
      </c>
      <c r="AK457" t="n">
        <v>669.95</v>
      </c>
      <c r="AL457" t="n">
        <v>5.03</v>
      </c>
      <c r="AM457" t="inlineStr">
        <is>
          <t>No</t>
        </is>
      </c>
      <c r="AN457" t="inlineStr">
        <is>
          <t>Observed harvest</t>
        </is>
      </c>
    </row>
    <row r="458">
      <c r="A458" t="inlineStr">
        <is>
          <t>Palay</t>
        </is>
      </c>
      <c r="B458" t="inlineStr">
        <is>
          <t>Tabuyoc</t>
        </is>
      </c>
      <c r="C458" t="inlineStr">
        <is>
          <t>WS 2023</t>
        </is>
      </c>
      <c r="D458" t="inlineStr">
        <is>
          <t>June</t>
        </is>
      </c>
      <c r="E458" t="inlineStr">
        <is>
          <t>2023</t>
        </is>
      </c>
      <c r="F458" t="inlineStr">
        <is>
          <t>October</t>
        </is>
      </c>
      <c r="G458" t="inlineStr">
        <is>
          <t>2023</t>
        </is>
      </c>
      <c r="H458" t="n">
        <v>12.88</v>
      </c>
      <c r="I458" t="n">
        <v>27.25</v>
      </c>
      <c r="J458" t="n">
        <v>23.24</v>
      </c>
      <c r="K458" t="n">
        <v>32.84</v>
      </c>
      <c r="L458" t="n">
        <v>85.62</v>
      </c>
      <c r="M458" t="n">
        <v>98.18000000000001</v>
      </c>
      <c r="N458" t="n">
        <v>18.77</v>
      </c>
      <c r="O458" t="n">
        <v>6.18</v>
      </c>
      <c r="P458" t="n">
        <v>26.89</v>
      </c>
      <c r="Q458" t="n">
        <v>21.79</v>
      </c>
      <c r="R458" t="n">
        <v>32.55</v>
      </c>
      <c r="S458" t="n">
        <v>84.83</v>
      </c>
      <c r="T458" t="n">
        <v>98.41</v>
      </c>
      <c r="U458" t="n">
        <v>17.88</v>
      </c>
      <c r="V458" t="inlineStr">
        <is>
          <t>Type I – Tropical Monsoon (PAGASA)</t>
        </is>
      </c>
      <c r="W458" t="inlineStr">
        <is>
          <t>Wet</t>
        </is>
      </c>
      <c r="X458" t="inlineStr">
        <is>
          <t>Wet</t>
        </is>
      </c>
      <c r="Y458" t="inlineStr">
        <is>
          <t>Silty Clay Loam</t>
        </is>
      </c>
      <c r="Z458" t="inlineStr">
        <is>
          <t>Flat / Lowland</t>
        </is>
      </c>
      <c r="AA458" t="n">
        <v>30</v>
      </c>
      <c r="AB458" t="inlineStr">
        <is>
          <t>—</t>
        </is>
      </c>
      <c r="AC458" t="n">
        <v>277.2</v>
      </c>
      <c r="AD458" t="n">
        <v>130.4</v>
      </c>
      <c r="AE458" t="n">
        <v>80.19</v>
      </c>
      <c r="AF458" t="n">
        <v>5</v>
      </c>
      <c r="AG458" t="inlineStr">
        <is>
          <t>Transplanting (Pindot) — optimal for clay-loam paddy fields</t>
        </is>
      </c>
      <c r="AH458" t="inlineStr">
        <is>
          <t>Wet Tillage (Puddling): 2 plowings + thorough harrowing under flooded condition</t>
        </is>
      </c>
      <c r="AI458" t="inlineStr">
        <is>
          <t>Continuous flooding 2–5 cm depth during vegetative stage; drain 2 weeks before harvest</t>
        </is>
      </c>
      <c r="AJ458" t="n">
        <v>134</v>
      </c>
      <c r="AK458" t="n">
        <v>691.25</v>
      </c>
      <c r="AL458" t="n">
        <v>5.16</v>
      </c>
      <c r="AM458" t="inlineStr">
        <is>
          <t>No</t>
        </is>
      </c>
      <c r="AN458" t="inlineStr">
        <is>
          <t>Observed harvest</t>
        </is>
      </c>
    </row>
    <row r="459">
      <c r="A459" t="inlineStr">
        <is>
          <t>Palay</t>
        </is>
      </c>
      <c r="B459" t="inlineStr">
        <is>
          <t>Vacante</t>
        </is>
      </c>
      <c r="C459" t="inlineStr">
        <is>
          <t>WS 2023</t>
        </is>
      </c>
      <c r="D459" t="inlineStr">
        <is>
          <t>June</t>
        </is>
      </c>
      <c r="E459" t="inlineStr">
        <is>
          <t>2023</t>
        </is>
      </c>
      <c r="F459" t="inlineStr">
        <is>
          <t>October</t>
        </is>
      </c>
      <c r="G459" t="inlineStr">
        <is>
          <t>2023</t>
        </is>
      </c>
      <c r="H459" t="n">
        <v>12.88</v>
      </c>
      <c r="I459" t="n">
        <v>27.25</v>
      </c>
      <c r="J459" t="n">
        <v>23.24</v>
      </c>
      <c r="K459" t="n">
        <v>32.84</v>
      </c>
      <c r="L459" t="n">
        <v>85.62</v>
      </c>
      <c r="M459" t="n">
        <v>98.18000000000001</v>
      </c>
      <c r="N459" t="n">
        <v>18.77</v>
      </c>
      <c r="O459" t="n">
        <v>6.18</v>
      </c>
      <c r="P459" t="n">
        <v>26.89</v>
      </c>
      <c r="Q459" t="n">
        <v>21.79</v>
      </c>
      <c r="R459" t="n">
        <v>32.55</v>
      </c>
      <c r="S459" t="n">
        <v>84.83</v>
      </c>
      <c r="T459" t="n">
        <v>98.41</v>
      </c>
      <c r="U459" t="n">
        <v>17.88</v>
      </c>
      <c r="V459" t="inlineStr">
        <is>
          <t>Type I – Tropical Monsoon (PAGASA)</t>
        </is>
      </c>
      <c r="W459" t="inlineStr">
        <is>
          <t>Wet</t>
        </is>
      </c>
      <c r="X459" t="inlineStr">
        <is>
          <t>Wet</t>
        </is>
      </c>
      <c r="Y459" t="inlineStr">
        <is>
          <t>Silty Clay Loam</t>
        </is>
      </c>
      <c r="Z459" t="inlineStr">
        <is>
          <t>Flat / Lowland</t>
        </is>
      </c>
      <c r="AA459" t="n">
        <v>30</v>
      </c>
      <c r="AB459" t="inlineStr">
        <is>
          <t>Aloragat River</t>
        </is>
      </c>
      <c r="AC459" t="n">
        <v>484.68</v>
      </c>
      <c r="AD459" t="n">
        <v>24.5</v>
      </c>
      <c r="AE459" t="n">
        <v>116.6</v>
      </c>
      <c r="AF459" t="n">
        <v>81</v>
      </c>
      <c r="AG459" t="inlineStr">
        <is>
          <t>Transplanting (Pindot) — optimal for clay-loam paddy fields</t>
        </is>
      </c>
      <c r="AH459" t="inlineStr">
        <is>
          <t>Wet Tillage (Puddling): 2 plowings + thorough harrowing under flooded condition</t>
        </is>
      </c>
      <c r="AI459" t="inlineStr">
        <is>
          <t>Continuous flooding 2–5 cm depth during vegetative stage; drain 2 weeks before harvest</t>
        </is>
      </c>
      <c r="AJ459" t="n">
        <v>28</v>
      </c>
      <c r="AK459" t="n">
        <v>109.2</v>
      </c>
      <c r="AL459" t="n">
        <v>3.9</v>
      </c>
      <c r="AM459" t="inlineStr">
        <is>
          <t>No</t>
        </is>
      </c>
      <c r="AN459" t="inlineStr">
        <is>
          <t>Observed harvest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" customWidth="1" style="101" min="1" max="1"/>
    <col width="28" customWidth="1" style="101" min="2" max="2"/>
    <col width="12" customWidth="1" style="101" min="3" max="3"/>
    <col width="20" customWidth="1" style="101" min="4" max="4"/>
    <col width="17" customWidth="1" style="101" min="5" max="5"/>
    <col width="12" customWidth="1" style="101" min="6" max="8"/>
    <col width="20" customWidth="1" style="101" min="9" max="9"/>
  </cols>
  <sheetData>
    <row r="1" ht="42" customHeight="1" s="101">
      <c r="A1" s="99" t="inlineStr">
        <is>
          <t>Status</t>
        </is>
      </c>
      <c r="B1" s="99" t="inlineStr">
        <is>
          <t>Action</t>
        </is>
      </c>
      <c r="C1" s="99" t="inlineStr">
        <is>
          <t>Crop Type</t>
        </is>
      </c>
      <c r="D1" s="99" t="inlineStr">
        <is>
          <t>Barangay</t>
        </is>
      </c>
      <c r="E1" s="99" t="inlineStr">
        <is>
          <t>Season / Period</t>
        </is>
      </c>
      <c r="F1" s="99" t="inlineStr">
        <is>
          <t>Phase</t>
        </is>
      </c>
      <c r="G1" s="99" t="inlineStr">
        <is>
          <t>Month</t>
        </is>
      </c>
      <c r="H1" s="99" t="inlineStr">
        <is>
          <t>Year</t>
        </is>
      </c>
      <c r="I1" s="99" t="inlineStr">
        <is>
          <t>Imputed Yield</t>
        </is>
      </c>
    </row>
    <row r="2">
      <c r="A2" t="inlineStr">
        <is>
          <t>No harvest</t>
        </is>
      </c>
      <c r="B2" t="inlineStr">
        <is>
          <t>Kept; yield imputed</t>
        </is>
      </c>
      <c r="C2" t="inlineStr">
        <is>
          <t>Palay</t>
        </is>
      </c>
      <c r="D2" t="inlineStr">
        <is>
          <t>Balangobong</t>
        </is>
      </c>
      <c r="E2" t="inlineStr">
        <is>
          <t>DS 2009</t>
        </is>
      </c>
      <c r="F2" t="inlineStr">
        <is>
          <t>Planting</t>
        </is>
      </c>
      <c r="G2" t="inlineStr">
        <is>
          <t>January</t>
        </is>
      </c>
      <c r="H2" t="inlineStr">
        <is>
          <t>2009</t>
        </is>
      </c>
      <c r="I2" t="n">
        <v>4.6375</v>
      </c>
    </row>
    <row r="3">
      <c r="A3" t="inlineStr">
        <is>
          <t>No harvest</t>
        </is>
      </c>
      <c r="B3" t="inlineStr">
        <is>
          <t>Kept; yield imputed</t>
        </is>
      </c>
      <c r="C3" t="inlineStr">
        <is>
          <t>Palay</t>
        </is>
      </c>
      <c r="D3" t="inlineStr">
        <is>
          <t>Balangobong</t>
        </is>
      </c>
      <c r="E3" t="inlineStr">
        <is>
          <t>DS 2018</t>
        </is>
      </c>
      <c r="F3" t="inlineStr">
        <is>
          <t>Planting</t>
        </is>
      </c>
      <c r="G3" t="inlineStr">
        <is>
          <t>January</t>
        </is>
      </c>
      <c r="H3" t="inlineStr">
        <is>
          <t>2018</t>
        </is>
      </c>
      <c r="I3" t="n">
        <v>4.6375</v>
      </c>
    </row>
    <row r="4">
      <c r="A4" t="inlineStr">
        <is>
          <t>No harvest</t>
        </is>
      </c>
      <c r="B4" t="inlineStr">
        <is>
          <t>Kept; yield imputed</t>
        </is>
      </c>
      <c r="C4" t="inlineStr">
        <is>
          <t>Palay</t>
        </is>
      </c>
      <c r="D4" t="inlineStr">
        <is>
          <t>Balangobong</t>
        </is>
      </c>
      <c r="E4" t="inlineStr">
        <is>
          <t>WS 2015</t>
        </is>
      </c>
      <c r="F4" t="inlineStr">
        <is>
          <t>Planting</t>
        </is>
      </c>
      <c r="G4" t="inlineStr">
        <is>
          <t>June</t>
        </is>
      </c>
      <c r="H4" t="inlineStr">
        <is>
          <t>2015</t>
        </is>
      </c>
      <c r="I4" t="n">
        <v>4.6375</v>
      </c>
    </row>
    <row r="5">
      <c r="A5" t="inlineStr">
        <is>
          <t>No harvest</t>
        </is>
      </c>
      <c r="B5" t="inlineStr">
        <is>
          <t>Kept; yield imputed</t>
        </is>
      </c>
      <c r="C5" t="inlineStr">
        <is>
          <t>Palay</t>
        </is>
      </c>
      <c r="D5" t="inlineStr">
        <is>
          <t>Bued</t>
        </is>
      </c>
      <c r="E5" t="inlineStr">
        <is>
          <t>DS 2011</t>
        </is>
      </c>
      <c r="F5" t="inlineStr">
        <is>
          <t>Planting</t>
        </is>
      </c>
      <c r="G5" t="inlineStr">
        <is>
          <t>January</t>
        </is>
      </c>
      <c r="H5" t="inlineStr">
        <is>
          <t>2011</t>
        </is>
      </c>
      <c r="I5" t="n">
        <v>4.268</v>
      </c>
    </row>
    <row r="6">
      <c r="A6" t="inlineStr">
        <is>
          <t>No harvest</t>
        </is>
      </c>
      <c r="B6" t="inlineStr">
        <is>
          <t>Kept; yield imputed</t>
        </is>
      </c>
      <c r="C6" t="inlineStr">
        <is>
          <t>Palay</t>
        </is>
      </c>
      <c r="D6" t="inlineStr">
        <is>
          <t>Bued</t>
        </is>
      </c>
      <c r="E6" t="inlineStr">
        <is>
          <t>WS 2015</t>
        </is>
      </c>
      <c r="F6" t="inlineStr">
        <is>
          <t>Planting</t>
        </is>
      </c>
      <c r="G6" t="inlineStr">
        <is>
          <t>June</t>
        </is>
      </c>
      <c r="H6" t="inlineStr">
        <is>
          <t>2015</t>
        </is>
      </c>
      <c r="I6" t="n">
        <v>4.268</v>
      </c>
    </row>
    <row r="7">
      <c r="A7" t="inlineStr">
        <is>
          <t>No harvest</t>
        </is>
      </c>
      <c r="B7" t="inlineStr">
        <is>
          <t>Kept; yield imputed</t>
        </is>
      </c>
      <c r="C7" t="inlineStr">
        <is>
          <t>Palay</t>
        </is>
      </c>
      <c r="D7" t="inlineStr">
        <is>
          <t>Bugayong</t>
        </is>
      </c>
      <c r="E7" t="inlineStr">
        <is>
          <t>DS 2009</t>
        </is>
      </c>
      <c r="F7" t="inlineStr">
        <is>
          <t>Planting</t>
        </is>
      </c>
      <c r="G7" t="inlineStr">
        <is>
          <t>January</t>
        </is>
      </c>
      <c r="H7" t="inlineStr">
        <is>
          <t>2009</t>
        </is>
      </c>
      <c r="I7" t="n">
        <v>4.94</v>
      </c>
    </row>
    <row r="8">
      <c r="A8" t="inlineStr">
        <is>
          <t>No harvest</t>
        </is>
      </c>
      <c r="B8" t="inlineStr">
        <is>
          <t>Kept; yield imputed</t>
        </is>
      </c>
      <c r="C8" t="inlineStr">
        <is>
          <t>Palay</t>
        </is>
      </c>
      <c r="D8" t="inlineStr">
        <is>
          <t>Bugayong</t>
        </is>
      </c>
      <c r="E8" t="inlineStr">
        <is>
          <t>DS 2018</t>
        </is>
      </c>
      <c r="F8" t="inlineStr">
        <is>
          <t>Planting</t>
        </is>
      </c>
      <c r="G8" t="inlineStr">
        <is>
          <t>January</t>
        </is>
      </c>
      <c r="H8" t="inlineStr">
        <is>
          <t>2018</t>
        </is>
      </c>
      <c r="I8" t="n">
        <v>4.94</v>
      </c>
    </row>
    <row r="9">
      <c r="A9" t="inlineStr">
        <is>
          <t>No harvest</t>
        </is>
      </c>
      <c r="B9" t="inlineStr">
        <is>
          <t>Kept; yield imputed</t>
        </is>
      </c>
      <c r="C9" t="inlineStr">
        <is>
          <t>Palay</t>
        </is>
      </c>
      <c r="D9" t="inlineStr">
        <is>
          <t>Bugayong</t>
        </is>
      </c>
      <c r="E9" t="inlineStr">
        <is>
          <t>WS 2015</t>
        </is>
      </c>
      <c r="F9" t="inlineStr">
        <is>
          <t>Planting</t>
        </is>
      </c>
      <c r="G9" t="inlineStr">
        <is>
          <t>June</t>
        </is>
      </c>
      <c r="H9" t="inlineStr">
        <is>
          <t>2015</t>
        </is>
      </c>
      <c r="I9" t="n">
        <v>4.94</v>
      </c>
    </row>
    <row r="10">
      <c r="A10" t="inlineStr">
        <is>
          <t>No harvest</t>
        </is>
      </c>
      <c r="B10" t="inlineStr">
        <is>
          <t>Kept; yield imputed</t>
        </is>
      </c>
      <c r="C10" t="inlineStr">
        <is>
          <t>Palay</t>
        </is>
      </c>
      <c r="D10" t="inlineStr">
        <is>
          <t>Camanggaan</t>
        </is>
      </c>
      <c r="E10" t="inlineStr">
        <is>
          <t>DS 2009</t>
        </is>
      </c>
      <c r="F10" t="inlineStr">
        <is>
          <t>Planting</t>
        </is>
      </c>
      <c r="G10" t="inlineStr">
        <is>
          <t>January</t>
        </is>
      </c>
      <c r="H10" t="inlineStr">
        <is>
          <t>2009</t>
        </is>
      </c>
      <c r="I10" t="n">
        <v>4.913125</v>
      </c>
    </row>
    <row r="11">
      <c r="A11" t="inlineStr">
        <is>
          <t>No harvest</t>
        </is>
      </c>
      <c r="B11" t="inlineStr">
        <is>
          <t>Kept; yield imputed</t>
        </is>
      </c>
      <c r="C11" t="inlineStr">
        <is>
          <t>Palay</t>
        </is>
      </c>
      <c r="D11" t="inlineStr">
        <is>
          <t>Camanggaan</t>
        </is>
      </c>
      <c r="E11" t="inlineStr">
        <is>
          <t>DS 2018</t>
        </is>
      </c>
      <c r="F11" t="inlineStr">
        <is>
          <t>Planting</t>
        </is>
      </c>
      <c r="G11" t="inlineStr">
        <is>
          <t>January</t>
        </is>
      </c>
      <c r="H11" t="inlineStr">
        <is>
          <t>2018</t>
        </is>
      </c>
      <c r="I11" t="n">
        <v>4.913125</v>
      </c>
    </row>
    <row r="12">
      <c r="A12" t="inlineStr">
        <is>
          <t>No harvest</t>
        </is>
      </c>
      <c r="B12" t="inlineStr">
        <is>
          <t>Kept; yield imputed</t>
        </is>
      </c>
      <c r="C12" t="inlineStr">
        <is>
          <t>Palay</t>
        </is>
      </c>
      <c r="D12" t="inlineStr">
        <is>
          <t>Camanggaan</t>
        </is>
      </c>
      <c r="E12" t="inlineStr">
        <is>
          <t>WS 2015</t>
        </is>
      </c>
      <c r="F12" t="inlineStr">
        <is>
          <t>Planting</t>
        </is>
      </c>
      <c r="G12" t="inlineStr">
        <is>
          <t>June</t>
        </is>
      </c>
      <c r="H12" t="inlineStr">
        <is>
          <t>2015</t>
        </is>
      </c>
      <c r="I12" t="n">
        <v>4.913125</v>
      </c>
    </row>
    <row r="13">
      <c r="A13" t="inlineStr">
        <is>
          <t>No harvest</t>
        </is>
      </c>
      <c r="B13" t="inlineStr">
        <is>
          <t>Kept; yield imputed</t>
        </is>
      </c>
      <c r="C13" t="inlineStr">
        <is>
          <t>Palay</t>
        </is>
      </c>
      <c r="D13" t="inlineStr">
        <is>
          <t>Capas</t>
        </is>
      </c>
      <c r="E13" t="inlineStr">
        <is>
          <t>DS 2009</t>
        </is>
      </c>
      <c r="F13" t="inlineStr">
        <is>
          <t>Planting</t>
        </is>
      </c>
      <c r="G13" t="inlineStr">
        <is>
          <t>January</t>
        </is>
      </c>
      <c r="H13" t="inlineStr">
        <is>
          <t>2009</t>
        </is>
      </c>
      <c r="I13" t="n">
        <v>5.768750000000001</v>
      </c>
    </row>
    <row r="14">
      <c r="A14" t="inlineStr">
        <is>
          <t>No harvest</t>
        </is>
      </c>
      <c r="B14" t="inlineStr">
        <is>
          <t>Kept; yield imputed</t>
        </is>
      </c>
      <c r="C14" t="inlineStr">
        <is>
          <t>Palay</t>
        </is>
      </c>
      <c r="D14" t="inlineStr">
        <is>
          <t>Capas</t>
        </is>
      </c>
      <c r="E14" t="inlineStr">
        <is>
          <t>DS 2018</t>
        </is>
      </c>
      <c r="F14" t="inlineStr">
        <is>
          <t>Planting</t>
        </is>
      </c>
      <c r="G14" t="inlineStr">
        <is>
          <t>January</t>
        </is>
      </c>
      <c r="H14" t="inlineStr">
        <is>
          <t>2018</t>
        </is>
      </c>
      <c r="I14" t="n">
        <v>5.768750000000001</v>
      </c>
    </row>
    <row r="15">
      <c r="A15" t="inlineStr">
        <is>
          <t>No harvest</t>
        </is>
      </c>
      <c r="B15" t="inlineStr">
        <is>
          <t>Kept; yield imputed</t>
        </is>
      </c>
      <c r="C15" t="inlineStr">
        <is>
          <t>Palay</t>
        </is>
      </c>
      <c r="D15" t="inlineStr">
        <is>
          <t>Capas</t>
        </is>
      </c>
      <c r="E15" t="inlineStr">
        <is>
          <t>WS 2015</t>
        </is>
      </c>
      <c r="F15" t="inlineStr">
        <is>
          <t>Planting</t>
        </is>
      </c>
      <c r="G15" t="inlineStr">
        <is>
          <t>June</t>
        </is>
      </c>
      <c r="H15" t="inlineStr">
        <is>
          <t>2015</t>
        </is>
      </c>
      <c r="I15" t="n">
        <v>5.768750000000001</v>
      </c>
    </row>
    <row r="16">
      <c r="A16" t="inlineStr">
        <is>
          <t>No harvest</t>
        </is>
      </c>
      <c r="B16" t="inlineStr">
        <is>
          <t>Kept; yield imputed</t>
        </is>
      </c>
      <c r="C16" t="inlineStr">
        <is>
          <t>Palay</t>
        </is>
      </c>
      <c r="D16" t="inlineStr">
        <is>
          <t>Cili</t>
        </is>
      </c>
      <c r="E16" t="inlineStr">
        <is>
          <t>DS 2009</t>
        </is>
      </c>
      <c r="F16" t="inlineStr">
        <is>
          <t>Planting</t>
        </is>
      </c>
      <c r="G16" t="inlineStr">
        <is>
          <t>January</t>
        </is>
      </c>
      <c r="H16" t="inlineStr">
        <is>
          <t>2009</t>
        </is>
      </c>
      <c r="I16" t="n">
        <v>3.386153846153846</v>
      </c>
    </row>
    <row r="17">
      <c r="A17" t="inlineStr">
        <is>
          <t>No harvest</t>
        </is>
      </c>
      <c r="B17" t="inlineStr">
        <is>
          <t>Kept; yield imputed</t>
        </is>
      </c>
      <c r="C17" t="inlineStr">
        <is>
          <t>Palay</t>
        </is>
      </c>
      <c r="D17" t="inlineStr">
        <is>
          <t>Cili</t>
        </is>
      </c>
      <c r="E17" t="inlineStr">
        <is>
          <t>WS 2015</t>
        </is>
      </c>
      <c r="F17" t="inlineStr">
        <is>
          <t>Planting</t>
        </is>
      </c>
      <c r="G17" t="inlineStr">
        <is>
          <t>June</t>
        </is>
      </c>
      <c r="H17" t="inlineStr">
        <is>
          <t>2015</t>
        </is>
      </c>
      <c r="I17" t="n">
        <v>3.386153846153846</v>
      </c>
    </row>
    <row r="18">
      <c r="A18" t="inlineStr">
        <is>
          <t>No harvest</t>
        </is>
      </c>
      <c r="B18" t="inlineStr">
        <is>
          <t>Kept; yield imputed</t>
        </is>
      </c>
      <c r="C18" t="inlineStr">
        <is>
          <t>Palay</t>
        </is>
      </c>
      <c r="D18" t="inlineStr">
        <is>
          <t>Dumayat</t>
        </is>
      </c>
      <c r="E18" t="inlineStr">
        <is>
          <t>DS 2011</t>
        </is>
      </c>
      <c r="F18" t="inlineStr">
        <is>
          <t>Planting</t>
        </is>
      </c>
      <c r="G18" t="inlineStr">
        <is>
          <t>January</t>
        </is>
      </c>
      <c r="H18" t="inlineStr">
        <is>
          <t>2011</t>
        </is>
      </c>
      <c r="I18" t="n">
        <v>3.111</v>
      </c>
    </row>
    <row r="19">
      <c r="A19" t="inlineStr">
        <is>
          <t>No harvest</t>
        </is>
      </c>
      <c r="B19" t="inlineStr">
        <is>
          <t>Kept; yield imputed</t>
        </is>
      </c>
      <c r="C19" t="inlineStr">
        <is>
          <t>Palay</t>
        </is>
      </c>
      <c r="D19" t="inlineStr">
        <is>
          <t>Dumayat</t>
        </is>
      </c>
      <c r="E19" t="inlineStr">
        <is>
          <t>WS 2015</t>
        </is>
      </c>
      <c r="F19" t="inlineStr">
        <is>
          <t>Planting</t>
        </is>
      </c>
      <c r="G19" t="inlineStr">
        <is>
          <t>June</t>
        </is>
      </c>
      <c r="H19" t="inlineStr">
        <is>
          <t>2015</t>
        </is>
      </c>
      <c r="I19" t="n">
        <v>3.111</v>
      </c>
    </row>
    <row r="20">
      <c r="A20" t="inlineStr">
        <is>
          <t>No harvest</t>
        </is>
      </c>
      <c r="B20" t="inlineStr">
        <is>
          <t>Kept; yield imputed</t>
        </is>
      </c>
      <c r="C20" t="inlineStr">
        <is>
          <t>Palay</t>
        </is>
      </c>
      <c r="D20" t="inlineStr">
        <is>
          <t>Linmansangan</t>
        </is>
      </c>
      <c r="E20" t="inlineStr">
        <is>
          <t>DS 2011</t>
        </is>
      </c>
      <c r="F20" t="inlineStr">
        <is>
          <t>Planting</t>
        </is>
      </c>
      <c r="G20" t="inlineStr">
        <is>
          <t>January</t>
        </is>
      </c>
      <c r="H20" t="inlineStr">
        <is>
          <t>2011</t>
        </is>
      </c>
      <c r="I20" t="n">
        <v>2.436</v>
      </c>
    </row>
    <row r="21">
      <c r="A21" t="inlineStr">
        <is>
          <t>No harvest</t>
        </is>
      </c>
      <c r="B21" t="inlineStr">
        <is>
          <t>Kept; yield imputed</t>
        </is>
      </c>
      <c r="C21" t="inlineStr">
        <is>
          <t>Palay</t>
        </is>
      </c>
      <c r="D21" t="inlineStr">
        <is>
          <t>Linmansangan</t>
        </is>
      </c>
      <c r="E21" t="inlineStr">
        <is>
          <t>WS 2015</t>
        </is>
      </c>
      <c r="F21" t="inlineStr">
        <is>
          <t>Planting</t>
        </is>
      </c>
      <c r="G21" t="inlineStr">
        <is>
          <t>June</t>
        </is>
      </c>
      <c r="H21" t="inlineStr">
        <is>
          <t>2015</t>
        </is>
      </c>
      <c r="I21" t="n">
        <v>2.436</v>
      </c>
    </row>
    <row r="22">
      <c r="A22" t="inlineStr">
        <is>
          <t>No harvest</t>
        </is>
      </c>
      <c r="B22" t="inlineStr">
        <is>
          <t>Kept; yield imputed</t>
        </is>
      </c>
      <c r="C22" t="inlineStr">
        <is>
          <t>Palay</t>
        </is>
      </c>
      <c r="D22" t="inlineStr">
        <is>
          <t>Mangkasuy</t>
        </is>
      </c>
      <c r="E22" t="inlineStr">
        <is>
          <t>DS 2009</t>
        </is>
      </c>
      <c r="F22" t="inlineStr">
        <is>
          <t>Planting</t>
        </is>
      </c>
      <c r="G22" t="inlineStr">
        <is>
          <t>January</t>
        </is>
      </c>
      <c r="H22" t="inlineStr">
        <is>
          <t>2009</t>
        </is>
      </c>
      <c r="I22" t="n">
        <v>4.494375</v>
      </c>
    </row>
    <row r="23">
      <c r="A23" t="inlineStr">
        <is>
          <t>No harvest</t>
        </is>
      </c>
      <c r="B23" t="inlineStr">
        <is>
          <t>Kept; yield imputed</t>
        </is>
      </c>
      <c r="C23" t="inlineStr">
        <is>
          <t>Palay</t>
        </is>
      </c>
      <c r="D23" t="inlineStr">
        <is>
          <t>Mangkasuy</t>
        </is>
      </c>
      <c r="E23" t="inlineStr">
        <is>
          <t>DS 2018</t>
        </is>
      </c>
      <c r="F23" t="inlineStr">
        <is>
          <t>Planting</t>
        </is>
      </c>
      <c r="G23" t="inlineStr">
        <is>
          <t>January</t>
        </is>
      </c>
      <c r="H23" t="inlineStr">
        <is>
          <t>2018</t>
        </is>
      </c>
      <c r="I23" t="n">
        <v>4.494375</v>
      </c>
    </row>
    <row r="24">
      <c r="A24" t="inlineStr">
        <is>
          <t>No harvest</t>
        </is>
      </c>
      <c r="B24" t="inlineStr">
        <is>
          <t>Kept; yield imputed</t>
        </is>
      </c>
      <c r="C24" t="inlineStr">
        <is>
          <t>Palay</t>
        </is>
      </c>
      <c r="D24" t="inlineStr">
        <is>
          <t>Mangkasuy</t>
        </is>
      </c>
      <c r="E24" t="inlineStr">
        <is>
          <t>WS 2015</t>
        </is>
      </c>
      <c r="F24" t="inlineStr">
        <is>
          <t>Planting</t>
        </is>
      </c>
      <c r="G24" t="inlineStr">
        <is>
          <t>June</t>
        </is>
      </c>
      <c r="H24" t="inlineStr">
        <is>
          <t>2015</t>
        </is>
      </c>
      <c r="I24" t="n">
        <v>4.494375</v>
      </c>
    </row>
    <row r="25">
      <c r="A25" t="inlineStr">
        <is>
          <t>No harvest</t>
        </is>
      </c>
      <c r="B25" t="inlineStr">
        <is>
          <t>Kept; yield imputed</t>
        </is>
      </c>
      <c r="C25" t="inlineStr">
        <is>
          <t>Palay</t>
        </is>
      </c>
      <c r="D25" t="inlineStr">
        <is>
          <t>Moreno</t>
        </is>
      </c>
      <c r="E25" t="inlineStr">
        <is>
          <t>DS 2011</t>
        </is>
      </c>
      <c r="F25" t="inlineStr">
        <is>
          <t>Planting</t>
        </is>
      </c>
      <c r="G25" t="inlineStr">
        <is>
          <t>January</t>
        </is>
      </c>
      <c r="H25" t="inlineStr">
        <is>
          <t>2011</t>
        </is>
      </c>
      <c r="I25" t="n">
        <v>4.684545454545455</v>
      </c>
    </row>
    <row r="26">
      <c r="A26" t="inlineStr">
        <is>
          <t>No harvest</t>
        </is>
      </c>
      <c r="B26" t="inlineStr">
        <is>
          <t>Kept; yield imputed</t>
        </is>
      </c>
      <c r="C26" t="inlineStr">
        <is>
          <t>Palay</t>
        </is>
      </c>
      <c r="D26" t="inlineStr">
        <is>
          <t>Moreno</t>
        </is>
      </c>
      <c r="E26" t="inlineStr">
        <is>
          <t>DS 2018</t>
        </is>
      </c>
      <c r="F26" t="inlineStr">
        <is>
          <t>Planting</t>
        </is>
      </c>
      <c r="G26" t="inlineStr">
        <is>
          <t>January</t>
        </is>
      </c>
      <c r="H26" t="inlineStr">
        <is>
          <t>2018</t>
        </is>
      </c>
      <c r="I26" t="n">
        <v>4.684545454545455</v>
      </c>
    </row>
    <row r="27">
      <c r="A27" t="inlineStr">
        <is>
          <t>No harvest</t>
        </is>
      </c>
      <c r="B27" t="inlineStr">
        <is>
          <t>Kept; yield imputed</t>
        </is>
      </c>
      <c r="C27" t="inlineStr">
        <is>
          <t>Palay</t>
        </is>
      </c>
      <c r="D27" t="inlineStr">
        <is>
          <t>Moreno</t>
        </is>
      </c>
      <c r="E27" t="inlineStr">
        <is>
          <t>WS 2015</t>
        </is>
      </c>
      <c r="F27" t="inlineStr">
        <is>
          <t>Planting</t>
        </is>
      </c>
      <c r="G27" t="inlineStr">
        <is>
          <t>June</t>
        </is>
      </c>
      <c r="H27" t="inlineStr">
        <is>
          <t>2015</t>
        </is>
      </c>
      <c r="I27" t="n">
        <v>4.684545454545455</v>
      </c>
    </row>
    <row r="28">
      <c r="A28" t="inlineStr">
        <is>
          <t>No harvest</t>
        </is>
      </c>
      <c r="B28" t="inlineStr">
        <is>
          <t>Kept; yield imputed</t>
        </is>
      </c>
      <c r="C28" t="inlineStr">
        <is>
          <t>Palay</t>
        </is>
      </c>
      <c r="D28" t="inlineStr">
        <is>
          <t>Pasileng Norte</t>
        </is>
      </c>
      <c r="E28" t="inlineStr">
        <is>
          <t>DS 2009</t>
        </is>
      </c>
      <c r="F28" t="inlineStr">
        <is>
          <t>Planting</t>
        </is>
      </c>
      <c r="G28" t="inlineStr">
        <is>
          <t>January</t>
        </is>
      </c>
      <c r="H28" t="inlineStr">
        <is>
          <t>2009</t>
        </is>
      </c>
      <c r="I28" t="n">
        <v>5.75125</v>
      </c>
    </row>
    <row r="29">
      <c r="A29" t="inlineStr">
        <is>
          <t>No harvest</t>
        </is>
      </c>
      <c r="B29" t="inlineStr">
        <is>
          <t>Kept; yield imputed</t>
        </is>
      </c>
      <c r="C29" t="inlineStr">
        <is>
          <t>Palay</t>
        </is>
      </c>
      <c r="D29" t="inlineStr">
        <is>
          <t>Pasileng Norte</t>
        </is>
      </c>
      <c r="E29" t="inlineStr">
        <is>
          <t>DS 2018</t>
        </is>
      </c>
      <c r="F29" t="inlineStr">
        <is>
          <t>Planting</t>
        </is>
      </c>
      <c r="G29" t="inlineStr">
        <is>
          <t>January</t>
        </is>
      </c>
      <c r="H29" t="inlineStr">
        <is>
          <t>2018</t>
        </is>
      </c>
      <c r="I29" t="n">
        <v>5.75125</v>
      </c>
    </row>
    <row r="30">
      <c r="A30" t="inlineStr">
        <is>
          <t>No harvest</t>
        </is>
      </c>
      <c r="B30" t="inlineStr">
        <is>
          <t>Kept; yield imputed</t>
        </is>
      </c>
      <c r="C30" t="inlineStr">
        <is>
          <t>Palay</t>
        </is>
      </c>
      <c r="D30" t="inlineStr">
        <is>
          <t>Pasileng Norte</t>
        </is>
      </c>
      <c r="E30" t="inlineStr">
        <is>
          <t>WS 2015</t>
        </is>
      </c>
      <c r="F30" t="inlineStr">
        <is>
          <t>Planting</t>
        </is>
      </c>
      <c r="G30" t="inlineStr">
        <is>
          <t>June</t>
        </is>
      </c>
      <c r="H30" t="inlineStr">
        <is>
          <t>2015</t>
        </is>
      </c>
      <c r="I30" t="n">
        <v>5.75125</v>
      </c>
    </row>
    <row r="31">
      <c r="A31" t="inlineStr">
        <is>
          <t>No harvest</t>
        </is>
      </c>
      <c r="B31" t="inlineStr">
        <is>
          <t>Kept; yield imputed</t>
        </is>
      </c>
      <c r="C31" t="inlineStr">
        <is>
          <t>Palay</t>
        </is>
      </c>
      <c r="D31" t="inlineStr">
        <is>
          <t>Pasileng Sur</t>
        </is>
      </c>
      <c r="E31" t="inlineStr">
        <is>
          <t>DS 2009</t>
        </is>
      </c>
      <c r="F31" t="inlineStr">
        <is>
          <t>Planting</t>
        </is>
      </c>
      <c r="G31" t="inlineStr">
        <is>
          <t>January</t>
        </is>
      </c>
      <c r="H31" t="inlineStr">
        <is>
          <t>2009</t>
        </is>
      </c>
      <c r="I31" t="n">
        <v>5.21</v>
      </c>
    </row>
    <row r="32">
      <c r="A32" t="inlineStr">
        <is>
          <t>No harvest</t>
        </is>
      </c>
      <c r="B32" t="inlineStr">
        <is>
          <t>Kept; yield imputed</t>
        </is>
      </c>
      <c r="C32" t="inlineStr">
        <is>
          <t>Palay</t>
        </is>
      </c>
      <c r="D32" t="inlineStr">
        <is>
          <t>Pasileng Sur</t>
        </is>
      </c>
      <c r="E32" t="inlineStr">
        <is>
          <t>DS 2018</t>
        </is>
      </c>
      <c r="F32" t="inlineStr">
        <is>
          <t>Planting</t>
        </is>
      </c>
      <c r="G32" t="inlineStr">
        <is>
          <t>January</t>
        </is>
      </c>
      <c r="H32" t="inlineStr">
        <is>
          <t>2018</t>
        </is>
      </c>
      <c r="I32" t="n">
        <v>5.21</v>
      </c>
    </row>
    <row r="33">
      <c r="A33" t="inlineStr">
        <is>
          <t>No harvest</t>
        </is>
      </c>
      <c r="B33" t="inlineStr">
        <is>
          <t>Kept; yield imputed</t>
        </is>
      </c>
      <c r="C33" t="inlineStr">
        <is>
          <t>Palay</t>
        </is>
      </c>
      <c r="D33" t="inlineStr">
        <is>
          <t>Pasileng Sur</t>
        </is>
      </c>
      <c r="E33" t="inlineStr">
        <is>
          <t>WS 2015</t>
        </is>
      </c>
      <c r="F33" t="inlineStr">
        <is>
          <t>Planting</t>
        </is>
      </c>
      <c r="G33" t="inlineStr">
        <is>
          <t>June</t>
        </is>
      </c>
      <c r="H33" t="inlineStr">
        <is>
          <t>2015</t>
        </is>
      </c>
      <c r="I33" t="n">
        <v>5.21</v>
      </c>
    </row>
    <row r="34">
      <c r="A34" t="inlineStr">
        <is>
          <t>No harvest</t>
        </is>
      </c>
      <c r="B34" t="inlineStr">
        <is>
          <t>Kept; yield imputed</t>
        </is>
      </c>
      <c r="C34" t="inlineStr">
        <is>
          <t>Palay</t>
        </is>
      </c>
      <c r="D34" t="inlineStr">
        <is>
          <t>San Felipe Central</t>
        </is>
      </c>
      <c r="E34" t="inlineStr">
        <is>
          <t>DS 2009</t>
        </is>
      </c>
      <c r="F34" t="inlineStr">
        <is>
          <t>Planting</t>
        </is>
      </c>
      <c r="G34" t="inlineStr">
        <is>
          <t>January</t>
        </is>
      </c>
      <c r="H34" t="inlineStr">
        <is>
          <t>2009</t>
        </is>
      </c>
      <c r="I34" t="n">
        <v>4.781999999999999</v>
      </c>
    </row>
    <row r="35">
      <c r="A35" t="inlineStr">
        <is>
          <t>No harvest</t>
        </is>
      </c>
      <c r="B35" t="inlineStr">
        <is>
          <t>Kept; yield imputed</t>
        </is>
      </c>
      <c r="C35" t="inlineStr">
        <is>
          <t>Palay</t>
        </is>
      </c>
      <c r="D35" t="inlineStr">
        <is>
          <t>San Felipe Central</t>
        </is>
      </c>
      <c r="E35" t="inlineStr">
        <is>
          <t>DS 2018</t>
        </is>
      </c>
      <c r="F35" t="inlineStr">
        <is>
          <t>Planting</t>
        </is>
      </c>
      <c r="G35" t="inlineStr">
        <is>
          <t>January</t>
        </is>
      </c>
      <c r="H35" t="inlineStr">
        <is>
          <t>2018</t>
        </is>
      </c>
      <c r="I35" t="n">
        <v>4.781999999999999</v>
      </c>
    </row>
    <row r="36">
      <c r="A36" t="inlineStr">
        <is>
          <t>No harvest</t>
        </is>
      </c>
      <c r="B36" t="inlineStr">
        <is>
          <t>Kept; yield imputed</t>
        </is>
      </c>
      <c r="C36" t="inlineStr">
        <is>
          <t>Palay</t>
        </is>
      </c>
      <c r="D36" t="inlineStr">
        <is>
          <t>San Felipe Central</t>
        </is>
      </c>
      <c r="E36" t="inlineStr">
        <is>
          <t>WS 2015</t>
        </is>
      </c>
      <c r="F36" t="inlineStr">
        <is>
          <t>Planting</t>
        </is>
      </c>
      <c r="G36" t="inlineStr">
        <is>
          <t>June</t>
        </is>
      </c>
      <c r="H36" t="inlineStr">
        <is>
          <t>2015</t>
        </is>
      </c>
      <c r="I36" t="n">
        <v>4.781999999999999</v>
      </c>
    </row>
    <row r="37">
      <c r="A37" t="inlineStr">
        <is>
          <t>No harvest</t>
        </is>
      </c>
      <c r="B37" t="inlineStr">
        <is>
          <t>Kept; yield imputed</t>
        </is>
      </c>
      <c r="C37" t="inlineStr">
        <is>
          <t>Palay</t>
        </is>
      </c>
      <c r="D37" t="inlineStr">
        <is>
          <t>San Felipe Sur</t>
        </is>
      </c>
      <c r="E37" t="inlineStr">
        <is>
          <t>DS 2009</t>
        </is>
      </c>
      <c r="F37" t="inlineStr">
        <is>
          <t>Planting</t>
        </is>
      </c>
      <c r="G37" t="inlineStr">
        <is>
          <t>January</t>
        </is>
      </c>
      <c r="H37" t="inlineStr">
        <is>
          <t>2009</t>
        </is>
      </c>
      <c r="I37" t="n">
        <v>4.83375</v>
      </c>
    </row>
    <row r="38">
      <c r="A38" t="inlineStr">
        <is>
          <t>No harvest</t>
        </is>
      </c>
      <c r="B38" t="inlineStr">
        <is>
          <t>Kept; yield imputed</t>
        </is>
      </c>
      <c r="C38" t="inlineStr">
        <is>
          <t>Palay</t>
        </is>
      </c>
      <c r="D38" t="inlineStr">
        <is>
          <t>San Felipe Sur</t>
        </is>
      </c>
      <c r="E38" t="inlineStr">
        <is>
          <t>DS 2018</t>
        </is>
      </c>
      <c r="F38" t="inlineStr">
        <is>
          <t>Planting</t>
        </is>
      </c>
      <c r="G38" t="inlineStr">
        <is>
          <t>January</t>
        </is>
      </c>
      <c r="H38" t="inlineStr">
        <is>
          <t>2018</t>
        </is>
      </c>
      <c r="I38" t="n">
        <v>4.83375</v>
      </c>
    </row>
    <row r="39">
      <c r="A39" t="inlineStr">
        <is>
          <t>No harvest</t>
        </is>
      </c>
      <c r="B39" t="inlineStr">
        <is>
          <t>Kept; yield imputed</t>
        </is>
      </c>
      <c r="C39" t="inlineStr">
        <is>
          <t>Palay</t>
        </is>
      </c>
      <c r="D39" t="inlineStr">
        <is>
          <t>San Felipe Sur</t>
        </is>
      </c>
      <c r="E39" t="inlineStr">
        <is>
          <t>WS 2015</t>
        </is>
      </c>
      <c r="F39" t="inlineStr">
        <is>
          <t>Planting</t>
        </is>
      </c>
      <c r="G39" t="inlineStr">
        <is>
          <t>June</t>
        </is>
      </c>
      <c r="H39" t="inlineStr">
        <is>
          <t>2015</t>
        </is>
      </c>
      <c r="I39" t="n">
        <v>4.83375</v>
      </c>
    </row>
    <row r="40">
      <c r="A40" t="inlineStr">
        <is>
          <t>No harvest</t>
        </is>
      </c>
      <c r="B40" t="inlineStr">
        <is>
          <t>Kept; yield imputed</t>
        </is>
      </c>
      <c r="C40" t="inlineStr">
        <is>
          <t>Palay</t>
        </is>
      </c>
      <c r="D40" t="inlineStr">
        <is>
          <t>San Pablo</t>
        </is>
      </c>
      <c r="E40" t="inlineStr">
        <is>
          <t>DS 2009</t>
        </is>
      </c>
      <c r="F40" t="inlineStr">
        <is>
          <t>Planting</t>
        </is>
      </c>
      <c r="G40" t="inlineStr">
        <is>
          <t>January</t>
        </is>
      </c>
      <c r="H40" t="inlineStr">
        <is>
          <t>2009</t>
        </is>
      </c>
      <c r="I40" t="n">
        <v>5.113125</v>
      </c>
    </row>
    <row r="41">
      <c r="A41" t="inlineStr">
        <is>
          <t>No harvest</t>
        </is>
      </c>
      <c r="B41" t="inlineStr">
        <is>
          <t>Kept; yield imputed</t>
        </is>
      </c>
      <c r="C41" t="inlineStr">
        <is>
          <t>Palay</t>
        </is>
      </c>
      <c r="D41" t="inlineStr">
        <is>
          <t>San Pablo</t>
        </is>
      </c>
      <c r="E41" t="inlineStr">
        <is>
          <t>DS 2018</t>
        </is>
      </c>
      <c r="F41" t="inlineStr">
        <is>
          <t>Planting</t>
        </is>
      </c>
      <c r="G41" t="inlineStr">
        <is>
          <t>January</t>
        </is>
      </c>
      <c r="H41" t="inlineStr">
        <is>
          <t>2018</t>
        </is>
      </c>
      <c r="I41" t="n">
        <v>5.113125</v>
      </c>
    </row>
    <row r="42">
      <c r="A42" t="inlineStr">
        <is>
          <t>No harvest</t>
        </is>
      </c>
      <c r="B42" t="inlineStr">
        <is>
          <t>Kept; yield imputed</t>
        </is>
      </c>
      <c r="C42" t="inlineStr">
        <is>
          <t>Palay</t>
        </is>
      </c>
      <c r="D42" t="inlineStr">
        <is>
          <t>San Pablo</t>
        </is>
      </c>
      <c r="E42" t="inlineStr">
        <is>
          <t>WS 2015</t>
        </is>
      </c>
      <c r="F42" t="inlineStr">
        <is>
          <t>Planting</t>
        </is>
      </c>
      <c r="G42" t="inlineStr">
        <is>
          <t>June</t>
        </is>
      </c>
      <c r="H42" t="inlineStr">
        <is>
          <t>2015</t>
        </is>
      </c>
      <c r="I42" t="n">
        <v>5.113125</v>
      </c>
    </row>
    <row r="43">
      <c r="A43" t="inlineStr">
        <is>
          <t>No harvest</t>
        </is>
      </c>
      <c r="B43" t="inlineStr">
        <is>
          <t>Kept; yield imputed</t>
        </is>
      </c>
      <c r="C43" t="inlineStr">
        <is>
          <t>Palay</t>
        </is>
      </c>
      <c r="D43" t="inlineStr">
        <is>
          <t>Santiago</t>
        </is>
      </c>
      <c r="E43" t="inlineStr">
        <is>
          <t>DS 2018</t>
        </is>
      </c>
      <c r="F43" t="inlineStr">
        <is>
          <t>Planting</t>
        </is>
      </c>
      <c r="G43" t="inlineStr">
        <is>
          <t>January</t>
        </is>
      </c>
      <c r="H43" t="inlineStr">
        <is>
          <t>2018</t>
        </is>
      </c>
      <c r="I43" t="n">
        <v>5.240625</v>
      </c>
    </row>
    <row r="44">
      <c r="A44" t="inlineStr">
        <is>
          <t>No harvest</t>
        </is>
      </c>
      <c r="B44" t="inlineStr">
        <is>
          <t>Kept; yield imputed</t>
        </is>
      </c>
      <c r="C44" t="inlineStr">
        <is>
          <t>Palay</t>
        </is>
      </c>
      <c r="D44" t="inlineStr">
        <is>
          <t>Santiago</t>
        </is>
      </c>
      <c r="E44" t="inlineStr">
        <is>
          <t>WS 2015</t>
        </is>
      </c>
      <c r="F44" t="inlineStr">
        <is>
          <t>Planting</t>
        </is>
      </c>
      <c r="G44" t="inlineStr">
        <is>
          <t>June</t>
        </is>
      </c>
      <c r="H44" t="inlineStr">
        <is>
          <t>2015</t>
        </is>
      </c>
      <c r="I44" t="n">
        <v>5.240625</v>
      </c>
    </row>
    <row r="45">
      <c r="A45" t="inlineStr">
        <is>
          <t>No harvest</t>
        </is>
      </c>
      <c r="B45" t="inlineStr">
        <is>
          <t>Kept; yield imputed</t>
        </is>
      </c>
      <c r="C45" t="inlineStr">
        <is>
          <t>Palay</t>
        </is>
      </c>
      <c r="D45" t="inlineStr">
        <is>
          <t>Sta. Catalina</t>
        </is>
      </c>
      <c r="E45" t="inlineStr">
        <is>
          <t>DS 2011</t>
        </is>
      </c>
      <c r="F45" t="inlineStr">
        <is>
          <t>Planting</t>
        </is>
      </c>
      <c r="G45" t="inlineStr">
        <is>
          <t>January</t>
        </is>
      </c>
      <c r="H45" t="inlineStr">
        <is>
          <t>2011</t>
        </is>
      </c>
      <c r="I45" t="n">
        <v>4.6925</v>
      </c>
    </row>
    <row r="46">
      <c r="A46" t="inlineStr">
        <is>
          <t>No harvest</t>
        </is>
      </c>
      <c r="B46" t="inlineStr">
        <is>
          <t>Kept; yield imputed</t>
        </is>
      </c>
      <c r="C46" t="inlineStr">
        <is>
          <t>Palay</t>
        </is>
      </c>
      <c r="D46" t="inlineStr">
        <is>
          <t>Sta. Catalina</t>
        </is>
      </c>
      <c r="E46" t="inlineStr">
        <is>
          <t>WS 2015</t>
        </is>
      </c>
      <c r="F46" t="inlineStr">
        <is>
          <t>Planting</t>
        </is>
      </c>
      <c r="G46" t="inlineStr">
        <is>
          <t>June</t>
        </is>
      </c>
      <c r="H46" t="inlineStr">
        <is>
          <t>2015</t>
        </is>
      </c>
      <c r="I46" t="n">
        <v>4.6925</v>
      </c>
    </row>
    <row r="47">
      <c r="A47" t="inlineStr">
        <is>
          <t>No harvest</t>
        </is>
      </c>
      <c r="B47" t="inlineStr">
        <is>
          <t>Kept; yield imputed</t>
        </is>
      </c>
      <c r="C47" t="inlineStr">
        <is>
          <t>Palay</t>
        </is>
      </c>
      <c r="D47" t="inlineStr">
        <is>
          <t>Sta. Maria Norte</t>
        </is>
      </c>
      <c r="E47" t="inlineStr">
        <is>
          <t>DS 2009</t>
        </is>
      </c>
      <c r="F47" t="inlineStr">
        <is>
          <t>Planting</t>
        </is>
      </c>
      <c r="G47" t="inlineStr">
        <is>
          <t>January</t>
        </is>
      </c>
      <c r="H47" t="inlineStr">
        <is>
          <t>2009</t>
        </is>
      </c>
      <c r="I47" t="n">
        <v>3.915</v>
      </c>
    </row>
    <row r="48">
      <c r="A48" t="inlineStr">
        <is>
          <t>No harvest</t>
        </is>
      </c>
      <c r="B48" t="inlineStr">
        <is>
          <t>Kept; yield imputed</t>
        </is>
      </c>
      <c r="C48" t="inlineStr">
        <is>
          <t>Palay</t>
        </is>
      </c>
      <c r="D48" t="inlineStr">
        <is>
          <t>Sta. Maria Norte</t>
        </is>
      </c>
      <c r="E48" t="inlineStr">
        <is>
          <t>DS 2018</t>
        </is>
      </c>
      <c r="F48" t="inlineStr">
        <is>
          <t>Planting</t>
        </is>
      </c>
      <c r="G48" t="inlineStr">
        <is>
          <t>January</t>
        </is>
      </c>
      <c r="H48" t="inlineStr">
        <is>
          <t>2018</t>
        </is>
      </c>
      <c r="I48" t="n">
        <v>3.915</v>
      </c>
    </row>
    <row r="49">
      <c r="A49" t="inlineStr">
        <is>
          <t>No harvest</t>
        </is>
      </c>
      <c r="B49" t="inlineStr">
        <is>
          <t>Kept; yield imputed</t>
        </is>
      </c>
      <c r="C49" t="inlineStr">
        <is>
          <t>Palay</t>
        </is>
      </c>
      <c r="D49" t="inlineStr">
        <is>
          <t>Sta. Maria Norte</t>
        </is>
      </c>
      <c r="E49" t="inlineStr">
        <is>
          <t>WS 2015</t>
        </is>
      </c>
      <c r="F49" t="inlineStr">
        <is>
          <t>Planting</t>
        </is>
      </c>
      <c r="G49" t="inlineStr">
        <is>
          <t>June</t>
        </is>
      </c>
      <c r="H49" t="inlineStr">
        <is>
          <t>2015</t>
        </is>
      </c>
      <c r="I49" t="n">
        <v>3.915</v>
      </c>
    </row>
    <row r="50">
      <c r="A50" t="inlineStr">
        <is>
          <t>No harvest</t>
        </is>
      </c>
      <c r="B50" t="inlineStr">
        <is>
          <t>Kept; yield imputed</t>
        </is>
      </c>
      <c r="C50" t="inlineStr">
        <is>
          <t>Palay</t>
        </is>
      </c>
      <c r="D50" t="inlineStr">
        <is>
          <t>Sumabnit</t>
        </is>
      </c>
      <c r="E50" t="inlineStr">
        <is>
          <t>DS 2009</t>
        </is>
      </c>
      <c r="F50" t="inlineStr">
        <is>
          <t>Planting</t>
        </is>
      </c>
      <c r="G50" t="inlineStr">
        <is>
          <t>January</t>
        </is>
      </c>
      <c r="H50" t="inlineStr">
        <is>
          <t>2009</t>
        </is>
      </c>
      <c r="I50" t="n">
        <v>4.894375</v>
      </c>
    </row>
    <row r="51">
      <c r="A51" t="inlineStr">
        <is>
          <t>No harvest</t>
        </is>
      </c>
      <c r="B51" t="inlineStr">
        <is>
          <t>Kept; yield imputed</t>
        </is>
      </c>
      <c r="C51" t="inlineStr">
        <is>
          <t>Palay</t>
        </is>
      </c>
      <c r="D51" t="inlineStr">
        <is>
          <t>Sumabnit</t>
        </is>
      </c>
      <c r="E51" t="inlineStr">
        <is>
          <t>DS 2018</t>
        </is>
      </c>
      <c r="F51" t="inlineStr">
        <is>
          <t>Planting</t>
        </is>
      </c>
      <c r="G51" t="inlineStr">
        <is>
          <t>January</t>
        </is>
      </c>
      <c r="H51" t="inlineStr">
        <is>
          <t>2018</t>
        </is>
      </c>
      <c r="I51" t="n">
        <v>4.894375</v>
      </c>
    </row>
    <row r="52">
      <c r="A52" t="inlineStr">
        <is>
          <t>No harvest</t>
        </is>
      </c>
      <c r="B52" t="inlineStr">
        <is>
          <t>Kept; yield imputed</t>
        </is>
      </c>
      <c r="C52" t="inlineStr">
        <is>
          <t>Palay</t>
        </is>
      </c>
      <c r="D52" t="inlineStr">
        <is>
          <t>Sumabnit</t>
        </is>
      </c>
      <c r="E52" t="inlineStr">
        <is>
          <t>WS 2015</t>
        </is>
      </c>
      <c r="F52" t="inlineStr">
        <is>
          <t>Planting</t>
        </is>
      </c>
      <c r="G52" t="inlineStr">
        <is>
          <t>June</t>
        </is>
      </c>
      <c r="H52" t="inlineStr">
        <is>
          <t>2015</t>
        </is>
      </c>
      <c r="I52" t="n">
        <v>4.894375</v>
      </c>
    </row>
    <row r="53">
      <c r="A53" t="inlineStr">
        <is>
          <t>No harvest</t>
        </is>
      </c>
      <c r="B53" t="inlineStr">
        <is>
          <t>Kept; yield imputed</t>
        </is>
      </c>
      <c r="C53" t="inlineStr">
        <is>
          <t>Palay</t>
        </is>
      </c>
      <c r="D53" t="inlineStr">
        <is>
          <t>Tabuyoc</t>
        </is>
      </c>
      <c r="E53" t="inlineStr">
        <is>
          <t>DS 2009</t>
        </is>
      </c>
      <c r="F53" t="inlineStr">
        <is>
          <t>Planting</t>
        </is>
      </c>
      <c r="G53" t="inlineStr">
        <is>
          <t>January</t>
        </is>
      </c>
      <c r="H53" t="inlineStr">
        <is>
          <t>2009</t>
        </is>
      </c>
      <c r="I53" t="n">
        <v>4.3925</v>
      </c>
    </row>
    <row r="54">
      <c r="A54" t="inlineStr">
        <is>
          <t>No harvest</t>
        </is>
      </c>
      <c r="B54" t="inlineStr">
        <is>
          <t>Kept; yield imputed</t>
        </is>
      </c>
      <c r="C54" t="inlineStr">
        <is>
          <t>Palay</t>
        </is>
      </c>
      <c r="D54" t="inlineStr">
        <is>
          <t>Tabuyoc</t>
        </is>
      </c>
      <c r="E54" t="inlineStr">
        <is>
          <t>DS 2018</t>
        </is>
      </c>
      <c r="F54" t="inlineStr">
        <is>
          <t>Planting</t>
        </is>
      </c>
      <c r="G54" t="inlineStr">
        <is>
          <t>January</t>
        </is>
      </c>
      <c r="H54" t="inlineStr">
        <is>
          <t>2018</t>
        </is>
      </c>
      <c r="I54" t="n">
        <v>4.3925</v>
      </c>
    </row>
    <row r="55">
      <c r="A55" t="inlineStr">
        <is>
          <t>No harvest</t>
        </is>
      </c>
      <c r="B55" t="inlineStr">
        <is>
          <t>Kept; yield imputed</t>
        </is>
      </c>
      <c r="C55" t="inlineStr">
        <is>
          <t>Palay</t>
        </is>
      </c>
      <c r="D55" t="inlineStr">
        <is>
          <t>Tabuyoc</t>
        </is>
      </c>
      <c r="E55" t="inlineStr">
        <is>
          <t>WS 2015</t>
        </is>
      </c>
      <c r="F55" t="inlineStr">
        <is>
          <t>Planting</t>
        </is>
      </c>
      <c r="G55" t="inlineStr">
        <is>
          <t>June</t>
        </is>
      </c>
      <c r="H55" t="inlineStr">
        <is>
          <t>2015</t>
        </is>
      </c>
      <c r="I55" t="n">
        <v>4.3925</v>
      </c>
    </row>
    <row r="56">
      <c r="A56" t="inlineStr">
        <is>
          <t>No harvest</t>
        </is>
      </c>
      <c r="B56" t="inlineStr">
        <is>
          <t>Kept; yield imputed</t>
        </is>
      </c>
      <c r="C56" t="inlineStr">
        <is>
          <t>Palay</t>
        </is>
      </c>
      <c r="D56" t="inlineStr">
        <is>
          <t>Vacante</t>
        </is>
      </c>
      <c r="E56" t="inlineStr">
        <is>
          <t>DS 2011</t>
        </is>
      </c>
      <c r="F56" t="inlineStr">
        <is>
          <t>Planting</t>
        </is>
      </c>
      <c r="G56" t="inlineStr">
        <is>
          <t>January</t>
        </is>
      </c>
      <c r="H56" t="inlineStr">
        <is>
          <t>2011</t>
        </is>
      </c>
      <c r="I56" t="n">
        <v>3.59</v>
      </c>
    </row>
    <row r="57">
      <c r="A57" t="inlineStr">
        <is>
          <t>No harvest</t>
        </is>
      </c>
      <c r="B57" t="inlineStr">
        <is>
          <t>Kept; yield imputed</t>
        </is>
      </c>
      <c r="C57" t="inlineStr">
        <is>
          <t>Palay</t>
        </is>
      </c>
      <c r="D57" t="inlineStr">
        <is>
          <t>Vacante</t>
        </is>
      </c>
      <c r="E57" t="inlineStr">
        <is>
          <t>WS 2015</t>
        </is>
      </c>
      <c r="F57" t="inlineStr">
        <is>
          <t>Planting</t>
        </is>
      </c>
      <c r="G57" t="inlineStr">
        <is>
          <t>June</t>
        </is>
      </c>
      <c r="H57" t="inlineStr">
        <is>
          <t>2015</t>
        </is>
      </c>
      <c r="I57" t="n">
        <v>3.59</v>
      </c>
    </row>
    <row r="58">
      <c r="A58" t="inlineStr">
        <is>
          <t>No planting</t>
        </is>
      </c>
      <c r="B58" t="inlineStr">
        <is>
          <t>Omitted from modeling data</t>
        </is>
      </c>
      <c r="C58" t="inlineStr">
        <is>
          <t>Palay</t>
        </is>
      </c>
      <c r="D58" t="inlineStr">
        <is>
          <t>Balangobong</t>
        </is>
      </c>
      <c r="E58" t="inlineStr">
        <is>
          <t>DS 2020-2021</t>
        </is>
      </c>
      <c r="F58" t="inlineStr">
        <is>
          <t>Harvest</t>
        </is>
      </c>
      <c r="G58" t="inlineStr">
        <is>
          <t>May</t>
        </is>
      </c>
      <c r="H58" t="inlineStr">
        <is>
          <t>2021</t>
        </is>
      </c>
    </row>
    <row r="59">
      <c r="A59" t="inlineStr">
        <is>
          <t>No planting</t>
        </is>
      </c>
      <c r="B59" t="inlineStr">
        <is>
          <t>Omitted from modeling data</t>
        </is>
      </c>
      <c r="C59" t="inlineStr">
        <is>
          <t>Palay</t>
        </is>
      </c>
      <c r="D59" t="inlineStr">
        <is>
          <t>Bugayong</t>
        </is>
      </c>
      <c r="E59" t="inlineStr">
        <is>
          <t>DS 2020-2021</t>
        </is>
      </c>
      <c r="F59" t="inlineStr">
        <is>
          <t>Harvest</t>
        </is>
      </c>
      <c r="G59" t="inlineStr">
        <is>
          <t>May</t>
        </is>
      </c>
      <c r="H59" t="inlineStr">
        <is>
          <t>2021</t>
        </is>
      </c>
    </row>
    <row r="60">
      <c r="A60" t="inlineStr">
        <is>
          <t>No planting</t>
        </is>
      </c>
      <c r="B60" t="inlineStr">
        <is>
          <t>Omitted from modeling data</t>
        </is>
      </c>
      <c r="C60" t="inlineStr">
        <is>
          <t>Palay</t>
        </is>
      </c>
      <c r="D60" t="inlineStr">
        <is>
          <t>Camanggaan</t>
        </is>
      </c>
      <c r="E60" t="inlineStr">
        <is>
          <t>DS 2020-2021</t>
        </is>
      </c>
      <c r="F60" t="inlineStr">
        <is>
          <t>Harvest</t>
        </is>
      </c>
      <c r="G60" t="inlineStr">
        <is>
          <t>May</t>
        </is>
      </c>
      <c r="H60" t="inlineStr">
        <is>
          <t>2021</t>
        </is>
      </c>
    </row>
    <row r="61">
      <c r="A61" t="inlineStr">
        <is>
          <t>No planting</t>
        </is>
      </c>
      <c r="B61" t="inlineStr">
        <is>
          <t>Omitted from modeling data</t>
        </is>
      </c>
      <c r="C61" t="inlineStr">
        <is>
          <t>Palay</t>
        </is>
      </c>
      <c r="D61" t="inlineStr">
        <is>
          <t>Capas</t>
        </is>
      </c>
      <c r="E61" t="inlineStr">
        <is>
          <t>DS 2020-2021</t>
        </is>
      </c>
      <c r="F61" t="inlineStr">
        <is>
          <t>Harvest</t>
        </is>
      </c>
      <c r="G61" t="inlineStr">
        <is>
          <t>May</t>
        </is>
      </c>
      <c r="H61" t="inlineStr">
        <is>
          <t>2021</t>
        </is>
      </c>
    </row>
    <row r="62">
      <c r="A62" t="inlineStr">
        <is>
          <t>No planting</t>
        </is>
      </c>
      <c r="B62" t="inlineStr">
        <is>
          <t>Omitted from modeling data</t>
        </is>
      </c>
      <c r="C62" t="inlineStr">
        <is>
          <t>Palay</t>
        </is>
      </c>
      <c r="D62" t="inlineStr">
        <is>
          <t>Mangkasuy</t>
        </is>
      </c>
      <c r="E62" t="inlineStr">
        <is>
          <t>DS 2020-2021</t>
        </is>
      </c>
      <c r="F62" t="inlineStr">
        <is>
          <t>Harvest</t>
        </is>
      </c>
      <c r="G62" t="inlineStr">
        <is>
          <t>May</t>
        </is>
      </c>
      <c r="H62" t="inlineStr">
        <is>
          <t>2021</t>
        </is>
      </c>
    </row>
    <row r="63">
      <c r="A63" t="inlineStr">
        <is>
          <t>No planting</t>
        </is>
      </c>
      <c r="B63" t="inlineStr">
        <is>
          <t>Omitted from modeling data</t>
        </is>
      </c>
      <c r="C63" t="inlineStr">
        <is>
          <t>Palay</t>
        </is>
      </c>
      <c r="D63" t="inlineStr">
        <is>
          <t>Pasileng Norte</t>
        </is>
      </c>
      <c r="E63" t="inlineStr">
        <is>
          <t>DS 2020-2021</t>
        </is>
      </c>
      <c r="F63" t="inlineStr">
        <is>
          <t>Harvest</t>
        </is>
      </c>
      <c r="G63" t="inlineStr">
        <is>
          <t>May</t>
        </is>
      </c>
      <c r="H63" t="inlineStr">
        <is>
          <t>2021</t>
        </is>
      </c>
    </row>
    <row r="64">
      <c r="A64" t="inlineStr">
        <is>
          <t>No planting</t>
        </is>
      </c>
      <c r="B64" t="inlineStr">
        <is>
          <t>Omitted from modeling data</t>
        </is>
      </c>
      <c r="C64" t="inlineStr">
        <is>
          <t>Palay</t>
        </is>
      </c>
      <c r="D64" t="inlineStr">
        <is>
          <t>Pasileng Sur</t>
        </is>
      </c>
      <c r="E64" t="inlineStr">
        <is>
          <t>DS 2020-2021</t>
        </is>
      </c>
      <c r="F64" t="inlineStr">
        <is>
          <t>Harvest</t>
        </is>
      </c>
      <c r="G64" t="inlineStr">
        <is>
          <t>May</t>
        </is>
      </c>
      <c r="H64" t="inlineStr">
        <is>
          <t>2021</t>
        </is>
      </c>
    </row>
    <row r="65">
      <c r="A65" t="inlineStr">
        <is>
          <t>No planting</t>
        </is>
      </c>
      <c r="B65" t="inlineStr">
        <is>
          <t>Omitted from modeling data</t>
        </is>
      </c>
      <c r="C65" t="inlineStr">
        <is>
          <t>Palay</t>
        </is>
      </c>
      <c r="D65" t="inlineStr">
        <is>
          <t>San Felipe Central</t>
        </is>
      </c>
      <c r="E65" t="inlineStr">
        <is>
          <t>DS 2020-2021</t>
        </is>
      </c>
      <c r="F65" t="inlineStr">
        <is>
          <t>Harvest</t>
        </is>
      </c>
      <c r="G65" t="inlineStr">
        <is>
          <t>May</t>
        </is>
      </c>
      <c r="H65" t="inlineStr">
        <is>
          <t>2021</t>
        </is>
      </c>
    </row>
    <row r="66">
      <c r="A66" t="inlineStr">
        <is>
          <t>No planting</t>
        </is>
      </c>
      <c r="B66" t="inlineStr">
        <is>
          <t>Omitted from modeling data</t>
        </is>
      </c>
      <c r="C66" t="inlineStr">
        <is>
          <t>Palay</t>
        </is>
      </c>
      <c r="D66" t="inlineStr">
        <is>
          <t>San Felipe Sur</t>
        </is>
      </c>
      <c r="E66" t="inlineStr">
        <is>
          <t>DS 2020-2021</t>
        </is>
      </c>
      <c r="F66" t="inlineStr">
        <is>
          <t>Harvest</t>
        </is>
      </c>
      <c r="G66" t="inlineStr">
        <is>
          <t>May</t>
        </is>
      </c>
      <c r="H66" t="inlineStr">
        <is>
          <t>2021</t>
        </is>
      </c>
    </row>
    <row r="67">
      <c r="A67" t="inlineStr">
        <is>
          <t>No planting</t>
        </is>
      </c>
      <c r="B67" t="inlineStr">
        <is>
          <t>Omitted from modeling data</t>
        </is>
      </c>
      <c r="C67" t="inlineStr">
        <is>
          <t>Palay</t>
        </is>
      </c>
      <c r="D67" t="inlineStr">
        <is>
          <t>San Pablo</t>
        </is>
      </c>
      <c r="E67" t="inlineStr">
        <is>
          <t>DS 2020-2021</t>
        </is>
      </c>
      <c r="F67" t="inlineStr">
        <is>
          <t>Harvest</t>
        </is>
      </c>
      <c r="G67" t="inlineStr">
        <is>
          <t>May</t>
        </is>
      </c>
      <c r="H67" t="inlineStr">
        <is>
          <t>2021</t>
        </is>
      </c>
    </row>
    <row r="68">
      <c r="A68" t="inlineStr">
        <is>
          <t>No planting</t>
        </is>
      </c>
      <c r="B68" t="inlineStr">
        <is>
          <t>Omitted from modeling data</t>
        </is>
      </c>
      <c r="C68" t="inlineStr">
        <is>
          <t>Palay</t>
        </is>
      </c>
      <c r="D68" t="inlineStr">
        <is>
          <t>Santiago</t>
        </is>
      </c>
      <c r="E68" t="inlineStr">
        <is>
          <t>DS 2020-2021</t>
        </is>
      </c>
      <c r="F68" t="inlineStr">
        <is>
          <t>Harvest</t>
        </is>
      </c>
      <c r="G68" t="inlineStr">
        <is>
          <t>May</t>
        </is>
      </c>
      <c r="H68" t="inlineStr">
        <is>
          <t>2021</t>
        </is>
      </c>
    </row>
    <row r="69">
      <c r="A69" t="inlineStr">
        <is>
          <t>No planting</t>
        </is>
      </c>
      <c r="B69" t="inlineStr">
        <is>
          <t>Omitted from modeling data</t>
        </is>
      </c>
      <c r="C69" t="inlineStr">
        <is>
          <t>Palay</t>
        </is>
      </c>
      <c r="D69" t="inlineStr">
        <is>
          <t>Sta. Catalina</t>
        </is>
      </c>
      <c r="E69" t="inlineStr">
        <is>
          <t>DS 2020-2021</t>
        </is>
      </c>
      <c r="F69" t="inlineStr">
        <is>
          <t>Harvest</t>
        </is>
      </c>
      <c r="G69" t="inlineStr">
        <is>
          <t>May</t>
        </is>
      </c>
      <c r="H69" t="inlineStr">
        <is>
          <t>2021</t>
        </is>
      </c>
    </row>
    <row r="70">
      <c r="A70" t="inlineStr">
        <is>
          <t>No planting</t>
        </is>
      </c>
      <c r="B70" t="inlineStr">
        <is>
          <t>Omitted from modeling data</t>
        </is>
      </c>
      <c r="C70" t="inlineStr">
        <is>
          <t>Palay</t>
        </is>
      </c>
      <c r="D70" t="inlineStr">
        <is>
          <t>Sumabnit</t>
        </is>
      </c>
      <c r="E70" t="inlineStr">
        <is>
          <t>DS 2020-2021</t>
        </is>
      </c>
      <c r="F70" t="inlineStr">
        <is>
          <t>Harvest</t>
        </is>
      </c>
      <c r="G70" t="inlineStr">
        <is>
          <t>May</t>
        </is>
      </c>
      <c r="H70" t="inlineStr">
        <is>
          <t>2021</t>
        </is>
      </c>
    </row>
    <row r="71">
      <c r="A71" t="inlineStr">
        <is>
          <t>No planting</t>
        </is>
      </c>
      <c r="B71" t="inlineStr">
        <is>
          <t>Omitted from modeling data</t>
        </is>
      </c>
      <c r="C71" t="inlineStr">
        <is>
          <t>Palay</t>
        </is>
      </c>
      <c r="D71" t="inlineStr">
        <is>
          <t>Tabuyoc</t>
        </is>
      </c>
      <c r="E71" t="inlineStr">
        <is>
          <t>DS 2020-2021</t>
        </is>
      </c>
      <c r="F71" t="inlineStr">
        <is>
          <t>Harvest</t>
        </is>
      </c>
      <c r="G71" t="inlineStr">
        <is>
          <t>May</t>
        </is>
      </c>
      <c r="H71" t="inlineStr">
        <is>
          <t>2021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zoomScaleNormal="100" workbookViewId="0">
      <pane ySplit="3" topLeftCell="A4" activePane="bottomLeft" state="frozen"/>
      <selection pane="bottomLeft" activeCell="A1" sqref="A1:E1"/>
    </sheetView>
  </sheetViews>
  <sheetFormatPr baseColWidth="8" defaultColWidth="8.6640625" defaultRowHeight="14.4"/>
  <cols>
    <col width="5" customWidth="1" style="101" min="1" max="1"/>
    <col width="38" customWidth="1" style="101" min="2" max="3"/>
    <col width="42" customWidth="1" style="101" min="4" max="4"/>
    <col width="30" customWidth="1" style="101" min="5" max="5"/>
  </cols>
  <sheetData>
    <row r="1" ht="27.75" customHeight="1" s="101">
      <c r="A1" s="100" t="inlineStr">
        <is>
          <t>References &amp; Data Sources</t>
        </is>
      </c>
    </row>
    <row r="2" ht="18" customHeight="1" s="101">
      <c r="A2" s="104" t="inlineStr">
        <is>
          <t>Complete list of data sources used to build this workbook (Central Data, Climate Data, Planting/Harvest Data, Corn Data).</t>
        </is>
      </c>
    </row>
    <row r="4" ht="19.5" customHeight="1" s="101">
      <c r="A4" s="103" t="inlineStr">
        <is>
          <t>1. Climate &amp; Rainfall Data</t>
        </is>
      </c>
    </row>
    <row r="5" ht="18" customHeight="1" s="101">
      <c r="A5" s="29" t="inlineStr">
        <is>
          <t>#</t>
        </is>
      </c>
      <c r="B5" s="29" t="inlineStr">
        <is>
          <t>Data</t>
        </is>
      </c>
      <c r="C5" s="29" t="inlineStr">
        <is>
          <t>Source</t>
        </is>
      </c>
      <c r="D5" s="29" t="inlineStr">
        <is>
          <t>Coverage / Notes</t>
        </is>
      </c>
      <c r="E5" s="29" t="inlineStr">
        <is>
          <t>Link / Citation</t>
        </is>
      </c>
    </row>
    <row r="6" ht="31.5" customHeight="1" s="101">
      <c r="A6" s="30" t="n">
        <v>1</v>
      </c>
      <c r="B6" s="31" t="inlineStr">
        <is>
          <t>NASA POWER monthly climate data
(rainfall, temperature, humidity, pressure, solar radiation)</t>
        </is>
      </c>
      <c r="C6" s="31" t="inlineStr">
        <is>
          <t>NASA POWER Project (Prediction Of Worldwide Energy Resources)</t>
        </is>
      </c>
      <c r="D6" s="31" t="inlineStr">
        <is>
          <t>Binalonan, Pangasinan (16.0503°N, 120.5926°E) — monthly values, Jan 2007 to Dec 2023</t>
        </is>
      </c>
      <c r="E6" s="32" t="inlineStr">
        <is>
          <t>https://power.larc.nasa.gov</t>
        </is>
      </c>
    </row>
    <row r="7" ht="31.5" customHeight="1" s="101">
      <c r="A7" s="33" t="n">
        <v>2</v>
      </c>
      <c r="B7" s="34" t="inlineStr">
        <is>
          <t>PAGASA climate normals (fallback for 2024–2025 rows;
outside NASA POWER extract range)</t>
        </is>
      </c>
      <c r="C7" s="34" t="inlineStr">
        <is>
          <t>PAGASA — Philippine Atmospheric, Geophysical and Astronomical Services Administration
(Urdaneta Synoptic Station, nearest station to Binalonan)</t>
        </is>
      </c>
      <c r="D7" s="34" t="inlineStr">
        <is>
          <t>1991–2021 climate normals</t>
        </is>
      </c>
      <c r="E7" s="35" t="inlineStr">
        <is>
          <t>https://www.pagasa.dost.gov.ph</t>
        </is>
      </c>
    </row>
    <row r="8" ht="31.5" customHeight="1" s="101">
      <c r="A8" s="30" t="n">
        <v>3</v>
      </c>
      <c r="B8" s="31" t="inlineStr">
        <is>
          <t>PAGASA climate type classification (Type I)</t>
        </is>
      </c>
      <c r="C8" s="31" t="inlineStr">
        <is>
          <t>PAGASA Climate Map of the Philippines</t>
        </is>
      </c>
      <c r="D8" s="31" t="inlineStr">
        <is>
          <t>Binalonan falls under Climate Type I: pronounced dry season (Nov–Apr), wet season (May–Oct)</t>
        </is>
      </c>
      <c r="E8" s="32" t="inlineStr">
        <is>
          <t>https://www.pagasa.dost.gov.ph/climate/climate-of-the-philippines</t>
        </is>
      </c>
    </row>
    <row r="10" ht="19.5" customHeight="1" s="101">
      <c r="A10" s="103" t="inlineStr">
        <is>
          <t>2. Geography, Soil &amp; Terrain</t>
        </is>
      </c>
    </row>
    <row r="11" ht="18" customHeight="1" s="101">
      <c r="A11" s="29" t="inlineStr">
        <is>
          <t>#</t>
        </is>
      </c>
      <c r="B11" s="29" t="inlineStr">
        <is>
          <t>Data</t>
        </is>
      </c>
      <c r="C11" s="29" t="inlineStr">
        <is>
          <t>Source</t>
        </is>
      </c>
      <c r="D11" s="29" t="inlineStr">
        <is>
          <t>Coverage / Notes</t>
        </is>
      </c>
      <c r="E11" s="29" t="inlineStr">
        <is>
          <t>Link / Citation</t>
        </is>
      </c>
    </row>
    <row r="12" ht="30" customHeight="1" s="101">
      <c r="A12" s="30" t="n">
        <v>1</v>
      </c>
      <c r="B12" s="31" t="inlineStr">
        <is>
          <t>Soil type per barangay (sandy loam, silty clay loam, fine sand)</t>
        </is>
      </c>
      <c r="C12" s="31" t="inlineStr">
        <is>
          <t>Binalonan LGU Official Website — Geography &amp; Agriculture pages</t>
        </is>
      </c>
      <c r="D12" s="31" t="inlineStr">
        <is>
          <t>Dominant soil series across 21 barangays</t>
        </is>
      </c>
      <c r="E12" s="32" t="inlineStr">
        <is>
          <t>https://binalonan.gov.ph</t>
        </is>
      </c>
    </row>
    <row r="13" ht="30" customHeight="1" s="101">
      <c r="A13" s="33" t="n">
        <v>2</v>
      </c>
      <c r="B13" s="34" t="inlineStr">
        <is>
          <t>Soil classification cross-reference</t>
        </is>
      </c>
      <c r="C13" s="34" t="inlineStr">
        <is>
          <t>DENR / Bureau of Soils and Water Management (BSWM) soil maps for Pangasinan</t>
        </is>
      </c>
      <c r="D13" s="34" t="inlineStr">
        <is>
          <t>San Manuel Series predominant in lowland barangays</t>
        </is>
      </c>
      <c r="E13" s="34" t="inlineStr">
        <is>
          <t>—</t>
        </is>
      </c>
    </row>
    <row r="14" ht="30" customHeight="1" s="101">
      <c r="A14" s="30" t="n">
        <v>3</v>
      </c>
      <c r="B14" s="31" t="inlineStr">
        <is>
          <t>Terrain type &amp; elevation (flat/lowland vs. moderately sloping/highland)</t>
        </is>
      </c>
      <c r="C14" s="31" t="inlineStr">
        <is>
          <t>NAMRIA — National Mapping and Resource Information Authority topographic data</t>
        </is>
      </c>
      <c r="D14" s="31" t="inlineStr">
        <is>
          <t>Most barangays at ~30m ASL; Moreno and Sta. Catalina at ~90m ASL</t>
        </is>
      </c>
      <c r="E14" s="32" t="inlineStr">
        <is>
          <t>https://www.namria.gov.ph</t>
        </is>
      </c>
    </row>
    <row r="15" ht="30" customHeight="1" s="101">
      <c r="A15" s="33" t="n">
        <v>4</v>
      </c>
      <c r="B15" s="34" t="inlineStr">
        <is>
          <t>Nearest water bodies (Tagamusing, Aloragat, Alibeng Rivers)</t>
        </is>
      </c>
      <c r="C15" s="34" t="inlineStr">
        <is>
          <t>Binalonan LGU Water Resources / Municipal Profile</t>
        </is>
      </c>
      <c r="D15" s="34" t="inlineStr">
        <is>
          <t>Per-barangay river/creek proximity</t>
        </is>
      </c>
      <c r="E15" s="35" t="inlineStr">
        <is>
          <t>https://binalonan.gov.ph</t>
        </is>
      </c>
    </row>
    <row r="17" ht="19.5" customHeight="1" s="101">
      <c r="A17" s="103" t="inlineStr">
        <is>
          <t>3. Land Area</t>
        </is>
      </c>
    </row>
    <row r="18" ht="18" customHeight="1" s="101">
      <c r="A18" s="29" t="inlineStr">
        <is>
          <t>#</t>
        </is>
      </c>
      <c r="B18" s="29" t="inlineStr">
        <is>
          <t>Data</t>
        </is>
      </c>
      <c r="C18" s="29" t="inlineStr">
        <is>
          <t>Source</t>
        </is>
      </c>
      <c r="D18" s="29" t="inlineStr">
        <is>
          <t>Coverage / Notes</t>
        </is>
      </c>
      <c r="E18" s="29" t="inlineStr">
        <is>
          <t>Link / Citation</t>
        </is>
      </c>
    </row>
    <row r="19" ht="30" customHeight="1" s="101">
      <c r="A19" s="30" t="n">
        <v>1</v>
      </c>
      <c r="B19" s="31" t="inlineStr">
        <is>
          <t>Barangay land area (hectares)</t>
        </is>
      </c>
      <c r="C19" s="31" t="inlineStr">
        <is>
          <t>Binalonan Municipal Assessor's Office &amp; Municipal Planning and Development Coordinator (MPDC)</t>
        </is>
      </c>
      <c r="D19" s="31" t="inlineStr">
        <is>
          <t>Official LGU land records (2019); total municipality ≈ 8,400 ha</t>
        </is>
      </c>
      <c r="E19" s="31" t="inlineStr">
        <is>
          <t>—</t>
        </is>
      </c>
    </row>
    <row r="21" ht="19.5" customHeight="1" s="101">
      <c r="A21" s="103" t="inlineStr">
        <is>
          <t>4. Rice (Palay) Planting &amp; Harvest Records</t>
        </is>
      </c>
    </row>
    <row r="22" ht="18" customHeight="1" s="101">
      <c r="A22" s="29" t="inlineStr">
        <is>
          <t>#</t>
        </is>
      </c>
      <c r="B22" s="29" t="inlineStr">
        <is>
          <t>Data</t>
        </is>
      </c>
      <c r="C22" s="29" t="inlineStr">
        <is>
          <t>Source</t>
        </is>
      </c>
      <c r="D22" s="29" t="inlineStr">
        <is>
          <t>Coverage / Notes</t>
        </is>
      </c>
      <c r="E22" s="29" t="inlineStr">
        <is>
          <t>Link / Citation</t>
        </is>
      </c>
    </row>
    <row r="23" ht="36" customHeight="1" s="101">
      <c r="A23" s="30" t="n">
        <v>1</v>
      </c>
      <c r="B23" s="31" t="inlineStr">
        <is>
          <t>Per-barangay planting reports (irrigated/rainfed area, hectares)
Dry Season 2007–2023, Wet Season 2015–2023</t>
        </is>
      </c>
      <c r="C23" s="31" t="inlineStr">
        <is>
          <t>Binalonan Municipal Agriculture Office (MAO) — Seasonal Planting Reports</t>
        </is>
      </c>
      <c r="D23" s="31" t="inlineStr">
        <is>
          <t>Source files: "RICE_REPORT_CLEOFE.zip" archive + individually submitted
season files (DS 2021-2022, WS 2021, WS 2022)</t>
        </is>
      </c>
      <c r="E23" s="31" t="inlineStr">
        <is>
          <t>—</t>
        </is>
      </c>
    </row>
    <row r="24" ht="36" customHeight="1" s="101">
      <c r="A24" s="33" t="n">
        <v>2</v>
      </c>
      <c r="B24" s="34" t="inlineStr">
        <is>
          <t>Per-barangay harvest reports (area harvested, production MT, yield)
Dry Season 2007–2023, Wet Season 2016–2023</t>
        </is>
      </c>
      <c r="C24" s="34" t="inlineStr">
        <is>
          <t>Binalonan Municipal Agriculture Office (MAO) — Seasonal Harvest Reports</t>
        </is>
      </c>
      <c r="D24" s="34" t="inlineStr">
        <is>
          <t>Same source archive; some years (DS 2009-2010, DS 2018-2019, DS 2020-2021)
had no barangay-level breakdown in the original files</t>
        </is>
      </c>
      <c r="E24" s="34" t="inlineStr">
        <is>
          <t>—</t>
        </is>
      </c>
    </row>
    <row r="26" ht="19.5" customHeight="1" s="101">
      <c r="A26" s="103" t="inlineStr">
        <is>
          <t>5. Corn Production Data</t>
        </is>
      </c>
    </row>
    <row r="27" ht="18" customHeight="1" s="101">
      <c r="A27" s="29" t="inlineStr">
        <is>
          <t>#</t>
        </is>
      </c>
      <c r="B27" s="29" t="inlineStr">
        <is>
          <t>Data</t>
        </is>
      </c>
      <c r="C27" s="29" t="inlineStr">
        <is>
          <t>Source</t>
        </is>
      </c>
      <c r="D27" s="29" t="inlineStr">
        <is>
          <t>Coverage / Notes</t>
        </is>
      </c>
      <c r="E27" s="29" t="inlineStr">
        <is>
          <t>Link / Citation</t>
        </is>
      </c>
    </row>
    <row r="28" ht="33.75" customHeight="1" s="101">
      <c r="A28" s="30" t="n">
        <v>1</v>
      </c>
      <c r="B28" s="31" t="inlineStr">
        <is>
          <t>Municipal corn production report — monthly planting, harvesting,
and production (hectares, MT), DS 2020-2021 to DS 2024-2025</t>
        </is>
      </c>
      <c r="C28" s="31" t="inlineStr">
        <is>
          <t>Binalonan Municipal Agriculture Office (MAO)</t>
        </is>
      </c>
      <c r="D28" s="31" t="inlineStr">
        <is>
          <t>Source file: "Corn_Production_report_2021-2024.xlsx";
municipality-wide totals, no original barangay breakdown</t>
        </is>
      </c>
      <c r="E28" s="31" t="inlineStr">
        <is>
          <t>—</t>
        </is>
      </c>
    </row>
    <row r="29" ht="33.75" customHeight="1" s="101">
      <c r="A29" s="33" t="n">
        <v>2</v>
      </c>
      <c r="B29" s="34" t="inlineStr">
        <is>
          <t>Per-barangay corn allocation</t>
        </is>
      </c>
      <c r="C29" s="34" t="inlineStr">
        <is>
          <t>Derived/estimated by proportional allocation of municipal totals
using each barangay's land area share</t>
        </is>
      </c>
      <c r="D29" s="34" t="inlineStr">
        <is>
          <t>Annual totals reconciled exactly to the official municipal report</t>
        </is>
      </c>
      <c r="E29" s="34" t="inlineStr">
        <is>
          <t>—</t>
        </is>
      </c>
    </row>
    <row r="31" ht="19.5" customHeight="1" s="101">
      <c r="A31" s="103" t="inlineStr">
        <is>
          <t>6. Statistical Methods Applied</t>
        </is>
      </c>
    </row>
    <row r="32" ht="18" customHeight="1" s="101">
      <c r="A32" s="29" t="inlineStr">
        <is>
          <t>#</t>
        </is>
      </c>
      <c r="B32" s="29" t="inlineStr">
        <is>
          <t>Data</t>
        </is>
      </c>
      <c r="C32" s="29" t="inlineStr">
        <is>
          <t>Source</t>
        </is>
      </c>
      <c r="D32" s="29" t="inlineStr">
        <is>
          <t>Coverage / Notes</t>
        </is>
      </c>
      <c r="E32" s="29" t="inlineStr">
        <is>
          <t>Link / Citation</t>
        </is>
      </c>
    </row>
    <row r="33" ht="39.75" customHeight="1" s="101">
      <c r="A33" s="30" t="n">
        <v>1</v>
      </c>
      <c r="B33" s="31" t="inlineStr">
        <is>
          <t>Missing value imputation (Irrigated/Rainfed/Total Area Planted,
Area Harvested, Production)</t>
        </is>
      </c>
      <c r="C33" s="31" t="inlineStr">
        <is>
          <t>SMOTE (Synthetic Minority Oversampling Technique) + K-Nearest Neighbours regression</t>
        </is>
      </c>
      <c r="D33" s="31" t="inlineStr">
        <is>
          <t>imbalanced-learn (imblearn) Python library; features used: barangay, season,
month, year, rainfall, temperature, humidity, soil type, terrain, land size, elevation</t>
        </is>
      </c>
      <c r="E33" s="32" t="inlineStr">
        <is>
          <t>https://imbalanced-learn.org</t>
        </is>
      </c>
    </row>
  </sheetData>
  <mergeCells count="8">
    <mergeCell ref="A21:E21"/>
    <mergeCell ref="A4:E4"/>
    <mergeCell ref="A26:E26"/>
    <mergeCell ref="A2:E2"/>
    <mergeCell ref="A10:E10"/>
    <mergeCell ref="A1:E1"/>
    <mergeCell ref="A31:E31"/>
    <mergeCell ref="A17:E17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12" r:id="rId4"/>
    <hyperlink xmlns:r="http://schemas.openxmlformats.org/officeDocument/2006/relationships" ref="E14" r:id="rId5"/>
    <hyperlink xmlns:r="http://schemas.openxmlformats.org/officeDocument/2006/relationships" ref="E15" r:id="rId6"/>
    <hyperlink xmlns:r="http://schemas.openxmlformats.org/officeDocument/2006/relationships" ref="E33" r:id="rId7"/>
  </hyperlink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zoomScaleNormal="100" workbookViewId="0">
      <pane ySplit="3" topLeftCell="A14" activePane="bottomLeft" state="frozen"/>
      <selection pane="bottomLeft" activeCell="A1" sqref="A1:L1"/>
    </sheetView>
  </sheetViews>
  <sheetFormatPr baseColWidth="8" defaultColWidth="8.6640625" defaultRowHeight="14.4"/>
  <cols>
    <col width="22" customWidth="1" style="101" min="1" max="1"/>
    <col width="18" customWidth="1" style="101" min="2" max="2"/>
    <col width="22" customWidth="1" style="101" min="3" max="3"/>
    <col width="24" customWidth="1" style="101" min="4" max="4"/>
    <col width="20" customWidth="1" style="101" min="5" max="5"/>
    <col width="22" customWidth="1" style="101" min="6" max="6"/>
    <col width="12" customWidth="1" style="101" min="7" max="7"/>
    <col width="14" customWidth="1" style="101" min="8" max="8"/>
    <col width="22" customWidth="1" style="101" min="9" max="9"/>
    <col width="38" customWidth="1" style="101" min="10" max="10"/>
    <col width="38" customWidth="1" style="101" min="12" max="12"/>
  </cols>
  <sheetData>
    <row r="1" ht="30" customHeight="1" s="101">
      <c r="A1" s="100" t="inlineStr">
        <is>
          <t>Binalonan, Pangasinan — Recommended Planting Techniques by Soil Type</t>
        </is>
      </c>
    </row>
    <row r="2" ht="27.75" customHeight="1" s="101">
      <c r="A2" s="105" t="inlineStr">
        <is>
          <t>Soil type, moisture content, temperature, and root-zone depth are the primary drivers of planting method selection for both rice (palay) and corn in Binalonan. Techniques follow IRRI, PhilRice, DA-BAR, and PIDS recommended practices for Pangasinan lowland and upland ecosystems.</t>
        </is>
      </c>
    </row>
    <row r="4" ht="19.5" customHeight="1" s="101">
      <c r="A4" s="106" t="inlineStr">
        <is>
          <t>SECTION 1 — SOIL TYPE CHARACTERISTICS (Binalonan Barangay Soils)</t>
        </is>
      </c>
    </row>
    <row r="5" ht="30" customHeight="1" s="101">
      <c r="A5" s="36" t="inlineStr">
        <is>
          <t>Soil Type</t>
        </is>
      </c>
      <c r="B5" s="36" t="inlineStr">
        <is>
          <t>Water Retention</t>
        </is>
      </c>
      <c r="C5" s="36" t="inlineStr">
        <is>
          <t>Drainage</t>
        </is>
      </c>
      <c r="D5" s="36" t="inlineStr">
        <is>
          <t>Tillage Depth</t>
        </is>
      </c>
      <c r="E5" s="36" t="inlineStr">
        <is>
          <t>pH Range</t>
        </is>
      </c>
      <c r="F5" s="36" t="inlineStr">
        <is>
          <t>Moisture Condition</t>
        </is>
      </c>
      <c r="G5" s="36" t="inlineStr">
        <is>
          <t>Key Limitation</t>
        </is>
      </c>
      <c r="H5" s="36" t="inlineStr">
        <is>
          <t>Barangays in Binalonan</t>
        </is>
      </c>
    </row>
    <row r="6" ht="48" customHeight="1" s="101">
      <c r="A6" s="37" t="inlineStr">
        <is>
          <t>Sandy Loam</t>
        </is>
      </c>
      <c r="B6" s="38" t="inlineStr">
        <is>
          <t>Low–Moderate
(drains fast)</t>
        </is>
      </c>
      <c r="C6" s="38" t="inlineStr">
        <is>
          <t>Well-drained
(rapid)</t>
        </is>
      </c>
      <c r="D6" s="38" t="inlineStr">
        <is>
          <t>15–20 cm
(shallower due to poor water retention)</t>
        </is>
      </c>
      <c r="E6" s="38" t="inlineStr">
        <is>
          <t>5.5–7.0</t>
        </is>
      </c>
      <c r="F6" s="38" t="inlineStr">
        <is>
          <t>Dry to moderately moist; loses moisture quickly; needs frequent irrigation or rain</t>
        </is>
      </c>
      <c r="G6" s="38" t="inlineStr">
        <is>
          <t>Low water-holding capacity — rice needs supplemental irrigation; corn more suitable than rice without irrigation</t>
        </is>
      </c>
      <c r="H6" s="38" t="inlineStr">
        <is>
          <t>Pasileng Norte, Tabuyoc*, Camanggaan, Capas, Mangkasuy, San Pablo, San Felipe Central, San Felipe Sur, Pasileng Sur, Sta. Maria Norte, Moreno, Bugayong*</t>
        </is>
      </c>
    </row>
    <row r="7" ht="48" customHeight="1" s="101">
      <c r="A7" s="39" t="inlineStr">
        <is>
          <t>Silty Clay Loam</t>
        </is>
      </c>
      <c r="B7" s="40" t="inlineStr">
        <is>
          <t>High
(retains moisture well)</t>
        </is>
      </c>
      <c r="C7" s="40" t="inlineStr">
        <is>
          <t>Moderately slow
(holds water)</t>
        </is>
      </c>
      <c r="D7" s="40" t="inlineStr">
        <is>
          <t>20–25 cm
(deeper possible; holds structure)</t>
        </is>
      </c>
      <c r="E7" s="40" t="inlineStr">
        <is>
          <t>5.5–6.5</t>
        </is>
      </c>
      <c r="F7" s="40" t="inlineStr">
        <is>
          <t>Moist to saturated; ideal for irrigated and rainfed lowland rice; risk of waterlogging</t>
        </is>
      </c>
      <c r="G7" s="40" t="inlineStr">
        <is>
          <t>Risk of waterlogging if drainage is poor; compaction after tillage when dry</t>
        </is>
      </c>
      <c r="H7" s="40" t="inlineStr">
        <is>
          <t>Bued, Dumayat, Vacante, Cili, Linmansangan, Santiago, Balangobong, Tabuyoc*, Bugayong*</t>
        </is>
      </c>
    </row>
    <row r="8" ht="48" customHeight="1" s="101">
      <c r="A8" s="41" t="inlineStr">
        <is>
          <t>Fine Sand / Sandy Loam
(mixed)</t>
        </is>
      </c>
      <c r="B8" s="42" t="inlineStr">
        <is>
          <t>Very Low
(drains very fast)</t>
        </is>
      </c>
      <c r="C8" s="42" t="inlineStr">
        <is>
          <t>Rapid
(poor retention)</t>
        </is>
      </c>
      <c r="D8" s="42" t="inlineStr">
        <is>
          <t>10–15 cm
(shallow; fine sand loses structure quickly)</t>
        </is>
      </c>
      <c r="E8" s="42" t="inlineStr">
        <is>
          <t>5.0–6.5</t>
        </is>
      </c>
      <c r="F8" s="42" t="inlineStr">
        <is>
          <t>Dry; moisture lost quickly; crop stress risk during dry spells; highest irrigation dependency</t>
        </is>
      </c>
      <c r="G8" s="42" t="inlineStr">
        <is>
          <t>Highest irrigation requirement; poorest nutrient retention; most limiting for rice production</t>
        </is>
      </c>
      <c r="H8" s="42" t="inlineStr">
        <is>
          <t>Sta. Catalina (moderately sloping terrain)</t>
        </is>
      </c>
    </row>
    <row r="9" ht="48" customHeight="1" s="101">
      <c r="A9" s="43" t="inlineStr">
        <is>
          <t>Silty Clay Loam /
Fine Sandy Loam
(mixed)</t>
        </is>
      </c>
      <c r="B9" s="44" t="inlineStr">
        <is>
          <t>Moderate
(variable)</t>
        </is>
      </c>
      <c r="C9" s="44" t="inlineStr">
        <is>
          <t>Moderate
(mixed profile)</t>
        </is>
      </c>
      <c r="D9" s="44" t="inlineStr">
        <is>
          <t>15–20 cm
(adjusted per field zone)</t>
        </is>
      </c>
      <c r="E9" s="44" t="inlineStr">
        <is>
          <t>5.5–6.5</t>
        </is>
      </c>
      <c r="F9" s="44" t="inlineStr">
        <is>
          <t>Moderate moisture; intermediate between sandy and clay loam; suitable for both crops with proper management</t>
        </is>
      </c>
      <c r="G9" s="44" t="inlineStr">
        <is>
          <t>Variable field-to-field; drainage and irrigation management must be adjusted by field zone</t>
        </is>
      </c>
      <c r="H9" s="44" t="inlineStr">
        <is>
          <t>Sumabnit</t>
        </is>
      </c>
    </row>
    <row r="10" ht="18" customHeight="1" s="101">
      <c r="A10" s="107" t="inlineStr">
        <is>
          <t>* Bugayong and Tabuyoc have mixed Sandy Loam / Silty Clay Loam profiles; field preparation should account for variable drainage across plots.</t>
        </is>
      </c>
    </row>
    <row r="12" ht="19.5" customHeight="1" s="101">
      <c r="A12" s="103" t="inlineStr">
        <is>
          <t>SECTION 2 — RICE (PALAY) PLANTING TECHNIQUES BY SOIL TYPE &amp; SEASON</t>
        </is>
      </c>
    </row>
    <row r="13" ht="34.5" customHeight="1" s="101">
      <c r="A13" s="45" t="inlineStr">
        <is>
          <t>Soil Type</t>
        </is>
      </c>
      <c r="B13" s="45" t="inlineStr">
        <is>
          <t>Season</t>
        </is>
      </c>
      <c r="C13" s="45" t="inlineStr">
        <is>
          <t>Recommended Method</t>
        </is>
      </c>
      <c r="D13" s="45" t="inlineStr">
        <is>
          <t>Land Preparation</t>
        </is>
      </c>
      <c r="E13" s="45" t="inlineStr">
        <is>
          <t>Seeding / Transplanting Depth</t>
        </is>
      </c>
      <c r="F13" s="45" t="inlineStr">
        <is>
          <t>Seed Rate</t>
        </is>
      </c>
      <c r="G13" s="45" t="inlineStr">
        <is>
          <t>Row Spacing</t>
        </is>
      </c>
      <c r="H13" s="45" t="inlineStr">
        <is>
          <t>Water Management</t>
        </is>
      </c>
      <c r="I13" s="45" t="inlineStr">
        <is>
          <t>Key Notes</t>
        </is>
      </c>
      <c r="J13" s="45" t="inlineStr">
        <is>
          <t>Applicable Barangays</t>
        </is>
      </c>
    </row>
    <row r="14" ht="72" customHeight="1" s="101">
      <c r="A14" s="37" t="inlineStr">
        <is>
          <t>Sandy Loam</t>
        </is>
      </c>
      <c r="B14" s="38" t="inlineStr">
        <is>
          <t>DS (Nov–May)
Irrigated</t>
        </is>
      </c>
      <c r="C14" s="38" t="inlineStr">
        <is>
          <t>Transplanting
(Wetbed Nursery)</t>
        </is>
      </c>
      <c r="D14" s="38" t="inlineStr">
        <is>
          <t>Wet preparation (puddle &amp; harrow 2–3×); form hardpan to reduce water percolation; level field thoroughly</t>
        </is>
      </c>
      <c r="E14" s="38" t="inlineStr">
        <is>
          <t>2–3 cm transplant depth; seedlings 14–21 days old</t>
        </is>
      </c>
      <c r="F14" s="38" t="inlineStr">
        <is>
          <t>25–30 kg/ha (nursery); 1–2 seedlings/hill</t>
        </is>
      </c>
      <c r="G14" s="38" t="inlineStr">
        <is>
          <t>20×20 cm or 25×25 cm (row-column spacing)</t>
        </is>
      </c>
      <c r="H14" s="38" t="inlineStr">
        <is>
          <t>Maintain 2–5 cm standing water; alternate wetting &amp; drying (AWD) after tillering — critical on sandy loam due to rapid water loss</t>
        </is>
      </c>
      <c r="I14" s="38" t="inlineStr">
        <is>
          <t>Sandy loam drains fast — irrigate frequently; supplement with basal fertilizer at transplanting; prioritize irrigated fields; monitor moisture at 15–20 cm depth</t>
        </is>
      </c>
      <c r="J14" s="38" t="inlineStr">
        <is>
          <t>Pasileng Norte, Camanggaan, Capas, Mangkasuy, San Pablo, San Felipe Central, San Felipe Sur, Pasileng Sur, Sta. Maria Norte</t>
        </is>
      </c>
    </row>
    <row r="15" ht="72" customHeight="1" s="101">
      <c r="A15" s="37" t="inlineStr">
        <is>
          <t>Sandy Loam</t>
        </is>
      </c>
      <c r="B15" s="38" t="inlineStr">
        <is>
          <t>WS (May–Nov)
Rainfed</t>
        </is>
      </c>
      <c r="C15" s="38" t="inlineStr">
        <is>
          <t>Direct Seeding
(Wet / Drum Seeder)
or Transplanting</t>
        </is>
      </c>
      <c r="D15" s="38" t="inlineStr">
        <is>
          <t>Wet preparation at onset of heavy rains; puddle when soil is well-soaked; repair levees and dikes before WS</t>
        </is>
      </c>
      <c r="E15" s="38" t="inlineStr">
        <is>
          <t>Direct seed: 1–2 cm depth (pre-germinated); Transplant: 2–3 cm at 21 days</t>
        </is>
      </c>
      <c r="F15" s="38" t="inlineStr">
        <is>
          <t>Direct seeding: 60–80 kg/ha; Transplanting: 25–30 kg/ha</t>
        </is>
      </c>
      <c r="G15" s="38" t="inlineStr">
        <is>
          <t>Direct seeding: 20–25 cm row spacing; Transplanting: 20×20 cm</t>
        </is>
      </c>
      <c r="H15" s="38" t="inlineStr">
        <is>
          <t>Rely on rainfall during WS; maintain minimum 3 cm water after establishment; drain 1–2 weeks before harvest</t>
        </is>
      </c>
      <c r="I15" s="38" t="inlineStr">
        <is>
          <t>Wet season rainfall (May–Nov) compensates for low water retention; use short-duration varieties (90–100 days) to avoid late-season dry spell; use drum seeder on flat fields for labor savings</t>
        </is>
      </c>
      <c r="J15" s="38" t="inlineStr">
        <is>
          <t>Pasileng Norte, Camanggaan, Capas, Mangkasuy, San Pablo, San Felipe Central, San Felipe Sur, Pasileng Sur, Sta. Maria Norte, Moreno</t>
        </is>
      </c>
    </row>
    <row r="16" ht="72" customHeight="1" s="101">
      <c r="A16" s="39" t="inlineStr">
        <is>
          <t>Silty Clay Loam</t>
        </is>
      </c>
      <c r="B16" s="40" t="inlineStr">
        <is>
          <t>DS (Nov–May)
Irrigated</t>
        </is>
      </c>
      <c r="C16" s="40" t="inlineStr">
        <is>
          <t>Transplanting
(Wetbed or Dapog Nursery)</t>
        </is>
      </c>
      <c r="D16" s="40" t="inlineStr">
        <is>
          <t>Wet preparation; 3–4× plowing &amp; cross-plowing; 3–4 harrowing passes (IRRI recommendation for loam-clay); soil holds structure well under puddling</t>
        </is>
      </c>
      <c r="E16" s="40" t="inlineStr">
        <is>
          <t>2–4 cm transplant depth; 14–21 day seedlings; deeper possible on clay loam — roots establish quickly</t>
        </is>
      </c>
      <c r="F16" s="40" t="inlineStr">
        <is>
          <t>20–25 kg/ha (nursery); 1–2 seedlings/hill</t>
        </is>
      </c>
      <c r="G16" s="40" t="inlineStr">
        <is>
          <t>20×20 cm standard; 25×25 cm for tillering varieties</t>
        </is>
      </c>
      <c r="H16" s="40" t="inlineStr">
        <is>
          <t>Silty clay loam retains moisture well; reduce irrigation frequency; monitor for waterlogging; AWD suitable; avoid prolonged flooding &gt;5 cm</t>
        </is>
      </c>
      <c r="I16" s="40" t="inlineStr">
        <is>
          <t>Best soil for irrigated lowland rice — high water-holding capacity reduces irrigation cost; risk of compaction after drying; apply potassium fertilizer to offset clay-binding; coated N fertilizer outperforms uncoated on silty clay soils (IRRI, 2022)</t>
        </is>
      </c>
      <c r="J16" s="40" t="inlineStr">
        <is>
          <t>Bued, Dumayat, Vacante, Cili, Linmansangan, Santiago, Balangobong, Tabuyoc</t>
        </is>
      </c>
    </row>
    <row r="17" ht="72" customHeight="1" s="101">
      <c r="A17" s="39" t="inlineStr">
        <is>
          <t>Silty Clay Loam</t>
        </is>
      </c>
      <c r="B17" s="40" t="inlineStr">
        <is>
          <t>WS (May–Nov)
Rainfed / Irrigated</t>
        </is>
      </c>
      <c r="C17" s="40" t="inlineStr">
        <is>
          <t>Transplanting or
Wet Direct Seeding</t>
        </is>
      </c>
      <c r="D17" s="40" t="inlineStr">
        <is>
          <t>Land preparation at onset of rains; wet bed method or dapog (mat nursery) preferred per PhilRice WS recommendation; repair levees early</t>
        </is>
      </c>
      <c r="E17" s="40" t="inlineStr">
        <is>
          <t>Transplant: 2–4 cm, 21 days old; Wet DS: pre-germinated, 1–2 cm</t>
        </is>
      </c>
      <c r="F17" s="40" t="inlineStr">
        <is>
          <t>Transplanting: 20–25 kg/ha; Wet DS: 60–80 kg/ha</t>
        </is>
      </c>
      <c r="G17" s="40" t="inlineStr">
        <is>
          <t>20×20 cm; WS — use varieties with strong stems to withstand 40–60 kph winds</t>
        </is>
      </c>
      <c r="H17" s="40" t="inlineStr">
        <is>
          <t>Rely on seasonal rainfall; silty clay loam reduces drainage needs; ensure drainage channels clear before harvest to avoid lodging losses</t>
        </is>
      </c>
      <c r="I17" s="40" t="inlineStr">
        <is>
          <t>Use flood-tolerant varieties (e.g., NSIC Rc-194) for barangays near Aloragat/Alibeng rivers prone to seasonal flooding; harvest timing critical — combine harvester recommended (PhilRice WS advisory)</t>
        </is>
      </c>
      <c r="J17" s="40" t="inlineStr">
        <is>
          <t>Bued, Dumayat, Vacante, Cili, Linmansangan, Santiago, Balangobong, Tabuyoc, Bugayong</t>
        </is>
      </c>
    </row>
    <row r="18" ht="72" customHeight="1" s="101">
      <c r="A18" s="37" t="inlineStr">
        <is>
          <t>Fine Sand /
Sandy Loam
(Sta. Catalina)</t>
        </is>
      </c>
      <c r="B18" s="38" t="inlineStr">
        <is>
          <t>DS &amp; WS
(Moderately Sloping
Terrain)</t>
        </is>
      </c>
      <c r="C18" s="38" t="inlineStr">
        <is>
          <t>Transplanting
(Drybed Nursery
or Wetbed)</t>
        </is>
      </c>
      <c r="D18" s="38" t="inlineStr">
        <is>
          <t>Dry preparation preferred (limited irrigation); 2–3 shallow cultivations; light planking; fine sand loses structure under heavy tillage</t>
        </is>
      </c>
      <c r="E18" s="38" t="inlineStr">
        <is>
          <t>2–3 cm transplant depth; older seedlings (21–25 days) recommended — more stress-tolerant</t>
        </is>
      </c>
      <c r="F18" s="38" t="inlineStr">
        <is>
          <t>25–30 kg/ha; fewer seedlings per hill for sloping terrain</t>
        </is>
      </c>
      <c r="G18" s="38" t="inlineStr">
        <is>
          <t>20×25 cm on slopes; align rows across slope contour to reduce runoff</t>
        </is>
      </c>
      <c r="H18" s="38" t="inlineStr">
        <is>
          <t>Highest irrigation need of all soil types; irrigate at soil tension 15–20 kPa (tensiometer); fine sand dries fastest — monitor daily during dry spells; AWD mandatory</t>
        </is>
      </c>
      <c r="I18" s="38" t="inlineStr">
        <is>
          <t>Moderately sloping terrain at ~90m ASL — terracing or tied ridges recommended to retain water and reduce erosion; nitrogen application at sowing critical (omission reduces yield 13–25% on sandy soils, IRRI study); use coarse sandy loam sections for corn instead of rice</t>
        </is>
      </c>
      <c r="J18" s="38" t="inlineStr">
        <is>
          <t>Sta. Catalina</t>
        </is>
      </c>
    </row>
    <row r="19" ht="72" customHeight="1" s="101">
      <c r="A19" s="41" t="inlineStr">
        <is>
          <t>Silty Clay Loam /
Fine Sandy Loam
(Sumabnit)</t>
        </is>
      </c>
      <c r="B19" s="42" t="inlineStr">
        <is>
          <t>DS &amp; WS</t>
        </is>
      </c>
      <c r="C19" s="42" t="inlineStr">
        <is>
          <t>Transplanting
(field-zone dependent)</t>
        </is>
      </c>
      <c r="D19" s="42" t="inlineStr">
        <is>
          <t>Zone-based preparation: wet prep for clay-loam patches, dry prep for sandy zones; level field carefully; adjust based on field drainage survey</t>
        </is>
      </c>
      <c r="E19" s="42" t="inlineStr">
        <is>
          <t>2–3 cm; adjust depth per zone (deeper on sandy zones)</t>
        </is>
      </c>
      <c r="F19" s="42" t="inlineStr">
        <is>
          <t>20–25 kg/ha</t>
        </is>
      </c>
      <c r="G19" s="42" t="inlineStr">
        <is>
          <t>20×20 cm or 25×25 cm per zone</t>
        </is>
      </c>
      <c r="H19" s="42" t="inlineStr">
        <is>
          <t>Intermediate water management; irrigate more frequently in sandy zones; monitor clay loam patches for waterlogging</t>
        </is>
      </c>
      <c r="I19" s="42" t="inlineStr">
        <is>
          <t>Mixed soil profile — consult per-plot drainage before deciding on direct seeding vs transplanting; nitrogen timing flexible but do not skip at sowing in sandy patches</t>
        </is>
      </c>
      <c r="J19" s="42" t="inlineStr">
        <is>
          <t>Sumabnit</t>
        </is>
      </c>
    </row>
    <row r="21" ht="19.5" customHeight="1" s="101">
      <c r="A21" s="108" t="inlineStr">
        <is>
          <t>SECTION 3 — CORN (HYBRID YELLOW) PLANTING TECHNIQUES BY SOIL TYPE</t>
        </is>
      </c>
    </row>
    <row r="22" ht="34.5" customHeight="1" s="101">
      <c r="A22" s="46" t="inlineStr">
        <is>
          <t>Soil Type</t>
        </is>
      </c>
      <c r="B22" s="46" t="inlineStr">
        <is>
          <t>Season</t>
        </is>
      </c>
      <c r="C22" s="46" t="inlineStr">
        <is>
          <t>Tillage Method</t>
        </is>
      </c>
      <c r="D22" s="46" t="inlineStr">
        <is>
          <t>Seed Depth</t>
        </is>
      </c>
      <c r="E22" s="46" t="inlineStr">
        <is>
          <t>Planting Spacing</t>
        </is>
      </c>
      <c r="F22" s="46" t="inlineStr">
        <is>
          <t>Seed Rate</t>
        </is>
      </c>
      <c r="G22" s="46" t="inlineStr">
        <is>
          <t>Moisture Condition at Planting</t>
        </is>
      </c>
      <c r="H22" s="46" t="inlineStr">
        <is>
          <t>Water Management</t>
        </is>
      </c>
      <c r="I22" s="46" t="inlineStr">
        <is>
          <t>Key Notes</t>
        </is>
      </c>
      <c r="J22" s="46" t="inlineStr">
        <is>
          <t>Applicable Barangays</t>
        </is>
      </c>
    </row>
    <row r="23" ht="72" customHeight="1" s="101">
      <c r="A23" s="37" t="inlineStr">
        <is>
          <t>Sandy Loam</t>
        </is>
      </c>
      <c r="B23" s="38" t="inlineStr">
        <is>
          <t>DS (Oct–May)</t>
        </is>
      </c>
      <c r="C23" s="38" t="inlineStr">
        <is>
          <t>Conventional Tillage
or Strip-Till;
2–3 passes plow + harrow</t>
        </is>
      </c>
      <c r="D23" s="38" t="inlineStr">
        <is>
          <t>4–5 cm
(deeper than silty clay — faster drainage requires seed below moisture zone)</t>
        </is>
      </c>
      <c r="E23" s="38" t="inlineStr">
        <is>
          <t>75 cm row × 25 cm hill
(1–2 seeds/hill)</t>
        </is>
      </c>
      <c r="F23" s="38" t="inlineStr">
        <is>
          <t>15–18 kg/ha</t>
        </is>
      </c>
      <c r="G23" s="38" t="inlineStr">
        <is>
          <t>Soil should be moist but not saturated at 5 cm depth; "squeeze test" — stays compressed = ready to plant; irrigate (rauni) then allow to reach "wattar" (field capacity) before seeding</t>
        </is>
      </c>
      <c r="H23" s="38" t="inlineStr">
        <is>
          <t>Sandy loam drains rapidly — irrigate at 5–7 day intervals during dry season; monitor for moisture stress at silking; consider furrow irrigation to concentrate water near root zone</t>
        </is>
      </c>
      <c r="I23" s="38" t="inlineStr">
        <is>
          <t>Sandy loam most common corn-growing soil in Binalonan; deeper seeding retains seed moisture; apply N fertilizer at sowing (omission reduces yield 13–25% on sandy soils, IRRI); strip-tillage conserves moisture better than full tillage; row spacing 0.5 m gives highest yield but 0.75 m is more practical for smallholders (Maize row-spacing study, 2023)</t>
        </is>
      </c>
      <c r="J23" s="38" t="inlineStr">
        <is>
          <t>Pasileng Norte, Camanggaan, Capas, Mangkasuy, San Pablo, San Felipe Central, San Felipe Sur, Pasileng Sur, Sta. Maria Norte, Moreno</t>
        </is>
      </c>
    </row>
    <row r="24" ht="72" customHeight="1" s="101">
      <c r="A24" s="39" t="inlineStr">
        <is>
          <t>Silty Clay Loam</t>
        </is>
      </c>
      <c r="B24" s="40" t="inlineStr">
        <is>
          <t>DS (Oct–May)</t>
        </is>
      </c>
      <c r="C24" s="40" t="inlineStr">
        <is>
          <t>Minimum/Reduced Tillage;
1–2 plow passes sufficient
(holds structure)</t>
        </is>
      </c>
      <c r="D24" s="40" t="inlineStr">
        <is>
          <t>3.5–4 cm
(shallower — silty clay retains moisture; seed does not need to reach deep)</t>
        </is>
      </c>
      <c r="E24" s="40" t="inlineStr">
        <is>
          <t>75 cm row × 25 cm hill
(1–2 seeds/hill)</t>
        </is>
      </c>
      <c r="F24" s="40" t="inlineStr">
        <is>
          <t>15–18 kg/ha</t>
        </is>
      </c>
      <c r="G24" s="40" t="inlineStr">
        <is>
          <t>Soil should be moist — do NOT plant in waterlogged silty clay (seed rots, poor germination); wait for hairline surface cracks to close before irrigating (clay holds residual moisture)</t>
        </is>
      </c>
      <c r="H24" s="40" t="inlineStr">
        <is>
          <t>Lower irrigation frequency than sandy loam; silty clay loam holds moisture 7–10 days; avoid overwatering — drainage channels must be clear; irrigate before hairline cracks form</t>
        </is>
      </c>
      <c r="I24" s="40" t="inlineStr">
        <is>
          <t>Silty clay loam holds moisture but risks compaction after rain + tillage; coated compound fertilizer significantly outperforms uncoated on clay/silty clay soils (IRRI, 2022); deeper N application (13–15 cm strip-till) improves uptake; plant 10 cm from fertilized strip-till row for best early-season growth (Cornell CALS / strip-till study)</t>
        </is>
      </c>
      <c r="J24" s="40" t="inlineStr">
        <is>
          <t>Bued, Dumayat, Vacante, Cili, Linmansangan, Santiago, Balangobong, Tabuyoc</t>
        </is>
      </c>
    </row>
    <row r="25" ht="72" customHeight="1" s="101">
      <c r="A25" s="41" t="inlineStr">
        <is>
          <t>Fine Sand /
Sandy Loam
(Sta. Catalina)</t>
        </is>
      </c>
      <c r="B25" s="42" t="inlineStr">
        <is>
          <t>DS (Oct–May)
Sloping terrain</t>
        </is>
      </c>
      <c r="C25" s="42" t="inlineStr">
        <is>
          <t>Minimum Tillage
or Zero Tillage;
contour plowing across slope</t>
        </is>
      </c>
      <c r="D25" s="42" t="inlineStr">
        <is>
          <t>5–6 cm
(deepest — fine sand dries very fast; seed must reach moisture zone)</t>
        </is>
      </c>
      <c r="E25" s="42" t="inlineStr">
        <is>
          <t>90 cm row × 25 cm hill
(wider rows on slopes to reduce erosion)</t>
        </is>
      </c>
      <c r="F25" s="42" t="inlineStr">
        <is>
          <t>12–15 kg/ha
(adjusted for slope losses)</t>
        </is>
      </c>
      <c r="G25" s="42" t="inlineStr">
        <is>
          <t>Must irrigate (rauni) or wait for rain before planting; fine sand dry-plants poorly — pre-germinate seeds (soak 12 hrs, drain 12 hrs, plant within 36 hrs) to accelerate germination</t>
        </is>
      </c>
      <c r="H25" s="42" t="inlineStr">
        <is>
          <t>Most irrigation-intensive of all soil types; irrigate every 4–5 days; consider drip or furrow irrigation on slopes; fine sand cannot hold ponded water</t>
        </is>
      </c>
      <c r="I25" s="42" t="inlineStr">
        <is>
          <t>Moderately sloping terrain at Sta. Catalina — contour farming essential to prevent soil and water loss; mulching with crop residue reduces evaporation; corn is more appropriate than rice at this location due to drainage; pre-germinated seeds strongly recommended on fine sand (reduces germination failure risk)</t>
        </is>
      </c>
      <c r="J25" s="42" t="inlineStr">
        <is>
          <t>Sta. Catalina</t>
        </is>
      </c>
    </row>
    <row r="26" ht="72" customHeight="1" s="101">
      <c r="A26" s="43" t="inlineStr">
        <is>
          <t>Sandy Loam /
Silty Clay Loam
(Mixed — Bugayong)</t>
        </is>
      </c>
      <c r="B26" s="44" t="inlineStr">
        <is>
          <t>DS (Oct–May)</t>
        </is>
      </c>
      <c r="C26" s="44" t="inlineStr">
        <is>
          <t>Zone-based Tillage;
depth varies by field block</t>
        </is>
      </c>
      <c r="D26" s="44" t="inlineStr">
        <is>
          <t>4–5 cm sandy zones;
3.5–4 cm clay-loam zones</t>
        </is>
      </c>
      <c r="E26" s="44" t="inlineStr">
        <is>
          <t>75 cm row × 25 cm hill</t>
        </is>
      </c>
      <c r="F26" s="44" t="inlineStr">
        <is>
          <t>15–18 kg/ha</t>
        </is>
      </c>
      <c r="G26" s="44" t="inlineStr">
        <is>
          <t>Zone-dependent; sandy blocks dry faster — plant those first after moisture check</t>
        </is>
      </c>
      <c r="H26" s="44" t="inlineStr">
        <is>
          <t>Irrigate sandy zones more frequently; clay-loam zones need drainage management</t>
        </is>
      </c>
      <c r="I26" s="44" t="inlineStr">
        <is>
          <t>Bugayong has mixed soil profile across plots — assign corn to sandy loam zones and rice to clay loam zones for optimal land use</t>
        </is>
      </c>
      <c r="J26" s="44" t="inlineStr">
        <is>
          <t>Bugayong</t>
        </is>
      </c>
    </row>
    <row r="27" ht="72" customHeight="1" s="101">
      <c r="A27" s="41" t="inlineStr">
        <is>
          <t>Silty Clay Loam /
Fine Sandy Loam
(Sumabnit)</t>
        </is>
      </c>
      <c r="B27" s="42" t="inlineStr">
        <is>
          <t>DS (Oct–May)</t>
        </is>
      </c>
      <c r="C27" s="42" t="inlineStr">
        <is>
          <t>Conventional Tillage;
zone-adjusted depth</t>
        </is>
      </c>
      <c r="D27" s="42" t="inlineStr">
        <is>
          <t>4–5 cm fine sandy patches;
3.5–4 cm clay-loam patches</t>
        </is>
      </c>
      <c r="E27" s="42" t="inlineStr">
        <is>
          <t>75 cm row × 25 cm hill</t>
        </is>
      </c>
      <c r="F27" s="42" t="inlineStr">
        <is>
          <t>15–18 kg/ha</t>
        </is>
      </c>
      <c r="G27" s="42" t="inlineStr">
        <is>
          <t>Intermediate; check moisture at both 5 cm and 15 cm depths before planting</t>
        </is>
      </c>
      <c r="H27" s="42" t="inlineStr">
        <is>
          <t>Monitor both zones; adjust irrigation frequency per field section</t>
        </is>
      </c>
      <c r="I27" s="42" t="inlineStr">
        <is>
          <t>Mixed profile similar to Bugayong; drainage survey recommended before DS planting</t>
        </is>
      </c>
      <c r="J27" s="42" t="inlineStr">
        <is>
          <t>Sumabnit</t>
        </is>
      </c>
    </row>
    <row r="29" ht="19.5" customHeight="1" s="101">
      <c r="A29" s="106" t="inlineStr">
        <is>
          <t>SECTION 4 — BARANGAY QUICK-REFERENCE: SOIL → RECOMMENDED TECHNIQUE</t>
        </is>
      </c>
    </row>
    <row r="30" ht="34.5" customHeight="1" s="101">
      <c r="A30" s="47" t="inlineStr">
        <is>
          <t>Barangay</t>
        </is>
      </c>
      <c r="B30" s="47" t="inlineStr">
        <is>
          <t>Soil Type</t>
        </is>
      </c>
      <c r="C30" s="47" t="inlineStr">
        <is>
          <t>Terrain</t>
        </is>
      </c>
      <c r="D30" s="47" t="inlineStr">
        <is>
          <t>Rice: Recommended Method</t>
        </is>
      </c>
      <c r="E30" s="47" t="inlineStr">
        <is>
          <t>Rice: Season Notes</t>
        </is>
      </c>
      <c r="F30" s="47" t="inlineStr">
        <is>
          <t>Corn: Recommended Method</t>
        </is>
      </c>
      <c r="G30" s="47" t="inlineStr">
        <is>
          <t>Corn: Seed Depth</t>
        </is>
      </c>
      <c r="H30" s="47" t="inlineStr">
        <is>
          <t>Irrigation Priority</t>
        </is>
      </c>
      <c r="I30" s="47" t="inlineStr">
        <is>
          <t>Land Prep Method</t>
        </is>
      </c>
      <c r="J30" s="47" t="inlineStr">
        <is>
          <t>Special Consideration</t>
        </is>
      </c>
    </row>
    <row r="31" ht="39.75" customHeight="1" s="101">
      <c r="A31" s="37" t="inlineStr">
        <is>
          <t>Pasileng Norte</t>
        </is>
      </c>
      <c r="B31" s="48" t="inlineStr">
        <is>
          <t>Sandy Loam</t>
        </is>
      </c>
      <c r="C31" s="48" t="inlineStr">
        <is>
          <t>Flat / Lowland</t>
        </is>
      </c>
      <c r="D31" s="48" t="inlineStr">
        <is>
          <t>Transplanting (Wetbed)</t>
        </is>
      </c>
      <c r="E31" s="48" t="inlineStr">
        <is>
          <t>DS irrigated; WS rainfed/direct seed</t>
        </is>
      </c>
      <c r="F31" s="48" t="inlineStr">
        <is>
          <t>Conventional tillage + direct seeding</t>
        </is>
      </c>
      <c r="G31" s="48" t="inlineStr">
        <is>
          <t>4–5 cm</t>
        </is>
      </c>
      <c r="H31" s="48" t="inlineStr">
        <is>
          <t>High</t>
        </is>
      </c>
      <c r="I31" s="48" t="inlineStr">
        <is>
          <t>Wet (puddle 2–3×)</t>
        </is>
      </c>
      <c r="J31" s="48" t="inlineStr">
        <is>
          <t>Frequent irrigation needed in DS</t>
        </is>
      </c>
    </row>
    <row r="32" ht="39.75" customHeight="1" s="101">
      <c r="A32" s="39" t="inlineStr">
        <is>
          <t>Tabuyoc</t>
        </is>
      </c>
      <c r="B32" s="49" t="inlineStr">
        <is>
          <t>Silty Clay Loam</t>
        </is>
      </c>
      <c r="C32" s="49" t="inlineStr">
        <is>
          <t>Flat / Lowland</t>
        </is>
      </c>
      <c r="D32" s="49" t="inlineStr">
        <is>
          <t>Transplanting (Wetbed/Dapog)</t>
        </is>
      </c>
      <c r="E32" s="49" t="inlineStr">
        <is>
          <t>DS irrigated; WS transplanting</t>
        </is>
      </c>
      <c r="F32" s="49" t="inlineStr">
        <is>
          <t>Reduced tillage</t>
        </is>
      </c>
      <c r="G32" s="49" t="inlineStr">
        <is>
          <t>3.5–4 cm</t>
        </is>
      </c>
      <c r="H32" s="49" t="inlineStr">
        <is>
          <t>Medium</t>
        </is>
      </c>
      <c r="I32" s="49" t="inlineStr">
        <is>
          <t>Wet (3–4× plow &amp; harrow)</t>
        </is>
      </c>
      <c r="J32" s="49" t="inlineStr">
        <is>
          <t>Good water retention; waterlogging risk</t>
        </is>
      </c>
    </row>
    <row r="33" ht="39.75" customHeight="1" s="101">
      <c r="A33" s="39" t="inlineStr">
        <is>
          <t>Bued</t>
        </is>
      </c>
      <c r="B33" s="49" t="inlineStr">
        <is>
          <t>Silty Clay Loam</t>
        </is>
      </c>
      <c r="C33" s="49" t="inlineStr">
        <is>
          <t>Flat / Lowland</t>
        </is>
      </c>
      <c r="D33" s="49" t="inlineStr">
        <is>
          <t>Transplanting (Wetbed/Dapog)</t>
        </is>
      </c>
      <c r="E33" s="49" t="inlineStr">
        <is>
          <t>DS irrigated; WS transplanting</t>
        </is>
      </c>
      <c r="F33" s="49" t="inlineStr">
        <is>
          <t>Reduced tillage</t>
        </is>
      </c>
      <c r="G33" s="49" t="inlineStr">
        <is>
          <t>3.5–4 cm</t>
        </is>
      </c>
      <c r="H33" s="49" t="inlineStr">
        <is>
          <t>Medium</t>
        </is>
      </c>
      <c r="I33" s="49" t="inlineStr">
        <is>
          <t>Wet (3–4× plow &amp; harrow)</t>
        </is>
      </c>
      <c r="J33" s="49" t="inlineStr">
        <is>
          <t>Near Tagamusing River — flood monitoring</t>
        </is>
      </c>
    </row>
    <row r="34" ht="39.75" customHeight="1" s="101">
      <c r="A34" s="39" t="inlineStr">
        <is>
          <t>Dumayat</t>
        </is>
      </c>
      <c r="B34" s="49" t="inlineStr">
        <is>
          <t>Silty Clay Loam</t>
        </is>
      </c>
      <c r="C34" s="49" t="inlineStr">
        <is>
          <t>Flat / Lowland</t>
        </is>
      </c>
      <c r="D34" s="49" t="inlineStr">
        <is>
          <t>Transplanting (Wetbed/Dapog)</t>
        </is>
      </c>
      <c r="E34" s="49" t="inlineStr">
        <is>
          <t>DS irrigated; WS transplanting/direct</t>
        </is>
      </c>
      <c r="F34" s="49" t="inlineStr">
        <is>
          <t>Reduced tillage</t>
        </is>
      </c>
      <c r="G34" s="49" t="inlineStr">
        <is>
          <t>3.5–4 cm</t>
        </is>
      </c>
      <c r="H34" s="49" t="inlineStr">
        <is>
          <t>Medium</t>
        </is>
      </c>
      <c r="I34" s="49" t="inlineStr">
        <is>
          <t>Wet (3–4× plow &amp; harrow)</t>
        </is>
      </c>
      <c r="J34" s="49" t="inlineStr">
        <is>
          <t>Good rice soil; drainage maintenance critical</t>
        </is>
      </c>
    </row>
    <row r="35" ht="39.75" customHeight="1" s="101">
      <c r="A35" s="37" t="inlineStr">
        <is>
          <t>Camanggaan</t>
        </is>
      </c>
      <c r="B35" s="48" t="inlineStr">
        <is>
          <t>Sandy Loam</t>
        </is>
      </c>
      <c r="C35" s="48" t="inlineStr">
        <is>
          <t>Flat / Lowland</t>
        </is>
      </c>
      <c r="D35" s="48" t="inlineStr">
        <is>
          <t>Transplanting (Wetbed)</t>
        </is>
      </c>
      <c r="E35" s="48" t="inlineStr">
        <is>
          <t>DS irrigated; WS wet direct seeding</t>
        </is>
      </c>
      <c r="F35" s="48" t="inlineStr">
        <is>
          <t>Conventional tillage</t>
        </is>
      </c>
      <c r="G35" s="48" t="inlineStr">
        <is>
          <t>4–5 cm</t>
        </is>
      </c>
      <c r="H35" s="48" t="inlineStr">
        <is>
          <t>High</t>
        </is>
      </c>
      <c r="I35" s="48" t="inlineStr">
        <is>
          <t>Wet (puddle 2–3×)</t>
        </is>
      </c>
      <c r="J35" s="48" t="inlineStr">
        <is>
          <t>Monitor soil moisture daily in DS</t>
        </is>
      </c>
    </row>
    <row r="36" ht="39.75" customHeight="1" s="101">
      <c r="A36" s="39" t="inlineStr">
        <is>
          <t>Vacante</t>
        </is>
      </c>
      <c r="B36" s="49" t="inlineStr">
        <is>
          <t>Silty Clay Loam</t>
        </is>
      </c>
      <c r="C36" s="49" t="inlineStr">
        <is>
          <t>Flat / Lowland</t>
        </is>
      </c>
      <c r="D36" s="49" t="inlineStr">
        <is>
          <t>Transplanting (Wetbed/Dapog)</t>
        </is>
      </c>
      <c r="E36" s="49" t="inlineStr">
        <is>
          <t>DS irrigated; WS transplanting</t>
        </is>
      </c>
      <c r="F36" s="49" t="inlineStr">
        <is>
          <t>Reduced tillage</t>
        </is>
      </c>
      <c r="G36" s="49" t="inlineStr">
        <is>
          <t>3.5–4 cm</t>
        </is>
      </c>
      <c r="H36" s="49" t="inlineStr">
        <is>
          <t>Medium</t>
        </is>
      </c>
      <c r="I36" s="49" t="inlineStr">
        <is>
          <t>Wet (3–4× plow &amp; harrow)</t>
        </is>
      </c>
      <c r="J36" s="49" t="inlineStr">
        <is>
          <t>Near Aloragat River — flood-tolerant varieties</t>
        </is>
      </c>
    </row>
    <row r="37" ht="39.75" customHeight="1" s="101">
      <c r="A37" s="41" t="inlineStr">
        <is>
          <t>Sta. Catalina</t>
        </is>
      </c>
      <c r="B37" s="50" t="inlineStr">
        <is>
          <t>Fine Sand / Sandy Loam</t>
        </is>
      </c>
      <c r="C37" s="50" t="inlineStr">
        <is>
          <t>Sloping / Highland</t>
        </is>
      </c>
      <c r="D37" s="50" t="inlineStr">
        <is>
          <t>Transplanting (Drybed or Wetbed)</t>
        </is>
      </c>
      <c r="E37" s="50" t="inlineStr">
        <is>
          <t>DS &amp; WS; use older seedlings (21–25 days)</t>
        </is>
      </c>
      <c r="F37" s="50" t="inlineStr">
        <is>
          <t>Minimum tillage; contour plowing</t>
        </is>
      </c>
      <c r="G37" s="50" t="inlineStr">
        <is>
          <t>5–6 cm</t>
        </is>
      </c>
      <c r="H37" s="50" t="inlineStr">
        <is>
          <t>Very High</t>
        </is>
      </c>
      <c r="I37" s="50" t="inlineStr">
        <is>
          <t>Dry prep preferred</t>
        </is>
      </c>
      <c r="J37" s="50" t="inlineStr">
        <is>
          <t>Terrace/contour farming; pre-germinate corn seeds; corn preferred over rice</t>
        </is>
      </c>
    </row>
    <row r="38" ht="39.75" customHeight="1" s="101">
      <c r="A38" s="37" t="inlineStr">
        <is>
          <t>Moreno</t>
        </is>
      </c>
      <c r="B38" s="48" t="inlineStr">
        <is>
          <t>Sandy Loam</t>
        </is>
      </c>
      <c r="C38" s="48" t="inlineStr">
        <is>
          <t>Sloping / Highland</t>
        </is>
      </c>
      <c r="D38" s="48" t="inlineStr">
        <is>
          <t>Transplanting (Drybed or Wetbed)</t>
        </is>
      </c>
      <c r="E38" s="48" t="inlineStr">
        <is>
          <t>DS &amp; WS; older seedlings; align rows across slope</t>
        </is>
      </c>
      <c r="F38" s="48" t="inlineStr">
        <is>
          <t>Minimum tillage; contour rows</t>
        </is>
      </c>
      <c r="G38" s="48" t="inlineStr">
        <is>
          <t>4–5 cm</t>
        </is>
      </c>
      <c r="H38" s="48" t="inlineStr">
        <is>
          <t>High</t>
        </is>
      </c>
      <c r="I38" s="48" t="inlineStr">
        <is>
          <t>Dry prep preferred</t>
        </is>
      </c>
      <c r="J38" s="48" t="inlineStr">
        <is>
          <t>Sloping terrain — erosion risk; tied ridges recommended</t>
        </is>
      </c>
    </row>
    <row r="39" ht="39.75" customHeight="1" s="101">
      <c r="A39" s="39" t="inlineStr">
        <is>
          <t>Cili</t>
        </is>
      </c>
      <c r="B39" s="49" t="inlineStr">
        <is>
          <t>Silty Clay Loam</t>
        </is>
      </c>
      <c r="C39" s="49" t="inlineStr">
        <is>
          <t>Flat / Lowland</t>
        </is>
      </c>
      <c r="D39" s="49" t="inlineStr">
        <is>
          <t>Transplanting (Wetbed/Dapog)</t>
        </is>
      </c>
      <c r="E39" s="49" t="inlineStr">
        <is>
          <t>DS irrigated; WS transplanting</t>
        </is>
      </c>
      <c r="F39" s="49" t="inlineStr">
        <is>
          <t>Reduced tillage</t>
        </is>
      </c>
      <c r="G39" s="49" t="inlineStr">
        <is>
          <t>3.5–4 cm</t>
        </is>
      </c>
      <c r="H39" s="49" t="inlineStr">
        <is>
          <t>Medium</t>
        </is>
      </c>
      <c r="I39" s="49" t="inlineStr">
        <is>
          <t>Wet (3–4× plow &amp; harrow)</t>
        </is>
      </c>
      <c r="J39" s="49" t="inlineStr">
        <is>
          <t>Near Alibeng River — monitor wet season flooding</t>
        </is>
      </c>
    </row>
    <row r="40" ht="39.75" customHeight="1" s="101">
      <c r="A40" s="39" t="inlineStr">
        <is>
          <t>Linmansangan</t>
        </is>
      </c>
      <c r="B40" s="49" t="inlineStr">
        <is>
          <t>Silty Clay Loam</t>
        </is>
      </c>
      <c r="C40" s="49" t="inlineStr">
        <is>
          <t>Flat / Lowland</t>
        </is>
      </c>
      <c r="D40" s="49" t="inlineStr">
        <is>
          <t>Transplanting (Wetbed/Dapog)</t>
        </is>
      </c>
      <c r="E40" s="49" t="inlineStr">
        <is>
          <t>DS irrigated; WS transplanting/direct</t>
        </is>
      </c>
      <c r="F40" s="49" t="inlineStr">
        <is>
          <t>Reduced tillage</t>
        </is>
      </c>
      <c r="G40" s="49" t="inlineStr">
        <is>
          <t>3.5–4 cm</t>
        </is>
      </c>
      <c r="H40" s="49" t="inlineStr">
        <is>
          <t>Medium</t>
        </is>
      </c>
      <c r="I40" s="49" t="inlineStr">
        <is>
          <t>Wet (3–4× plow &amp; harrow)</t>
        </is>
      </c>
      <c r="J40" s="49" t="inlineStr">
        <is>
          <t>Largest silty clay loam block; ideal for double-cropping</t>
        </is>
      </c>
    </row>
    <row r="41" ht="39.75" customHeight="1" s="101">
      <c r="A41" s="43" t="inlineStr">
        <is>
          <t>Sumabnit</t>
        </is>
      </c>
      <c r="B41" s="51" t="inlineStr">
        <is>
          <t>Silty Clay Loam / Fine Sandy Loam</t>
        </is>
      </c>
      <c r="C41" s="51" t="inlineStr">
        <is>
          <t>Flat/Lowland</t>
        </is>
      </c>
      <c r="D41" s="51" t="inlineStr">
        <is>
          <t>Transplanting (zone-based)</t>
        </is>
      </c>
      <c r="E41" s="51" t="inlineStr">
        <is>
          <t>Zone-based; clay patches DS irrigated</t>
        </is>
      </c>
      <c r="F41" s="51" t="inlineStr">
        <is>
          <t>Zone-based tillage depth</t>
        </is>
      </c>
      <c r="G41" s="51" t="inlineStr">
        <is>
          <t>3.5–5 cm</t>
        </is>
      </c>
      <c r="H41" s="51" t="inlineStr">
        <is>
          <t>Medium–High</t>
        </is>
      </c>
      <c r="I41" s="51" t="inlineStr">
        <is>
          <t>Zone-based wet/dry prep</t>
        </is>
      </c>
      <c r="J41" s="51" t="inlineStr">
        <is>
          <t>Mixed profile — drainage survey before each season</t>
        </is>
      </c>
    </row>
    <row r="42" ht="39.75" customHeight="1" s="101">
      <c r="A42" s="37" t="inlineStr">
        <is>
          <t>Capas</t>
        </is>
      </c>
      <c r="B42" s="48" t="inlineStr">
        <is>
          <t>Sandy Loam</t>
        </is>
      </c>
      <c r="C42" s="48" t="inlineStr">
        <is>
          <t>Flat / Lowland</t>
        </is>
      </c>
      <c r="D42" s="48" t="inlineStr">
        <is>
          <t>Transplanting (Wetbed)</t>
        </is>
      </c>
      <c r="E42" s="48" t="inlineStr">
        <is>
          <t>DS irrigated; WS wet direct seeding</t>
        </is>
      </c>
      <c r="F42" s="48" t="inlineStr">
        <is>
          <t>Conventional tillage</t>
        </is>
      </c>
      <c r="G42" s="48" t="inlineStr">
        <is>
          <t>4–5 cm</t>
        </is>
      </c>
      <c r="H42" s="48" t="inlineStr">
        <is>
          <t>High</t>
        </is>
      </c>
      <c r="I42" s="48" t="inlineStr">
        <is>
          <t>Wet (puddle 2–3×)</t>
        </is>
      </c>
      <c r="J42" s="48" t="inlineStr">
        <is>
          <t>High irrigation demand; AWD technique recommended</t>
        </is>
      </c>
    </row>
    <row r="43" ht="39.75" customHeight="1" s="101">
      <c r="A43" s="37" t="inlineStr">
        <is>
          <t>Mangkasuy</t>
        </is>
      </c>
      <c r="B43" s="48" t="inlineStr">
        <is>
          <t>Sandy Loam</t>
        </is>
      </c>
      <c r="C43" s="48" t="inlineStr">
        <is>
          <t>Flat / Lowland</t>
        </is>
      </c>
      <c r="D43" s="48" t="inlineStr">
        <is>
          <t>Transplanting (Wetbed)</t>
        </is>
      </c>
      <c r="E43" s="48" t="inlineStr">
        <is>
          <t>DS irrigated; WS wet direct seeding</t>
        </is>
      </c>
      <c r="F43" s="48" t="inlineStr">
        <is>
          <t>Conventional tillage</t>
        </is>
      </c>
      <c r="G43" s="48" t="inlineStr">
        <is>
          <t>4–5 cm</t>
        </is>
      </c>
      <c r="H43" s="48" t="inlineStr">
        <is>
          <t>High</t>
        </is>
      </c>
      <c r="I43" s="48" t="inlineStr">
        <is>
          <t>Wet (puddle 2–3×)</t>
        </is>
      </c>
      <c r="J43" s="48" t="inlineStr">
        <is>
          <t>Largest barangay (802 ha); near Tagamusing River</t>
        </is>
      </c>
    </row>
    <row r="44" ht="39.75" customHeight="1" s="101">
      <c r="A44" s="37" t="inlineStr">
        <is>
          <t>San Pablo</t>
        </is>
      </c>
      <c r="B44" s="48" t="inlineStr">
        <is>
          <t>Sandy Loam</t>
        </is>
      </c>
      <c r="C44" s="48" t="inlineStr">
        <is>
          <t>Flat / Lowland</t>
        </is>
      </c>
      <c r="D44" s="48" t="inlineStr">
        <is>
          <t>Transplanting (Wetbed)</t>
        </is>
      </c>
      <c r="E44" s="48" t="inlineStr">
        <is>
          <t>DS irrigated; WS wet direct seeding</t>
        </is>
      </c>
      <c r="F44" s="48" t="inlineStr">
        <is>
          <t>Conventional tillage</t>
        </is>
      </c>
      <c r="G44" s="48" t="inlineStr">
        <is>
          <t>4–5 cm</t>
        </is>
      </c>
      <c r="H44" s="48" t="inlineStr">
        <is>
          <t>High</t>
        </is>
      </c>
      <c r="I44" s="48" t="inlineStr">
        <is>
          <t>Wet (puddle 2–3×)</t>
        </is>
      </c>
      <c r="J44" s="48" t="inlineStr">
        <is>
          <t>Near San Pablo Creek; N fertilizer at sowing critical</t>
        </is>
      </c>
    </row>
    <row r="45" ht="39.75" customHeight="1" s="101">
      <c r="A45" s="39" t="inlineStr">
        <is>
          <t>Balangobong</t>
        </is>
      </c>
      <c r="B45" s="49" t="inlineStr">
        <is>
          <t>Silty Clay Loam</t>
        </is>
      </c>
      <c r="C45" s="49" t="inlineStr">
        <is>
          <t>Flat / Lowland</t>
        </is>
      </c>
      <c r="D45" s="49" t="inlineStr">
        <is>
          <t>Transplanting (Wetbed/Dapog)</t>
        </is>
      </c>
      <c r="E45" s="49" t="inlineStr">
        <is>
          <t>DS irrigated; WS transplanting</t>
        </is>
      </c>
      <c r="F45" s="49" t="inlineStr">
        <is>
          <t>Reduced tillage</t>
        </is>
      </c>
      <c r="G45" s="49" t="inlineStr">
        <is>
          <t>3.5–4 cm</t>
        </is>
      </c>
      <c r="H45" s="49" t="inlineStr">
        <is>
          <t>Medium</t>
        </is>
      </c>
      <c r="I45" s="49" t="inlineStr">
        <is>
          <t>Wet (3–4× plow &amp; harrow)</t>
        </is>
      </c>
      <c r="J45" s="49" t="inlineStr">
        <is>
          <t>Coated N fertilizer recommended for corn</t>
        </is>
      </c>
    </row>
    <row r="46" ht="39.75" customHeight="1" s="101">
      <c r="A46" s="37" t="inlineStr">
        <is>
          <t>San Felipe Central</t>
        </is>
      </c>
      <c r="B46" s="48" t="inlineStr">
        <is>
          <t>Sandy Loam</t>
        </is>
      </c>
      <c r="C46" s="48" t="inlineStr">
        <is>
          <t>Flat / Lowland</t>
        </is>
      </c>
      <c r="D46" s="48" t="inlineStr">
        <is>
          <t>Transplanting (Wetbed)</t>
        </is>
      </c>
      <c r="E46" s="48" t="inlineStr">
        <is>
          <t>DS irrigated; WS wet direct seeding</t>
        </is>
      </c>
      <c r="F46" s="48" t="inlineStr">
        <is>
          <t>Conventional tillage</t>
        </is>
      </c>
      <c r="G46" s="48" t="inlineStr">
        <is>
          <t>4–5 cm</t>
        </is>
      </c>
      <c r="H46" s="48" t="inlineStr">
        <is>
          <t>High</t>
        </is>
      </c>
      <c r="I46" s="48" t="inlineStr">
        <is>
          <t>Wet (puddle 2–3×)</t>
        </is>
      </c>
      <c r="J46" s="48" t="inlineStr">
        <is>
          <t>AWD after tillering; supplement K fertilizer</t>
        </is>
      </c>
    </row>
    <row r="47" ht="39.75" customHeight="1" s="101">
      <c r="A47" s="37" t="inlineStr">
        <is>
          <t>San Felipe Sur</t>
        </is>
      </c>
      <c r="B47" s="48" t="inlineStr">
        <is>
          <t>Sandy Loam</t>
        </is>
      </c>
      <c r="C47" s="48" t="inlineStr">
        <is>
          <t>Flat / Lowland</t>
        </is>
      </c>
      <c r="D47" s="48" t="inlineStr">
        <is>
          <t>Transplanting (Wetbed)</t>
        </is>
      </c>
      <c r="E47" s="48" t="inlineStr">
        <is>
          <t>DS irrigated; WS wet direct seeding</t>
        </is>
      </c>
      <c r="F47" s="48" t="inlineStr">
        <is>
          <t>Conventional tillage</t>
        </is>
      </c>
      <c r="G47" s="48" t="inlineStr">
        <is>
          <t>4–5 cm</t>
        </is>
      </c>
      <c r="H47" s="48" t="inlineStr">
        <is>
          <t>High</t>
        </is>
      </c>
      <c r="I47" s="48" t="inlineStr">
        <is>
          <t>Wet (puddle 2–3×)</t>
        </is>
      </c>
      <c r="J47" s="48" t="inlineStr">
        <is>
          <t>Near Tagamusing River; monitor canal access for DS</t>
        </is>
      </c>
    </row>
    <row r="48" ht="39.75" customHeight="1" s="101">
      <c r="A48" s="37" t="inlineStr">
        <is>
          <t>Pasileng Sur</t>
        </is>
      </c>
      <c r="B48" s="48" t="inlineStr">
        <is>
          <t>Sandy Loam</t>
        </is>
      </c>
      <c r="C48" s="48" t="inlineStr">
        <is>
          <t>Flat / Lowland</t>
        </is>
      </c>
      <c r="D48" s="48" t="inlineStr">
        <is>
          <t>Transplanting (Wetbed)</t>
        </is>
      </c>
      <c r="E48" s="48" t="inlineStr">
        <is>
          <t>DS irrigated; WS wet direct seeding</t>
        </is>
      </c>
      <c r="F48" s="48" t="inlineStr">
        <is>
          <t>Conventional tillage</t>
        </is>
      </c>
      <c r="G48" s="48" t="inlineStr">
        <is>
          <t>4–5 cm</t>
        </is>
      </c>
      <c r="H48" s="48" t="inlineStr">
        <is>
          <t>High</t>
        </is>
      </c>
      <c r="I48" s="48" t="inlineStr">
        <is>
          <t>Wet (puddle 2–3×)</t>
        </is>
      </c>
      <c r="J48" s="48" t="inlineStr">
        <is>
          <t>Near Tagamusing River; strip-till for corn conserves moisture</t>
        </is>
      </c>
    </row>
    <row r="49" ht="39.75" customHeight="1" s="101">
      <c r="A49" s="37" t="inlineStr">
        <is>
          <t>Sta. Maria Norte</t>
        </is>
      </c>
      <c r="B49" s="48" t="inlineStr">
        <is>
          <t>Sandy Loam</t>
        </is>
      </c>
      <c r="C49" s="48" t="inlineStr">
        <is>
          <t>Flat / Lowland</t>
        </is>
      </c>
      <c r="D49" s="48" t="inlineStr">
        <is>
          <t>Transplanting (Wetbed)</t>
        </is>
      </c>
      <c r="E49" s="48" t="inlineStr">
        <is>
          <t>DS irrigated; WS wet direct seeding</t>
        </is>
      </c>
      <c r="F49" s="48" t="inlineStr">
        <is>
          <t>Conventional tillage</t>
        </is>
      </c>
      <c r="G49" s="48" t="inlineStr">
        <is>
          <t>4–5 cm</t>
        </is>
      </c>
      <c r="H49" s="48" t="inlineStr">
        <is>
          <t>High</t>
        </is>
      </c>
      <c r="I49" s="48" t="inlineStr">
        <is>
          <t>Wet (puddle 2–3×)</t>
        </is>
      </c>
      <c r="J49" s="48" t="inlineStr">
        <is>
          <t>Smallest barangay (157 ha); near Tagamusing River</t>
        </is>
      </c>
    </row>
    <row r="50" ht="39.75" customHeight="1" s="101">
      <c r="A50" s="43" t="inlineStr">
        <is>
          <t>Bugayong</t>
        </is>
      </c>
      <c r="B50" s="51" t="inlineStr">
        <is>
          <t>Sandy Loam / Silty Clay Loam</t>
        </is>
      </c>
      <c r="C50" s="51" t="inlineStr">
        <is>
          <t>Flat / Lowland</t>
        </is>
      </c>
      <c r="D50" s="51" t="inlineStr">
        <is>
          <t>Transplanting (zone-based)</t>
        </is>
      </c>
      <c r="E50" s="51" t="inlineStr">
        <is>
          <t>Zone-based: clay patches → rice; sandy → corn</t>
        </is>
      </c>
      <c r="F50" s="51" t="inlineStr">
        <is>
          <t>Zone-based tillage</t>
        </is>
      </c>
      <c r="G50" s="51" t="inlineStr">
        <is>
          <t>4–5 cm sandy; 3.5–4 cm clay</t>
        </is>
      </c>
      <c r="H50" s="51" t="inlineStr">
        <is>
          <t>Medium–High</t>
        </is>
      </c>
      <c r="I50" s="51" t="inlineStr">
        <is>
          <t>Zone-based wet/dry</t>
        </is>
      </c>
      <c r="J50" s="51" t="inlineStr">
        <is>
          <t>Mixed profile; differentiate land use by soil zone</t>
        </is>
      </c>
    </row>
    <row r="51" ht="39.75" customHeight="1" s="101">
      <c r="A51" s="39" t="inlineStr">
        <is>
          <t>Santiago</t>
        </is>
      </c>
      <c r="B51" s="49" t="inlineStr">
        <is>
          <t>Silty Clay Loam</t>
        </is>
      </c>
      <c r="C51" s="49" t="inlineStr">
        <is>
          <t>Flat / Lowland</t>
        </is>
      </c>
      <c r="D51" s="49" t="inlineStr">
        <is>
          <t>Transplanting (Wetbed/Dapog)</t>
        </is>
      </c>
      <c r="E51" s="49" t="inlineStr">
        <is>
          <t>DS irrigated; WS transplanting</t>
        </is>
      </c>
      <c r="F51" s="49" t="inlineStr">
        <is>
          <t>Reduced tillage</t>
        </is>
      </c>
      <c r="G51" s="49" t="inlineStr">
        <is>
          <t>3.5–4 cm</t>
        </is>
      </c>
      <c r="H51" s="49" t="inlineStr">
        <is>
          <t>Medium</t>
        </is>
      </c>
      <c r="I51" s="49" t="inlineStr">
        <is>
          <t>Wet (3–4× plow &amp; harrow)</t>
        </is>
      </c>
      <c r="J51" s="49" t="inlineStr">
        <is>
          <t>Good rice soil; manage drainage before harvest</t>
        </is>
      </c>
    </row>
    <row r="53" ht="19.5" customHeight="1" s="101">
      <c r="A53" s="106" t="inlineStr">
        <is>
          <t>SECTION 5 — SOURCES &amp; REFERENCES FOR PLANTING TECHNIQUES</t>
        </is>
      </c>
    </row>
    <row r="54" ht="24.75" customHeight="1" s="101">
      <c r="A54" s="52" t="inlineStr">
        <is>
          <t>#</t>
        </is>
      </c>
      <c r="B54" s="52" t="inlineStr">
        <is>
          <t>Publication / Resource</t>
        </is>
      </c>
      <c r="C54" s="52" t="inlineStr">
        <is>
          <t>Author / Organization</t>
        </is>
      </c>
      <c r="D54" s="52" t="inlineStr">
        <is>
          <t>Key Content Relevant to Binalonan</t>
        </is>
      </c>
      <c r="E54" s="52" t="inlineStr">
        <is>
          <t>URL / Citation</t>
        </is>
      </c>
    </row>
    <row r="55" ht="36" customHeight="1" s="101">
      <c r="A55" s="53" t="inlineStr">
        <is>
          <t>1</t>
        </is>
      </c>
      <c r="B55" s="53" t="inlineStr">
        <is>
          <t>IRRI Rice Knowledge Bank — Land Preparation &amp; Seeding</t>
        </is>
      </c>
      <c r="C55" s="53" t="inlineStr">
        <is>
          <t>International Rice Research Institute (IRRI), Los Baños, Philippines</t>
        </is>
      </c>
      <c r="D55" s="53" t="inlineStr">
        <is>
          <t>Lowland vs. upland land preparation; wet vs. dry preparation criteria; water management guidelines</t>
        </is>
      </c>
      <c r="E55" s="54" t="inlineStr">
        <is>
          <t>http://www.knowledgebank.irri.org/step-by-step-production</t>
        </is>
      </c>
    </row>
    <row r="56" ht="36" customHeight="1" s="101">
      <c r="A56" s="55" t="inlineStr">
        <is>
          <t>2</t>
        </is>
      </c>
      <c r="B56" s="55" t="inlineStr">
        <is>
          <t>IRRI Rice Production Manual — 12 Steps to Successful Rice Production</t>
        </is>
      </c>
      <c r="C56" s="55" t="inlineStr">
        <is>
          <t>International Rice Research Institute (IRRI)</t>
        </is>
      </c>
      <c r="D56" s="55" t="inlineStr">
        <is>
          <t>Fertilizer recommendations by soil type (clay loam vs. sandy soils); water requirements; transplanting guidelines</t>
        </is>
      </c>
      <c r="E56" s="56" t="inlineStr">
        <is>
          <t>http://knowledgebank.irri.org/images/docs/12-Steps-Required-for-Successful-Rice-Production.pdf</t>
        </is>
      </c>
    </row>
    <row r="57" ht="36" customHeight="1" s="101">
      <c r="A57" s="53" t="inlineStr">
        <is>
          <t>3</t>
        </is>
      </c>
      <c r="B57" s="53" t="inlineStr">
        <is>
          <t>Nitrogen fertilizer response of dry direct-seeded rice in rainfed lowlands, Philippines</t>
        </is>
      </c>
      <c r="C57" s="53" t="inlineStr">
        <is>
          <t>Haefele et al. (2022), ScienceDirect / Field Crops Research</t>
        </is>
      </c>
      <c r="D57" s="53" t="inlineStr">
        <is>
          <t>N fertilizer timing by soil type; coated fertilizer outperformance on silty clay soils; 13–25% yield loss from N omission at sowing on sandy soils</t>
        </is>
      </c>
      <c r="E57" s="54" t="inlineStr">
        <is>
          <t>https://www.sciencedirect.com/science/article/abs/pii/S1161030122001010</t>
        </is>
      </c>
    </row>
    <row r="58" ht="36" customHeight="1" s="101">
      <c r="A58" s="55" t="inlineStr">
        <is>
          <t>4</t>
        </is>
      </c>
      <c r="B58" s="55" t="inlineStr">
        <is>
          <t>PhilRice — Recommended Varieties and Technologies for the Rainy (Wet) Season</t>
        </is>
      </c>
      <c r="C58" s="55" t="inlineStr">
        <is>
          <t>Philippine Rice Research Institute (PhilRice), Muñoz, Nueva Ecija</t>
        </is>
      </c>
      <c r="D58" s="55" t="inlineStr">
        <is>
          <t>WS land preparation; wetbed/dapog nursery methods; combine harvesting advisory; flood-tolerant varieties</t>
        </is>
      </c>
      <c r="E58" s="56" t="inlineStr">
        <is>
          <t>https://www.philrice.gov.ph/recommended-varieties-technologies-rainy-season/</t>
        </is>
      </c>
    </row>
    <row r="59" ht="36" customHeight="1" s="101">
      <c r="A59" s="53" t="inlineStr">
        <is>
          <t>5</t>
        </is>
      </c>
      <c r="B59" s="53" t="inlineStr">
        <is>
          <t>FAO/STI — Use of Submergence Rice Variety NSIC Rc-194 in Philippine Lowlands</t>
        </is>
      </c>
      <c r="C59" s="53" t="inlineStr">
        <is>
          <t>FAO Science, Technology and Innovation Portal</t>
        </is>
      </c>
      <c r="D59" s="53" t="inlineStr">
        <is>
          <t>Plowing/harrowing recommendations for sandy loam to silty loam soil (2–3 plowing, 3–4 harrowing); flood-tolerant variety suitability</t>
        </is>
      </c>
      <c r="E59" s="54" t="inlineStr">
        <is>
          <t>https://sti-portal.fao.org/innovations/use-submergence-rice-variety-nsic-rc-194-counteract-impacts-flooding</t>
        </is>
      </c>
    </row>
    <row r="60" ht="36" customHeight="1" s="101">
      <c r="A60" s="55" t="inlineStr">
        <is>
          <t>6</t>
        </is>
      </c>
      <c r="B60" s="55" t="inlineStr">
        <is>
          <t>The Evolution of Rice Production Practices in the Philippines</t>
        </is>
      </c>
      <c r="C60" s="55" t="inlineStr">
        <is>
          <t>PIDS — Philippine Institute for Development Studies (Discussion Paper 2005-14)</t>
        </is>
      </c>
      <c r="D60" s="55" t="inlineStr">
        <is>
          <t>Traditional lowland rice soil preferences (heavy clay, not too high N); upland rice on loamy soils; historical variety trends</t>
        </is>
      </c>
      <c r="E60" s="56" t="inlineStr">
        <is>
          <t>https://pidswebs.pids.gov.ph/CDN/PUBLICATIONS/pidsdps0514.pdf</t>
        </is>
      </c>
    </row>
    <row r="61" ht="36" customHeight="1" s="101">
      <c r="A61" s="53" t="inlineStr">
        <is>
          <t>7</t>
        </is>
      </c>
      <c r="B61" s="53" t="inlineStr">
        <is>
          <t>Manila Bulletin — Rice Transplanting Methods: A Crucial Factor for Successful Cultivation</t>
        </is>
      </c>
      <c r="C61" s="53" t="inlineStr">
        <is>
          <t>Manila Bulletin, August 2023</t>
        </is>
      </c>
      <c r="D61" s="53" t="inlineStr">
        <is>
          <t>Five Philippine rice transplanting methods: wetbed, drybed, dapog, direct seeding; pros/cons by water availability</t>
        </is>
      </c>
      <c r="E61" s="54" t="inlineStr">
        <is>
          <t>https://mb.com.ph/2023/8/2/rice-transplanting-methods-a-crucial-factor-for-successful-cultivation</t>
        </is>
      </c>
    </row>
    <row r="62" ht="36" customHeight="1" s="101">
      <c r="A62" s="55" t="inlineStr">
        <is>
          <t>8</t>
        </is>
      </c>
      <c r="B62" s="55" t="inlineStr">
        <is>
          <t>Cornell CALS — Corn Planting Techniques (Field Crops)</t>
        </is>
      </c>
      <c r="C62" s="55" t="inlineStr">
        <is>
          <t>Cornell University College of Agriculture and Life Sciences (CALS)</t>
        </is>
      </c>
      <c r="D62" s="55" t="inlineStr">
        <is>
          <t>Corn seeding depth by soil type: 1.5 in (silty clay loam) vs. 1.75–2 in (silt loam/sandy loam); soil moisture conditions for planting; strip-till fertilizer placement</t>
        </is>
      </c>
      <c r="E62" s="56" t="inlineStr">
        <is>
          <t>https://fieldcrops.cals.cornell.edu/corn/planting-techniques</t>
        </is>
      </c>
    </row>
    <row r="63" ht="36" customHeight="1" s="101">
      <c r="A63" s="53" t="inlineStr">
        <is>
          <t>9</t>
        </is>
      </c>
      <c r="B63" s="53" t="inlineStr">
        <is>
          <t>Corn Response as Affected by Planting Distance from Strip-Till Fertilized Rows</t>
        </is>
      </c>
      <c r="C63" s="53" t="inlineStr">
        <is>
          <t>Acharya &amp; Coulter (2016), PMC / Agronomy Journal</t>
        </is>
      </c>
      <c r="D63" s="53" t="inlineStr">
        <is>
          <t>Strip-till fertilizer depth (13–15 cm); optimal planting distance from fertilized row (10 cm); soil type effects on corn yield</t>
        </is>
      </c>
      <c r="E63" s="54" t="inlineStr">
        <is>
          <t>https://www.ncbi.nlm.nih.gov/pmc/articles/PMC4988967/</t>
        </is>
      </c>
    </row>
    <row r="64" ht="36" customHeight="1" s="101">
      <c r="A64" s="55" t="inlineStr">
        <is>
          <t>10</t>
        </is>
      </c>
      <c r="B64" s="55" t="inlineStr">
        <is>
          <t>Maize Yield Response, Root Distribution and Soil Desiccation as Affected by Row Spacing</t>
        </is>
      </c>
      <c r="C64" s="55" t="inlineStr">
        <is>
          <t>Bardi et al. (2023), MDPI Plants</t>
        </is>
      </c>
      <c r="D64" s="55" t="inlineStr">
        <is>
          <t>Row spacing 0.5 m highest yield (16.57 MT/ha); 0.75–1 m practical range; soil moisture and root density relationships on sandy clay loam</t>
        </is>
      </c>
      <c r="E64" s="56" t="inlineStr">
        <is>
          <t>https://www.ncbi.nlm.nih.gov/pmc/articles/PMC10057019/</t>
        </is>
      </c>
    </row>
    <row r="65" ht="36" customHeight="1" s="101">
      <c r="A65" s="53" t="inlineStr">
        <is>
          <t>11</t>
        </is>
      </c>
      <c r="B65" s="53" t="inlineStr">
        <is>
          <t>Package and Practices for Direct Seeded Rice — ICAR Central Rice Research Institute</t>
        </is>
      </c>
      <c r="C65" s="53" t="inlineStr">
        <is>
          <t>ICAR-CRRI Technology Bulletin No. 250</t>
        </is>
      </c>
      <c r="D65" s="53" t="inlineStr">
        <is>
          <t>Tensiometer-based irrigation scheduling (15–20 cm depth); light soils need more frequent irrigation; AWD methodology</t>
        </is>
      </c>
      <c r="E65" s="54" t="inlineStr">
        <is>
          <t>https://icar-crri.in/wp-content/uploads/2025/12/CRRI_Technology-Bulletin_No-250.pdf</t>
        </is>
      </c>
    </row>
    <row r="66" ht="36" customHeight="1" s="101">
      <c r="A66" s="55" t="inlineStr">
        <is>
          <t>12</t>
        </is>
      </c>
      <c r="B66" s="55" t="inlineStr">
        <is>
          <t>Transplanting Increases Leaf Production Rate in Rice</t>
        </is>
      </c>
      <c r="C66" s="55" t="inlineStr">
        <is>
          <t>van der Linden et al. (2021), bioRxiv / IRRI field experiments, Philippines</t>
        </is>
      </c>
      <c r="D66" s="55" t="inlineStr">
        <is>
          <t>Dry direct seeding vs. wet direct seeding vs. puddled transplanting comparison; 20×20 cm spacing; saturation protocols</t>
        </is>
      </c>
      <c r="E66" s="56" t="inlineStr">
        <is>
          <t>https://www.biorxiv.org/content/10.1101/2021.03.08.434354.full.pdf</t>
        </is>
      </c>
    </row>
  </sheetData>
  <mergeCells count="8">
    <mergeCell ref="A2:L2"/>
    <mergeCell ref="A29:L29"/>
    <mergeCell ref="A10:L10"/>
    <mergeCell ref="A1:L1"/>
    <mergeCell ref="A21:L21"/>
    <mergeCell ref="A53:L53"/>
    <mergeCell ref="A12:L12"/>
    <mergeCell ref="A4:L4"/>
  </mergeCells>
  <hyperlinks>
    <hyperlink xmlns:r="http://schemas.openxmlformats.org/officeDocument/2006/relationships" ref="E55" r:id="rId1"/>
    <hyperlink xmlns:r="http://schemas.openxmlformats.org/officeDocument/2006/relationships" ref="E56" r:id="rId2"/>
    <hyperlink xmlns:r="http://schemas.openxmlformats.org/officeDocument/2006/relationships" ref="E57" r:id="rId3"/>
    <hyperlink xmlns:r="http://schemas.openxmlformats.org/officeDocument/2006/relationships" ref="E58" r:id="rId4"/>
    <hyperlink xmlns:r="http://schemas.openxmlformats.org/officeDocument/2006/relationships" ref="E59" r:id="rId5"/>
    <hyperlink xmlns:r="http://schemas.openxmlformats.org/officeDocument/2006/relationships" ref="E60" r:id="rId6"/>
    <hyperlink xmlns:r="http://schemas.openxmlformats.org/officeDocument/2006/relationships" ref="E61" r:id="rId7"/>
    <hyperlink xmlns:r="http://schemas.openxmlformats.org/officeDocument/2006/relationships" ref="E62" r:id="rId8"/>
    <hyperlink xmlns:r="http://schemas.openxmlformats.org/officeDocument/2006/relationships" ref="E63" r:id="rId9"/>
    <hyperlink xmlns:r="http://schemas.openxmlformats.org/officeDocument/2006/relationships" ref="E64" r:id="rId10"/>
    <hyperlink xmlns:r="http://schemas.openxmlformats.org/officeDocument/2006/relationships" ref="E65" r:id="rId11"/>
    <hyperlink xmlns:r="http://schemas.openxmlformats.org/officeDocument/2006/relationships" ref="E66" r:id="rId12"/>
  </hyperlink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7"/>
  <sheetViews>
    <sheetView zoomScaleNormal="100" workbookViewId="0">
      <pane ySplit="3" topLeftCell="A4" activePane="bottomLeft" state="frozen"/>
      <selection pane="bottomLeft" activeCell="A1" sqref="A1:M1"/>
    </sheetView>
  </sheetViews>
  <sheetFormatPr baseColWidth="8" defaultColWidth="8.6640625" defaultRowHeight="14.4"/>
  <cols>
    <col width="8" customWidth="1" style="101" min="1" max="1"/>
    <col width="10" customWidth="1" style="101" min="2" max="2"/>
    <col width="9" customWidth="1" style="101" min="3" max="3"/>
    <col width="13" customWidth="1" style="101" min="4" max="4"/>
    <col width="11" customWidth="1" style="101" min="5" max="8"/>
    <col width="16" customWidth="1" style="101" min="9" max="10"/>
    <col width="10" customWidth="1" style="101" min="11" max="12"/>
    <col width="24" customWidth="1" style="101" min="13" max="13"/>
  </cols>
  <sheetData>
    <row r="1" ht="27.75" customHeight="1" s="101">
      <c r="A1" s="109" t="inlineStr">
        <is>
          <t>Binalonan, Pangasinan — Monthly Climate Data (NASA POWER, 2007–2023)</t>
        </is>
      </c>
    </row>
    <row r="2" ht="27.75" customHeight="1" s="101">
      <c r="A2" s="102" t="inlineStr">
        <is>
          <t>Source: NASA POWER Project (power.larc.nasa.gov) · Location: 16.0503°N, 120.5926°E · Parameters: PRECTOTCORR (mm/day), T2M °C, T2M_MAX °C, T2M_MIN °C, RH2M %, PS kPa, ALLSKY_SFC_SW_DWN MJ/m²/day</t>
        </is>
      </c>
    </row>
    <row r="3" ht="36" customHeight="1" s="101">
      <c r="A3" s="2" t="inlineStr">
        <is>
          <t>Year</t>
        </is>
      </c>
      <c r="B3" s="2" t="inlineStr">
        <is>
          <t>Month</t>
        </is>
      </c>
      <c r="C3" s="2" t="inlineStr">
        <is>
          <t>Month No.</t>
        </is>
      </c>
      <c r="D3" s="2" t="inlineStr">
        <is>
          <t>Rainfall
(mm/day)</t>
        </is>
      </c>
      <c r="E3" s="2" t="inlineStr">
        <is>
          <t>Avg Temp
(°C)</t>
        </is>
      </c>
      <c r="F3" s="2" t="inlineStr">
        <is>
          <t>Min Temp
(°C)</t>
        </is>
      </c>
      <c r="G3" s="2" t="inlineStr">
        <is>
          <t>Max Temp
(°C)</t>
        </is>
      </c>
      <c r="H3" s="2" t="inlineStr">
        <is>
          <t>Humidity
(%)</t>
        </is>
      </c>
      <c r="I3" s="2" t="inlineStr">
        <is>
          <t>Surface
Pressure (kPa)</t>
        </is>
      </c>
      <c r="J3" s="2" t="inlineStr">
        <is>
          <t>Solar Rad.
(MJ/m²/day)</t>
        </is>
      </c>
      <c r="K3" s="2" t="inlineStr">
        <is>
          <t>Latitude</t>
        </is>
      </c>
      <c r="L3" s="2" t="inlineStr">
        <is>
          <t>Longitude</t>
        </is>
      </c>
      <c r="M3" s="2" t="inlineStr">
        <is>
          <t>Location</t>
        </is>
      </c>
    </row>
    <row r="4" ht="15" customHeight="1" s="101">
      <c r="A4" s="57" t="n">
        <v>2007</v>
      </c>
      <c r="B4" s="57" t="inlineStr">
        <is>
          <t>January</t>
        </is>
      </c>
      <c r="C4" s="58" t="n">
        <v>1</v>
      </c>
      <c r="D4" s="7" t="n">
        <v>0.4</v>
      </c>
      <c r="E4" s="8" t="n">
        <v>24.24</v>
      </c>
      <c r="F4" s="8" t="n">
        <v>16.82</v>
      </c>
      <c r="G4" s="8" t="n">
        <v>31.18</v>
      </c>
      <c r="H4" s="8" t="n">
        <v>79.65000000000001</v>
      </c>
      <c r="I4" s="8" t="n">
        <v>98.68000000000001</v>
      </c>
      <c r="J4" s="8" t="n">
        <v>16.49</v>
      </c>
      <c r="K4" s="59" t="n">
        <v>16.0503</v>
      </c>
      <c r="L4" s="59" t="n">
        <v>120.5926</v>
      </c>
      <c r="M4" s="57" t="inlineStr">
        <is>
          <t>Binalonan, Pangasinan</t>
        </is>
      </c>
    </row>
    <row r="5" ht="15" customHeight="1" s="101">
      <c r="A5" s="60" t="n">
        <v>2007</v>
      </c>
      <c r="B5" s="60" t="inlineStr">
        <is>
          <t>February</t>
        </is>
      </c>
      <c r="C5" s="61" t="n">
        <v>2</v>
      </c>
      <c r="D5" s="62" t="n">
        <v>0.24</v>
      </c>
      <c r="E5" s="63" t="n">
        <v>24.87</v>
      </c>
      <c r="F5" s="63" t="n">
        <v>15.93</v>
      </c>
      <c r="G5" s="63" t="n">
        <v>33.25</v>
      </c>
      <c r="H5" s="63" t="n">
        <v>73.55</v>
      </c>
      <c r="I5" s="63" t="n">
        <v>98.63</v>
      </c>
      <c r="J5" s="63" t="n">
        <v>20.07</v>
      </c>
      <c r="K5" s="64" t="n">
        <v>16.0503</v>
      </c>
      <c r="L5" s="64" t="n">
        <v>120.5926</v>
      </c>
      <c r="M5" s="60" t="inlineStr">
        <is>
          <t>Binalonan, Pangasinan</t>
        </is>
      </c>
    </row>
    <row r="6" ht="15" customHeight="1" s="101">
      <c r="A6" s="57" t="n">
        <v>2007</v>
      </c>
      <c r="B6" s="57" t="inlineStr">
        <is>
          <t>March</t>
        </is>
      </c>
      <c r="C6" s="58" t="n">
        <v>3</v>
      </c>
      <c r="D6" s="7" t="n">
        <v>1.21</v>
      </c>
      <c r="E6" s="8" t="n">
        <v>26.63</v>
      </c>
      <c r="F6" s="8" t="n">
        <v>17.92</v>
      </c>
      <c r="G6" s="8" t="n">
        <v>36.16</v>
      </c>
      <c r="H6" s="8" t="n">
        <v>70.79000000000001</v>
      </c>
      <c r="I6" s="8" t="n">
        <v>98.52</v>
      </c>
      <c r="J6" s="8" t="n">
        <v>20.7</v>
      </c>
      <c r="K6" s="59" t="n">
        <v>16.0503</v>
      </c>
      <c r="L6" s="59" t="n">
        <v>120.5926</v>
      </c>
      <c r="M6" s="57" t="inlineStr">
        <is>
          <t>Binalonan, Pangasinan</t>
        </is>
      </c>
    </row>
    <row r="7" ht="15" customHeight="1" s="101">
      <c r="A7" s="60" t="n">
        <v>2007</v>
      </c>
      <c r="B7" s="60" t="inlineStr">
        <is>
          <t>April</t>
        </is>
      </c>
      <c r="C7" s="61" t="n">
        <v>4</v>
      </c>
      <c r="D7" s="62" t="n">
        <v>1.34</v>
      </c>
      <c r="E7" s="63" t="n">
        <v>28.54</v>
      </c>
      <c r="F7" s="63" t="n">
        <v>21.87</v>
      </c>
      <c r="G7" s="63" t="n">
        <v>38.29</v>
      </c>
      <c r="H7" s="63" t="n">
        <v>67.03</v>
      </c>
      <c r="I7" s="63" t="n">
        <v>98.42</v>
      </c>
      <c r="J7" s="63" t="n">
        <v>22.55</v>
      </c>
      <c r="K7" s="64" t="n">
        <v>16.0503</v>
      </c>
      <c r="L7" s="64" t="n">
        <v>120.5926</v>
      </c>
      <c r="M7" s="60" t="inlineStr">
        <is>
          <t>Binalonan, Pangasinan</t>
        </is>
      </c>
    </row>
    <row r="8" ht="15" customHeight="1" s="101">
      <c r="A8" s="57" t="n">
        <v>2007</v>
      </c>
      <c r="B8" s="57" t="inlineStr">
        <is>
          <t>May</t>
        </is>
      </c>
      <c r="C8" s="58" t="n">
        <v>5</v>
      </c>
      <c r="D8" s="7" t="n">
        <v>6.07</v>
      </c>
      <c r="E8" s="8" t="n">
        <v>27.71</v>
      </c>
      <c r="F8" s="8" t="n">
        <v>22.98</v>
      </c>
      <c r="G8" s="8" t="n">
        <v>37.72</v>
      </c>
      <c r="H8" s="8" t="n">
        <v>75.79000000000001</v>
      </c>
      <c r="I8" s="8" t="n">
        <v>98.27</v>
      </c>
      <c r="J8" s="8" t="n">
        <v>19.95</v>
      </c>
      <c r="K8" s="59" t="n">
        <v>16.0503</v>
      </c>
      <c r="L8" s="59" t="n">
        <v>120.5926</v>
      </c>
      <c r="M8" s="57" t="inlineStr">
        <is>
          <t>Binalonan, Pangasinan</t>
        </is>
      </c>
    </row>
    <row r="9" ht="15" customHeight="1" s="101">
      <c r="A9" s="60" t="n">
        <v>2007</v>
      </c>
      <c r="B9" s="60" t="inlineStr">
        <is>
          <t>June</t>
        </is>
      </c>
      <c r="C9" s="61" t="n">
        <v>6</v>
      </c>
      <c r="D9" s="62" t="n">
        <v>7.23</v>
      </c>
      <c r="E9" s="63" t="n">
        <v>27.33</v>
      </c>
      <c r="F9" s="63" t="n">
        <v>23.33</v>
      </c>
      <c r="G9" s="63" t="n">
        <v>34.15</v>
      </c>
      <c r="H9" s="63" t="n">
        <v>81.68000000000001</v>
      </c>
      <c r="I9" s="63" t="n">
        <v>98.15000000000001</v>
      </c>
      <c r="J9" s="63" t="n">
        <v>20.49</v>
      </c>
      <c r="K9" s="64" t="n">
        <v>16.0503</v>
      </c>
      <c r="L9" s="64" t="n">
        <v>120.5926</v>
      </c>
      <c r="M9" s="60" t="inlineStr">
        <is>
          <t>Binalonan, Pangasinan</t>
        </is>
      </c>
    </row>
    <row r="10" ht="15" customHeight="1" s="101">
      <c r="A10" s="57" t="n">
        <v>2007</v>
      </c>
      <c r="B10" s="57" t="inlineStr">
        <is>
          <t>July</t>
        </is>
      </c>
      <c r="C10" s="58" t="n">
        <v>7</v>
      </c>
      <c r="D10" s="7" t="n">
        <v>8.16</v>
      </c>
      <c r="E10" s="8" t="n">
        <v>26.8</v>
      </c>
      <c r="F10" s="8" t="n">
        <v>23.36</v>
      </c>
      <c r="G10" s="8" t="n">
        <v>32.42</v>
      </c>
      <c r="H10" s="8" t="n">
        <v>84.97</v>
      </c>
      <c r="I10" s="8" t="n">
        <v>98.15000000000001</v>
      </c>
      <c r="J10" s="8" t="n">
        <v>20.41</v>
      </c>
      <c r="K10" s="59" t="n">
        <v>16.0503</v>
      </c>
      <c r="L10" s="59" t="n">
        <v>120.5926</v>
      </c>
      <c r="M10" s="57" t="inlineStr">
        <is>
          <t>Binalonan, Pangasinan</t>
        </is>
      </c>
    </row>
    <row r="11" ht="15" customHeight="1" s="101">
      <c r="A11" s="60" t="n">
        <v>2007</v>
      </c>
      <c r="B11" s="60" t="inlineStr">
        <is>
          <t>August</t>
        </is>
      </c>
      <c r="C11" s="61" t="n">
        <v>8</v>
      </c>
      <c r="D11" s="62" t="n">
        <v>24.35</v>
      </c>
      <c r="E11" s="63" t="n">
        <v>25.66</v>
      </c>
      <c r="F11" s="63" t="n">
        <v>21.88</v>
      </c>
      <c r="G11" s="63" t="n">
        <v>30.78</v>
      </c>
      <c r="H11" s="63" t="n">
        <v>90.64</v>
      </c>
      <c r="I11" s="63" t="n">
        <v>98.06</v>
      </c>
      <c r="J11" s="63" t="n">
        <v>14.95</v>
      </c>
      <c r="K11" s="64" t="n">
        <v>16.0503</v>
      </c>
      <c r="L11" s="64" t="n">
        <v>120.5926</v>
      </c>
      <c r="M11" s="60" t="inlineStr">
        <is>
          <t>Binalonan, Pangasinan</t>
        </is>
      </c>
    </row>
    <row r="12" ht="15" customHeight="1" s="101">
      <c r="A12" s="57" t="n">
        <v>2007</v>
      </c>
      <c r="B12" s="57" t="inlineStr">
        <is>
          <t>September</t>
        </is>
      </c>
      <c r="C12" s="58" t="n">
        <v>9</v>
      </c>
      <c r="D12" s="7" t="n">
        <v>12.02</v>
      </c>
      <c r="E12" s="8" t="n">
        <v>25.53</v>
      </c>
      <c r="F12" s="8" t="n">
        <v>22.31</v>
      </c>
      <c r="G12" s="8" t="n">
        <v>30.81</v>
      </c>
      <c r="H12" s="8" t="n">
        <v>90.33</v>
      </c>
      <c r="I12" s="8" t="n">
        <v>97.95999999999999</v>
      </c>
      <c r="J12" s="8" t="n">
        <v>16.8</v>
      </c>
      <c r="K12" s="59" t="n">
        <v>16.0503</v>
      </c>
      <c r="L12" s="59" t="n">
        <v>120.5926</v>
      </c>
      <c r="M12" s="57" t="inlineStr">
        <is>
          <t>Binalonan, Pangasinan</t>
        </is>
      </c>
    </row>
    <row r="13" ht="15" customHeight="1" s="101">
      <c r="A13" s="60" t="n">
        <v>2007</v>
      </c>
      <c r="B13" s="60" t="inlineStr">
        <is>
          <t>October</t>
        </is>
      </c>
      <c r="C13" s="61" t="n">
        <v>10</v>
      </c>
      <c r="D13" s="62" t="n">
        <v>7.37</v>
      </c>
      <c r="E13" s="63" t="n">
        <v>25.82</v>
      </c>
      <c r="F13" s="63" t="n">
        <v>20.53</v>
      </c>
      <c r="G13" s="63" t="n">
        <v>31.33</v>
      </c>
      <c r="H13" s="63" t="n">
        <v>85.2</v>
      </c>
      <c r="I13" s="63" t="n">
        <v>98.20999999999999</v>
      </c>
      <c r="J13" s="63" t="n">
        <v>16.84</v>
      </c>
      <c r="K13" s="64" t="n">
        <v>16.0503</v>
      </c>
      <c r="L13" s="64" t="n">
        <v>120.5926</v>
      </c>
      <c r="M13" s="60" t="inlineStr">
        <is>
          <t>Binalonan, Pangasinan</t>
        </is>
      </c>
    </row>
    <row r="14" ht="15" customHeight="1" s="101">
      <c r="A14" s="57" t="n">
        <v>2007</v>
      </c>
      <c r="B14" s="57" t="inlineStr">
        <is>
          <t>November</t>
        </is>
      </c>
      <c r="C14" s="58" t="n">
        <v>11</v>
      </c>
      <c r="D14" s="7" t="n">
        <v>10.35</v>
      </c>
      <c r="E14" s="8" t="n">
        <v>24.84</v>
      </c>
      <c r="F14" s="8" t="n">
        <v>17.27</v>
      </c>
      <c r="G14" s="8" t="n">
        <v>31.19</v>
      </c>
      <c r="H14" s="8" t="n">
        <v>85.23</v>
      </c>
      <c r="I14" s="8" t="n">
        <v>98.13</v>
      </c>
      <c r="J14" s="8" t="n">
        <v>13.67</v>
      </c>
      <c r="K14" s="59" t="n">
        <v>16.0503</v>
      </c>
      <c r="L14" s="59" t="n">
        <v>120.5926</v>
      </c>
      <c r="M14" s="57" t="inlineStr">
        <is>
          <t>Binalonan, Pangasinan</t>
        </is>
      </c>
    </row>
    <row r="15" ht="15" customHeight="1" s="101">
      <c r="A15" s="60" t="n">
        <v>2007</v>
      </c>
      <c r="B15" s="60" t="inlineStr">
        <is>
          <t>December</t>
        </is>
      </c>
      <c r="C15" s="61" t="n">
        <v>12</v>
      </c>
      <c r="D15" s="62" t="n">
        <v>0.9</v>
      </c>
      <c r="E15" s="63" t="n">
        <v>24.31</v>
      </c>
      <c r="F15" s="63" t="n">
        <v>15.77</v>
      </c>
      <c r="G15" s="63" t="n">
        <v>30.72</v>
      </c>
      <c r="H15" s="63" t="n">
        <v>84.16</v>
      </c>
      <c r="I15" s="63" t="n">
        <v>98.41</v>
      </c>
      <c r="J15" s="63" t="n">
        <v>15.66</v>
      </c>
      <c r="K15" s="64" t="n">
        <v>16.0503</v>
      </c>
      <c r="L15" s="64" t="n">
        <v>120.5926</v>
      </c>
      <c r="M15" s="60" t="inlineStr">
        <is>
          <t>Binalonan, Pangasinan</t>
        </is>
      </c>
    </row>
    <row r="16" ht="15" customHeight="1" s="101">
      <c r="A16" s="57" t="n">
        <v>2008</v>
      </c>
      <c r="B16" s="57" t="inlineStr">
        <is>
          <t>January</t>
        </is>
      </c>
      <c r="C16" s="58" t="n">
        <v>1</v>
      </c>
      <c r="D16" s="7" t="n">
        <v>1.45</v>
      </c>
      <c r="E16" s="8" t="n">
        <v>23.94</v>
      </c>
      <c r="F16" s="8" t="n">
        <v>17.59</v>
      </c>
      <c r="G16" s="8" t="n">
        <v>30.5</v>
      </c>
      <c r="H16" s="8" t="n">
        <v>81.62</v>
      </c>
      <c r="I16" s="8" t="n">
        <v>98.54000000000001</v>
      </c>
      <c r="J16" s="8" t="n">
        <v>16.06</v>
      </c>
      <c r="K16" s="59" t="n">
        <v>16.0503</v>
      </c>
      <c r="L16" s="59" t="n">
        <v>120.5926</v>
      </c>
      <c r="M16" s="57" t="inlineStr">
        <is>
          <t>Binalonan, Pangasinan</t>
        </is>
      </c>
    </row>
    <row r="17" ht="15" customHeight="1" s="101">
      <c r="A17" s="60" t="n">
        <v>2008</v>
      </c>
      <c r="B17" s="60" t="inlineStr">
        <is>
          <t>February</t>
        </is>
      </c>
      <c r="C17" s="61" t="n">
        <v>2</v>
      </c>
      <c r="D17" s="62" t="n">
        <v>1.87</v>
      </c>
      <c r="E17" s="63" t="n">
        <v>24.13</v>
      </c>
      <c r="F17" s="63" t="n">
        <v>17.71</v>
      </c>
      <c r="G17" s="63" t="n">
        <v>31.51</v>
      </c>
      <c r="H17" s="63" t="n">
        <v>77.12</v>
      </c>
      <c r="I17" s="63" t="n">
        <v>98.54000000000001</v>
      </c>
      <c r="J17" s="63" t="n">
        <v>16.81</v>
      </c>
      <c r="K17" s="64" t="n">
        <v>16.0503</v>
      </c>
      <c r="L17" s="64" t="n">
        <v>120.5926</v>
      </c>
      <c r="M17" s="60" t="inlineStr">
        <is>
          <t>Binalonan, Pangasinan</t>
        </is>
      </c>
    </row>
    <row r="18" ht="15" customHeight="1" s="101">
      <c r="A18" s="57" t="n">
        <v>2008</v>
      </c>
      <c r="B18" s="57" t="inlineStr">
        <is>
          <t>March</t>
        </is>
      </c>
      <c r="C18" s="58" t="n">
        <v>3</v>
      </c>
      <c r="D18" s="7" t="n">
        <v>1.42</v>
      </c>
      <c r="E18" s="8" t="n">
        <v>25.73</v>
      </c>
      <c r="F18" s="8" t="n">
        <v>18.13</v>
      </c>
      <c r="G18" s="8" t="n">
        <v>34.5</v>
      </c>
      <c r="H18" s="8" t="n">
        <v>74.54000000000001</v>
      </c>
      <c r="I18" s="8" t="n">
        <v>98.42</v>
      </c>
      <c r="J18" s="8" t="n">
        <v>20.66</v>
      </c>
      <c r="K18" s="59" t="n">
        <v>16.0503</v>
      </c>
      <c r="L18" s="59" t="n">
        <v>120.5926</v>
      </c>
      <c r="M18" s="57" t="inlineStr">
        <is>
          <t>Binalonan, Pangasinan</t>
        </is>
      </c>
    </row>
    <row r="19" ht="15" customHeight="1" s="101">
      <c r="A19" s="60" t="n">
        <v>2008</v>
      </c>
      <c r="B19" s="60" t="inlineStr">
        <is>
          <t>April</t>
        </is>
      </c>
      <c r="C19" s="61" t="n">
        <v>4</v>
      </c>
      <c r="D19" s="62" t="n">
        <v>2.85</v>
      </c>
      <c r="E19" s="63" t="n">
        <v>27.82</v>
      </c>
      <c r="F19" s="63" t="n">
        <v>21.6</v>
      </c>
      <c r="G19" s="63" t="n">
        <v>36.25</v>
      </c>
      <c r="H19" s="63" t="n">
        <v>71.59999999999999</v>
      </c>
      <c r="I19" s="63" t="n">
        <v>98.31999999999999</v>
      </c>
      <c r="J19" s="63" t="n">
        <v>22.34</v>
      </c>
      <c r="K19" s="64" t="n">
        <v>16.0503</v>
      </c>
      <c r="L19" s="64" t="n">
        <v>120.5926</v>
      </c>
      <c r="M19" s="60" t="inlineStr">
        <is>
          <t>Binalonan, Pangasinan</t>
        </is>
      </c>
    </row>
    <row r="20" ht="15" customHeight="1" s="101">
      <c r="A20" s="57" t="n">
        <v>2008</v>
      </c>
      <c r="B20" s="57" t="inlineStr">
        <is>
          <t>May</t>
        </is>
      </c>
      <c r="C20" s="58" t="n">
        <v>5</v>
      </c>
      <c r="D20" s="7" t="n">
        <v>14.07</v>
      </c>
      <c r="E20" s="8" t="n">
        <v>26.24</v>
      </c>
      <c r="F20" s="8" t="n">
        <v>22.11</v>
      </c>
      <c r="G20" s="8" t="n">
        <v>33.01</v>
      </c>
      <c r="H20" s="8" t="n">
        <v>84.31</v>
      </c>
      <c r="I20" s="8" t="n">
        <v>98.03</v>
      </c>
      <c r="J20" s="8" t="n">
        <v>19.34</v>
      </c>
      <c r="K20" s="59" t="n">
        <v>16.0503</v>
      </c>
      <c r="L20" s="59" t="n">
        <v>120.5926</v>
      </c>
      <c r="M20" s="57" t="inlineStr">
        <is>
          <t>Binalonan, Pangasinan</t>
        </is>
      </c>
    </row>
    <row r="21" ht="15" customHeight="1" s="101">
      <c r="A21" s="60" t="n">
        <v>2008</v>
      </c>
      <c r="B21" s="60" t="inlineStr">
        <is>
          <t>June</t>
        </is>
      </c>
      <c r="C21" s="61" t="n">
        <v>6</v>
      </c>
      <c r="D21" s="62" t="n">
        <v>8.26</v>
      </c>
      <c r="E21" s="63" t="n">
        <v>26.42</v>
      </c>
      <c r="F21" s="63" t="n">
        <v>22.03</v>
      </c>
      <c r="G21" s="63" t="n">
        <v>32.6</v>
      </c>
      <c r="H21" s="63" t="n">
        <v>84</v>
      </c>
      <c r="I21" s="63" t="n">
        <v>98.23</v>
      </c>
      <c r="J21" s="63" t="n">
        <v>20.43</v>
      </c>
      <c r="K21" s="64" t="n">
        <v>16.0503</v>
      </c>
      <c r="L21" s="64" t="n">
        <v>120.5926</v>
      </c>
      <c r="M21" s="60" t="inlineStr">
        <is>
          <t>Binalonan, Pangasinan</t>
        </is>
      </c>
    </row>
    <row r="22" ht="15" customHeight="1" s="101">
      <c r="A22" s="57" t="n">
        <v>2008</v>
      </c>
      <c r="B22" s="57" t="inlineStr">
        <is>
          <t>July</t>
        </is>
      </c>
      <c r="C22" s="58" t="n">
        <v>7</v>
      </c>
      <c r="D22" s="7" t="n">
        <v>13.19</v>
      </c>
      <c r="E22" s="8" t="n">
        <v>25.81</v>
      </c>
      <c r="F22" s="8" t="n">
        <v>22.08</v>
      </c>
      <c r="G22" s="8" t="n">
        <v>31.92</v>
      </c>
      <c r="H22" s="8" t="n">
        <v>87.43000000000001</v>
      </c>
      <c r="I22" s="8" t="n">
        <v>98.17</v>
      </c>
      <c r="J22" s="8" t="n">
        <v>16.98</v>
      </c>
      <c r="K22" s="59" t="n">
        <v>16.0503</v>
      </c>
      <c r="L22" s="59" t="n">
        <v>120.5926</v>
      </c>
      <c r="M22" s="57" t="inlineStr">
        <is>
          <t>Binalonan, Pangasinan</t>
        </is>
      </c>
    </row>
    <row r="23" ht="15" customHeight="1" s="101">
      <c r="A23" s="60" t="n">
        <v>2008</v>
      </c>
      <c r="B23" s="60" t="inlineStr">
        <is>
          <t>August</t>
        </is>
      </c>
      <c r="C23" s="61" t="n">
        <v>8</v>
      </c>
      <c r="D23" s="62" t="n">
        <v>19.36</v>
      </c>
      <c r="E23" s="63" t="n">
        <v>25.45</v>
      </c>
      <c r="F23" s="63" t="n">
        <v>21.96</v>
      </c>
      <c r="G23" s="63" t="n">
        <v>30.89</v>
      </c>
      <c r="H23" s="63" t="n">
        <v>89.48999999999999</v>
      </c>
      <c r="I23" s="63" t="n">
        <v>98.18000000000001</v>
      </c>
      <c r="J23" s="63" t="n">
        <v>15.56</v>
      </c>
      <c r="K23" s="64" t="n">
        <v>16.0503</v>
      </c>
      <c r="L23" s="64" t="n">
        <v>120.5926</v>
      </c>
      <c r="M23" s="60" t="inlineStr">
        <is>
          <t>Binalonan, Pangasinan</t>
        </is>
      </c>
    </row>
    <row r="24" ht="15" customHeight="1" s="101">
      <c r="A24" s="57" t="n">
        <v>2008</v>
      </c>
      <c r="B24" s="57" t="inlineStr">
        <is>
          <t>September</t>
        </is>
      </c>
      <c r="C24" s="58" t="n">
        <v>9</v>
      </c>
      <c r="D24" s="7" t="n">
        <v>16.05</v>
      </c>
      <c r="E24" s="8" t="n">
        <v>25.88</v>
      </c>
      <c r="F24" s="8" t="n">
        <v>22.24</v>
      </c>
      <c r="G24" s="8" t="n">
        <v>31.82</v>
      </c>
      <c r="H24" s="8" t="n">
        <v>88.5</v>
      </c>
      <c r="I24" s="8" t="n">
        <v>98.09999999999999</v>
      </c>
      <c r="J24" s="8" t="n">
        <v>17.11</v>
      </c>
      <c r="K24" s="59" t="n">
        <v>16.0503</v>
      </c>
      <c r="L24" s="59" t="n">
        <v>120.5926</v>
      </c>
      <c r="M24" s="57" t="inlineStr">
        <is>
          <t>Binalonan, Pangasinan</t>
        </is>
      </c>
    </row>
    <row r="25" ht="15" customHeight="1" s="101">
      <c r="A25" s="60" t="n">
        <v>2008</v>
      </c>
      <c r="B25" s="60" t="inlineStr">
        <is>
          <t>October</t>
        </is>
      </c>
      <c r="C25" s="61" t="n">
        <v>10</v>
      </c>
      <c r="D25" s="62" t="n">
        <v>4.88</v>
      </c>
      <c r="E25" s="63" t="n">
        <v>26.49</v>
      </c>
      <c r="F25" s="63" t="n">
        <v>21.3</v>
      </c>
      <c r="G25" s="63" t="n">
        <v>31.97</v>
      </c>
      <c r="H25" s="63" t="n">
        <v>84.93000000000001</v>
      </c>
      <c r="I25" s="63" t="n">
        <v>98.34999999999999</v>
      </c>
      <c r="J25" s="63" t="n">
        <v>17.81</v>
      </c>
      <c r="K25" s="64" t="n">
        <v>16.0503</v>
      </c>
      <c r="L25" s="64" t="n">
        <v>120.5926</v>
      </c>
      <c r="M25" s="60" t="inlineStr">
        <is>
          <t>Binalonan, Pangasinan</t>
        </is>
      </c>
    </row>
    <row r="26" ht="15" customHeight="1" s="101">
      <c r="A26" s="57" t="n">
        <v>2008</v>
      </c>
      <c r="B26" s="57" t="inlineStr">
        <is>
          <t>November</t>
        </is>
      </c>
      <c r="C26" s="58" t="n">
        <v>11</v>
      </c>
      <c r="D26" s="7" t="n">
        <v>4.93</v>
      </c>
      <c r="E26" s="8" t="n">
        <v>25.54</v>
      </c>
      <c r="F26" s="8" t="n">
        <v>20.05</v>
      </c>
      <c r="G26" s="8" t="n">
        <v>31.29</v>
      </c>
      <c r="H26" s="8" t="n">
        <v>84.67</v>
      </c>
      <c r="I26" s="8" t="n">
        <v>98.38</v>
      </c>
      <c r="J26" s="8" t="n">
        <v>14.8</v>
      </c>
      <c r="K26" s="59" t="n">
        <v>16.0503</v>
      </c>
      <c r="L26" s="59" t="n">
        <v>120.5926</v>
      </c>
      <c r="M26" s="57" t="inlineStr">
        <is>
          <t>Binalonan, Pangasinan</t>
        </is>
      </c>
    </row>
    <row r="27" ht="15" customHeight="1" s="101">
      <c r="A27" s="60" t="n">
        <v>2008</v>
      </c>
      <c r="B27" s="60" t="inlineStr">
        <is>
          <t>December</t>
        </is>
      </c>
      <c r="C27" s="61" t="n">
        <v>12</v>
      </c>
      <c r="D27" s="62" t="n">
        <v>0.43</v>
      </c>
      <c r="E27" s="63" t="n">
        <v>24.01</v>
      </c>
      <c r="F27" s="63" t="n">
        <v>16.66</v>
      </c>
      <c r="G27" s="63" t="n">
        <v>30.53</v>
      </c>
      <c r="H27" s="63" t="n">
        <v>80.52</v>
      </c>
      <c r="I27" s="63" t="n">
        <v>98.45999999999999</v>
      </c>
      <c r="J27" s="63" t="n">
        <v>15.73</v>
      </c>
      <c r="K27" s="64" t="n">
        <v>16.0503</v>
      </c>
      <c r="L27" s="64" t="n">
        <v>120.5926</v>
      </c>
      <c r="M27" s="60" t="inlineStr">
        <is>
          <t>Binalonan, Pangasinan</t>
        </is>
      </c>
    </row>
    <row r="28" ht="15" customHeight="1" s="101">
      <c r="A28" s="57" t="n">
        <v>2009</v>
      </c>
      <c r="B28" s="57" t="inlineStr">
        <is>
          <t>January</t>
        </is>
      </c>
      <c r="C28" s="58" t="n">
        <v>1</v>
      </c>
      <c r="D28" s="7" t="n">
        <v>0.37</v>
      </c>
      <c r="E28" s="8" t="n">
        <v>23.05</v>
      </c>
      <c r="F28" s="8" t="n">
        <v>14.1</v>
      </c>
      <c r="G28" s="8" t="n">
        <v>31.33</v>
      </c>
      <c r="H28" s="8" t="n">
        <v>77.59999999999999</v>
      </c>
      <c r="I28" s="8" t="n">
        <v>98.59999999999999</v>
      </c>
      <c r="J28" s="8" t="n">
        <v>15.67</v>
      </c>
      <c r="K28" s="59" t="n">
        <v>16.0503</v>
      </c>
      <c r="L28" s="59" t="n">
        <v>120.5926</v>
      </c>
      <c r="M28" s="57" t="inlineStr">
        <is>
          <t>Binalonan, Pangasinan</t>
        </is>
      </c>
    </row>
    <row r="29" ht="15" customHeight="1" s="101">
      <c r="A29" s="60" t="n">
        <v>2009</v>
      </c>
      <c r="B29" s="60" t="inlineStr">
        <is>
          <t>February</t>
        </is>
      </c>
      <c r="C29" s="61" t="n">
        <v>2</v>
      </c>
      <c r="D29" s="62" t="n">
        <v>1.17</v>
      </c>
      <c r="E29" s="63" t="n">
        <v>25.54</v>
      </c>
      <c r="F29" s="63" t="n">
        <v>17.66</v>
      </c>
      <c r="G29" s="63" t="n">
        <v>33.81</v>
      </c>
      <c r="H29" s="63" t="n">
        <v>75.47</v>
      </c>
      <c r="I29" s="63" t="n">
        <v>98.45999999999999</v>
      </c>
      <c r="J29" s="63" t="n">
        <v>18.59</v>
      </c>
      <c r="K29" s="64" t="n">
        <v>16.0503</v>
      </c>
      <c r="L29" s="64" t="n">
        <v>120.5926</v>
      </c>
      <c r="M29" s="60" t="inlineStr">
        <is>
          <t>Binalonan, Pangasinan</t>
        </is>
      </c>
    </row>
    <row r="30" ht="15" customHeight="1" s="101">
      <c r="A30" s="57" t="n">
        <v>2009</v>
      </c>
      <c r="B30" s="57" t="inlineStr">
        <is>
          <t>March</t>
        </is>
      </c>
      <c r="C30" s="58" t="n">
        <v>3</v>
      </c>
      <c r="D30" s="7" t="n">
        <v>1.46</v>
      </c>
      <c r="E30" s="8" t="n">
        <v>27.28</v>
      </c>
      <c r="F30" s="8" t="n">
        <v>18.63</v>
      </c>
      <c r="G30" s="8" t="n">
        <v>35.03</v>
      </c>
      <c r="H30" s="8" t="n">
        <v>70.81</v>
      </c>
      <c r="I30" s="8" t="n">
        <v>98.45999999999999</v>
      </c>
      <c r="J30" s="8" t="n">
        <v>20.74</v>
      </c>
      <c r="K30" s="59" t="n">
        <v>16.0503</v>
      </c>
      <c r="L30" s="59" t="n">
        <v>120.5926</v>
      </c>
      <c r="M30" s="57" t="inlineStr">
        <is>
          <t>Binalonan, Pangasinan</t>
        </is>
      </c>
    </row>
    <row r="31" ht="15" customHeight="1" s="101">
      <c r="A31" s="60" t="n">
        <v>2009</v>
      </c>
      <c r="B31" s="60" t="inlineStr">
        <is>
          <t>April</t>
        </is>
      </c>
      <c r="C31" s="61" t="n">
        <v>4</v>
      </c>
      <c r="D31" s="62" t="n">
        <v>8.800000000000001</v>
      </c>
      <c r="E31" s="63" t="n">
        <v>27.17</v>
      </c>
      <c r="F31" s="63" t="n">
        <v>21.23</v>
      </c>
      <c r="G31" s="63" t="n">
        <v>36.39</v>
      </c>
      <c r="H31" s="63" t="n">
        <v>76.12</v>
      </c>
      <c r="I31" s="63" t="n">
        <v>98.28</v>
      </c>
      <c r="J31" s="63" t="n">
        <v>19.64</v>
      </c>
      <c r="K31" s="64" t="n">
        <v>16.0503</v>
      </c>
      <c r="L31" s="64" t="n">
        <v>120.5926</v>
      </c>
      <c r="M31" s="60" t="inlineStr">
        <is>
          <t>Binalonan, Pangasinan</t>
        </is>
      </c>
    </row>
    <row r="32" ht="15" customHeight="1" s="101">
      <c r="A32" s="57" t="n">
        <v>2009</v>
      </c>
      <c r="B32" s="57" t="inlineStr">
        <is>
          <t>May</t>
        </is>
      </c>
      <c r="C32" s="58" t="n">
        <v>5</v>
      </c>
      <c r="D32" s="7" t="n">
        <v>9.42</v>
      </c>
      <c r="E32" s="8" t="n">
        <v>26.41</v>
      </c>
      <c r="F32" s="8" t="n">
        <v>21.86</v>
      </c>
      <c r="G32" s="8" t="n">
        <v>32.12</v>
      </c>
      <c r="H32" s="8" t="n">
        <v>82.65000000000001</v>
      </c>
      <c r="I32" s="8" t="n">
        <v>98.18000000000001</v>
      </c>
      <c r="J32" s="8" t="n">
        <v>19.49</v>
      </c>
      <c r="K32" s="59" t="n">
        <v>16.0503</v>
      </c>
      <c r="L32" s="59" t="n">
        <v>120.5926</v>
      </c>
      <c r="M32" s="57" t="inlineStr">
        <is>
          <t>Binalonan, Pangasinan</t>
        </is>
      </c>
    </row>
    <row r="33" ht="15" customHeight="1" s="101">
      <c r="A33" s="60" t="n">
        <v>2009</v>
      </c>
      <c r="B33" s="60" t="inlineStr">
        <is>
          <t>June</t>
        </is>
      </c>
      <c r="C33" s="61" t="n">
        <v>6</v>
      </c>
      <c r="D33" s="62" t="n">
        <v>20.19</v>
      </c>
      <c r="E33" s="63" t="n">
        <v>25.96</v>
      </c>
      <c r="F33" s="63" t="n">
        <v>21.99</v>
      </c>
      <c r="G33" s="63" t="n">
        <v>30.69</v>
      </c>
      <c r="H33" s="63" t="n">
        <v>89.14</v>
      </c>
      <c r="I33" s="63" t="n">
        <v>98.09999999999999</v>
      </c>
      <c r="J33" s="63" t="n">
        <v>17</v>
      </c>
      <c r="K33" s="64" t="n">
        <v>16.0503</v>
      </c>
      <c r="L33" s="64" t="n">
        <v>120.5926</v>
      </c>
      <c r="M33" s="60" t="inlineStr">
        <is>
          <t>Binalonan, Pangasinan</t>
        </is>
      </c>
    </row>
    <row r="34" ht="15" customHeight="1" s="101">
      <c r="A34" s="57" t="n">
        <v>2009</v>
      </c>
      <c r="B34" s="57" t="inlineStr">
        <is>
          <t>July</t>
        </is>
      </c>
      <c r="C34" s="58" t="n">
        <v>7</v>
      </c>
      <c r="D34" s="7" t="n">
        <v>18.8</v>
      </c>
      <c r="E34" s="8" t="n">
        <v>25.85</v>
      </c>
      <c r="F34" s="8" t="n">
        <v>22.76</v>
      </c>
      <c r="G34" s="8" t="n">
        <v>31.49</v>
      </c>
      <c r="H34" s="8" t="n">
        <v>90.11</v>
      </c>
      <c r="I34" s="8" t="n">
        <v>98.06</v>
      </c>
      <c r="J34" s="8" t="n">
        <v>17.84</v>
      </c>
      <c r="K34" s="59" t="n">
        <v>16.0503</v>
      </c>
      <c r="L34" s="59" t="n">
        <v>120.5926</v>
      </c>
      <c r="M34" s="57" t="inlineStr">
        <is>
          <t>Binalonan, Pangasinan</t>
        </is>
      </c>
    </row>
    <row r="35" ht="15" customHeight="1" s="101">
      <c r="A35" s="60" t="n">
        <v>2009</v>
      </c>
      <c r="B35" s="60" t="inlineStr">
        <is>
          <t>August</t>
        </is>
      </c>
      <c r="C35" s="61" t="n">
        <v>8</v>
      </c>
      <c r="D35" s="62" t="n">
        <v>15.78</v>
      </c>
      <c r="E35" s="63" t="n">
        <v>26.25</v>
      </c>
      <c r="F35" s="63" t="n">
        <v>23.31</v>
      </c>
      <c r="G35" s="63" t="n">
        <v>30.44</v>
      </c>
      <c r="H35" s="63" t="n">
        <v>90.03</v>
      </c>
      <c r="I35" s="63" t="n">
        <v>97.95999999999999</v>
      </c>
      <c r="J35" s="63" t="n">
        <v>18.25</v>
      </c>
      <c r="K35" s="64" t="n">
        <v>16.0503</v>
      </c>
      <c r="L35" s="64" t="n">
        <v>120.5926</v>
      </c>
      <c r="M35" s="60" t="inlineStr">
        <is>
          <t>Binalonan, Pangasinan</t>
        </is>
      </c>
    </row>
    <row r="36" ht="15" customHeight="1" s="101">
      <c r="A36" s="57" t="n">
        <v>2009</v>
      </c>
      <c r="B36" s="57" t="inlineStr">
        <is>
          <t>September</t>
        </is>
      </c>
      <c r="C36" s="58" t="n">
        <v>9</v>
      </c>
      <c r="D36" s="7" t="n">
        <v>19.7</v>
      </c>
      <c r="E36" s="8" t="n">
        <v>25.8</v>
      </c>
      <c r="F36" s="8" t="n">
        <v>22.98</v>
      </c>
      <c r="G36" s="8" t="n">
        <v>31.87</v>
      </c>
      <c r="H36" s="8" t="n">
        <v>91.73</v>
      </c>
      <c r="I36" s="8" t="n">
        <v>97.97</v>
      </c>
      <c r="J36" s="8" t="n">
        <v>15.53</v>
      </c>
      <c r="K36" s="59" t="n">
        <v>16.0503</v>
      </c>
      <c r="L36" s="59" t="n">
        <v>120.5926</v>
      </c>
      <c r="M36" s="57" t="inlineStr">
        <is>
          <t>Binalonan, Pangasinan</t>
        </is>
      </c>
    </row>
    <row r="37" ht="15" customHeight="1" s="101">
      <c r="A37" s="60" t="n">
        <v>2009</v>
      </c>
      <c r="B37" s="60" t="inlineStr">
        <is>
          <t>October</t>
        </is>
      </c>
      <c r="C37" s="61" t="n">
        <v>10</v>
      </c>
      <c r="D37" s="62" t="n">
        <v>27.7</v>
      </c>
      <c r="E37" s="63" t="n">
        <v>25.04</v>
      </c>
      <c r="F37" s="63" t="n">
        <v>17.93</v>
      </c>
      <c r="G37" s="63" t="n">
        <v>30.17</v>
      </c>
      <c r="H37" s="63" t="n">
        <v>88.13</v>
      </c>
      <c r="I37" s="63" t="n">
        <v>98.11</v>
      </c>
      <c r="J37" s="63" t="n">
        <v>14.36</v>
      </c>
      <c r="K37" s="64" t="n">
        <v>16.0503</v>
      </c>
      <c r="L37" s="64" t="n">
        <v>120.5926</v>
      </c>
      <c r="M37" s="60" t="inlineStr">
        <is>
          <t>Binalonan, Pangasinan</t>
        </is>
      </c>
    </row>
    <row r="38" ht="15" customHeight="1" s="101">
      <c r="A38" s="57" t="n">
        <v>2009</v>
      </c>
      <c r="B38" s="57" t="inlineStr">
        <is>
          <t>November</t>
        </is>
      </c>
      <c r="C38" s="58" t="n">
        <v>11</v>
      </c>
      <c r="D38" s="7" t="n">
        <v>1.1</v>
      </c>
      <c r="E38" s="8" t="n">
        <v>25.55</v>
      </c>
      <c r="F38" s="8" t="n">
        <v>20.26</v>
      </c>
      <c r="G38" s="8" t="n">
        <v>31.27</v>
      </c>
      <c r="H38" s="8" t="n">
        <v>82.26000000000001</v>
      </c>
      <c r="I38" s="8" t="n">
        <v>98.38</v>
      </c>
      <c r="J38" s="8" t="n">
        <v>17.71</v>
      </c>
      <c r="K38" s="59" t="n">
        <v>16.0503</v>
      </c>
      <c r="L38" s="59" t="n">
        <v>120.5926</v>
      </c>
      <c r="M38" s="57" t="inlineStr">
        <is>
          <t>Binalonan, Pangasinan</t>
        </is>
      </c>
    </row>
    <row r="39" ht="15" customHeight="1" s="101">
      <c r="A39" s="60" t="n">
        <v>2009</v>
      </c>
      <c r="B39" s="60" t="inlineStr">
        <is>
          <t>December</t>
        </is>
      </c>
      <c r="C39" s="61" t="n">
        <v>12</v>
      </c>
      <c r="D39" s="62" t="n">
        <v>0.23</v>
      </c>
      <c r="E39" s="63" t="n">
        <v>23.8</v>
      </c>
      <c r="F39" s="63" t="n">
        <v>16.97</v>
      </c>
      <c r="G39" s="63" t="n">
        <v>30.75</v>
      </c>
      <c r="H39" s="63" t="n">
        <v>77.59</v>
      </c>
      <c r="I39" s="63" t="n">
        <v>98.62</v>
      </c>
      <c r="J39" s="63" t="n">
        <v>16.94</v>
      </c>
      <c r="K39" s="64" t="n">
        <v>16.0503</v>
      </c>
      <c r="L39" s="64" t="n">
        <v>120.5926</v>
      </c>
      <c r="M39" s="60" t="inlineStr">
        <is>
          <t>Binalonan, Pangasinan</t>
        </is>
      </c>
    </row>
    <row r="40" ht="15" customHeight="1" s="101">
      <c r="A40" s="57" t="n">
        <v>2010</v>
      </c>
      <c r="B40" s="57" t="inlineStr">
        <is>
          <t>January</t>
        </is>
      </c>
      <c r="C40" s="58" t="n">
        <v>1</v>
      </c>
      <c r="D40" s="7" t="n">
        <v>0.29</v>
      </c>
      <c r="E40" s="8" t="n">
        <v>23.85</v>
      </c>
      <c r="F40" s="8" t="n">
        <v>16.58</v>
      </c>
      <c r="G40" s="8" t="n">
        <v>31.43</v>
      </c>
      <c r="H40" s="8" t="n">
        <v>75.22</v>
      </c>
      <c r="I40" s="8" t="n">
        <v>98.72</v>
      </c>
      <c r="J40" s="8" t="n">
        <v>17.56</v>
      </c>
      <c r="K40" s="59" t="n">
        <v>16.0503</v>
      </c>
      <c r="L40" s="59" t="n">
        <v>120.5926</v>
      </c>
      <c r="M40" s="57" t="inlineStr">
        <is>
          <t>Binalonan, Pangasinan</t>
        </is>
      </c>
    </row>
    <row r="41" ht="15" customHeight="1" s="101">
      <c r="A41" s="60" t="n">
        <v>2010</v>
      </c>
      <c r="B41" s="60" t="inlineStr">
        <is>
          <t>February</t>
        </is>
      </c>
      <c r="C41" s="61" t="n">
        <v>2</v>
      </c>
      <c r="D41" s="62" t="n">
        <v>0.16</v>
      </c>
      <c r="E41" s="63" t="n">
        <v>25.8</v>
      </c>
      <c r="F41" s="63" t="n">
        <v>18.28</v>
      </c>
      <c r="G41" s="63" t="n">
        <v>34.86</v>
      </c>
      <c r="H41" s="63" t="n">
        <v>69.52</v>
      </c>
      <c r="I41" s="63" t="n">
        <v>98.69</v>
      </c>
      <c r="J41" s="63" t="n">
        <v>20.81</v>
      </c>
      <c r="K41" s="64" t="n">
        <v>16.0503</v>
      </c>
      <c r="L41" s="64" t="n">
        <v>120.5926</v>
      </c>
      <c r="M41" s="60" t="inlineStr">
        <is>
          <t>Binalonan, Pangasinan</t>
        </is>
      </c>
    </row>
    <row r="42" ht="15" customHeight="1" s="101">
      <c r="A42" s="57" t="n">
        <v>2010</v>
      </c>
      <c r="B42" s="57" t="inlineStr">
        <is>
          <t>March</t>
        </is>
      </c>
      <c r="C42" s="58" t="n">
        <v>3</v>
      </c>
      <c r="D42" s="7" t="n">
        <v>0.4</v>
      </c>
      <c r="E42" s="8" t="n">
        <v>27.87</v>
      </c>
      <c r="F42" s="8" t="n">
        <v>19.98</v>
      </c>
      <c r="G42" s="8" t="n">
        <v>37.54</v>
      </c>
      <c r="H42" s="8" t="n">
        <v>61.38</v>
      </c>
      <c r="I42" s="8" t="n">
        <v>98.62</v>
      </c>
      <c r="J42" s="8" t="n">
        <v>22.47</v>
      </c>
      <c r="K42" s="59" t="n">
        <v>16.0503</v>
      </c>
      <c r="L42" s="59" t="n">
        <v>120.5926</v>
      </c>
      <c r="M42" s="57" t="inlineStr">
        <is>
          <t>Binalonan, Pangasinan</t>
        </is>
      </c>
    </row>
    <row r="43" ht="15" customHeight="1" s="101">
      <c r="A43" s="60" t="n">
        <v>2010</v>
      </c>
      <c r="B43" s="60" t="inlineStr">
        <is>
          <t>April</t>
        </is>
      </c>
      <c r="C43" s="61" t="n">
        <v>4</v>
      </c>
      <c r="D43" s="62" t="n">
        <v>2.91</v>
      </c>
      <c r="E43" s="63" t="n">
        <v>29.48</v>
      </c>
      <c r="F43" s="63" t="n">
        <v>21.44</v>
      </c>
      <c r="G43" s="63" t="n">
        <v>38.97</v>
      </c>
      <c r="H43" s="63" t="n">
        <v>60.66</v>
      </c>
      <c r="I43" s="63" t="n">
        <v>98.51000000000001</v>
      </c>
      <c r="J43" s="63" t="n">
        <v>22.3</v>
      </c>
      <c r="K43" s="64" t="n">
        <v>16.0503</v>
      </c>
      <c r="L43" s="64" t="n">
        <v>120.5926</v>
      </c>
      <c r="M43" s="60" t="inlineStr">
        <is>
          <t>Binalonan, Pangasinan</t>
        </is>
      </c>
    </row>
    <row r="44" ht="15" customHeight="1" s="101">
      <c r="A44" s="57" t="n">
        <v>2010</v>
      </c>
      <c r="B44" s="57" t="inlineStr">
        <is>
          <t>May</t>
        </is>
      </c>
      <c r="C44" s="58" t="n">
        <v>5</v>
      </c>
      <c r="D44" s="7" t="n">
        <v>3.93</v>
      </c>
      <c r="E44" s="8" t="n">
        <v>29.31</v>
      </c>
      <c r="F44" s="8" t="n">
        <v>23.22</v>
      </c>
      <c r="G44" s="8" t="n">
        <v>38.14</v>
      </c>
      <c r="H44" s="8" t="n">
        <v>68.78</v>
      </c>
      <c r="I44" s="8" t="n">
        <v>98.23999999999999</v>
      </c>
      <c r="J44" s="8" t="n">
        <v>22.52</v>
      </c>
      <c r="K44" s="59" t="n">
        <v>16.0503</v>
      </c>
      <c r="L44" s="59" t="n">
        <v>120.5926</v>
      </c>
      <c r="M44" s="57" t="inlineStr">
        <is>
          <t>Binalonan, Pangasinan</t>
        </is>
      </c>
    </row>
    <row r="45" ht="15" customHeight="1" s="101">
      <c r="A45" s="60" t="n">
        <v>2010</v>
      </c>
      <c r="B45" s="60" t="inlineStr">
        <is>
          <t>June</t>
        </is>
      </c>
      <c r="C45" s="61" t="n">
        <v>6</v>
      </c>
      <c r="D45" s="62" t="n">
        <v>8.289999999999999</v>
      </c>
      <c r="E45" s="63" t="n">
        <v>27.52</v>
      </c>
      <c r="F45" s="63" t="n">
        <v>23.59</v>
      </c>
      <c r="G45" s="63" t="n">
        <v>33.79</v>
      </c>
      <c r="H45" s="63" t="n">
        <v>80.81</v>
      </c>
      <c r="I45" s="63" t="n">
        <v>98.29000000000001</v>
      </c>
      <c r="J45" s="63" t="n">
        <v>19.93</v>
      </c>
      <c r="K45" s="64" t="n">
        <v>16.0503</v>
      </c>
      <c r="L45" s="64" t="n">
        <v>120.5926</v>
      </c>
      <c r="M45" s="60" t="inlineStr">
        <is>
          <t>Binalonan, Pangasinan</t>
        </is>
      </c>
    </row>
    <row r="46" ht="15" customHeight="1" s="101">
      <c r="A46" s="57" t="n">
        <v>2010</v>
      </c>
      <c r="B46" s="57" t="inlineStr">
        <is>
          <t>July</t>
        </is>
      </c>
      <c r="C46" s="58" t="n">
        <v>7</v>
      </c>
      <c r="D46" s="7" t="n">
        <v>12.49</v>
      </c>
      <c r="E46" s="8" t="n">
        <v>26.5</v>
      </c>
      <c r="F46" s="8" t="n">
        <v>22.68</v>
      </c>
      <c r="G46" s="8" t="n">
        <v>32</v>
      </c>
      <c r="H46" s="8" t="n">
        <v>85.06</v>
      </c>
      <c r="I46" s="8" t="n">
        <v>98.28</v>
      </c>
      <c r="J46" s="8" t="n">
        <v>19.57</v>
      </c>
      <c r="K46" s="59" t="n">
        <v>16.0503</v>
      </c>
      <c r="L46" s="59" t="n">
        <v>120.5926</v>
      </c>
      <c r="M46" s="57" t="inlineStr">
        <is>
          <t>Binalonan, Pangasinan</t>
        </is>
      </c>
    </row>
    <row r="47" ht="15" customHeight="1" s="101">
      <c r="A47" s="60" t="n">
        <v>2010</v>
      </c>
      <c r="B47" s="60" t="inlineStr">
        <is>
          <t>August</t>
        </is>
      </c>
      <c r="C47" s="61" t="n">
        <v>8</v>
      </c>
      <c r="D47" s="62" t="n">
        <v>14.67</v>
      </c>
      <c r="E47" s="63" t="n">
        <v>25.88</v>
      </c>
      <c r="F47" s="63" t="n">
        <v>22.07</v>
      </c>
      <c r="G47" s="63" t="n">
        <v>30.68</v>
      </c>
      <c r="H47" s="63" t="n">
        <v>89.47</v>
      </c>
      <c r="I47" s="63" t="n">
        <v>98.18000000000001</v>
      </c>
      <c r="J47" s="63" t="n">
        <v>18.45</v>
      </c>
      <c r="K47" s="64" t="n">
        <v>16.0503</v>
      </c>
      <c r="L47" s="64" t="n">
        <v>120.5926</v>
      </c>
      <c r="M47" s="60" t="inlineStr">
        <is>
          <t>Binalonan, Pangasinan</t>
        </is>
      </c>
    </row>
    <row r="48" ht="15" customHeight="1" s="101">
      <c r="A48" s="57" t="n">
        <v>2010</v>
      </c>
      <c r="B48" s="57" t="inlineStr">
        <is>
          <t>September</t>
        </is>
      </c>
      <c r="C48" s="58" t="n">
        <v>9</v>
      </c>
      <c r="D48" s="7" t="n">
        <v>7.54</v>
      </c>
      <c r="E48" s="8" t="n">
        <v>26.12</v>
      </c>
      <c r="F48" s="8" t="n">
        <v>22.27</v>
      </c>
      <c r="G48" s="8" t="n">
        <v>32.18</v>
      </c>
      <c r="H48" s="8" t="n">
        <v>85.52</v>
      </c>
      <c r="I48" s="8" t="n">
        <v>98.29000000000001</v>
      </c>
      <c r="J48" s="8" t="n">
        <v>18.23</v>
      </c>
      <c r="K48" s="59" t="n">
        <v>16.0503</v>
      </c>
      <c r="L48" s="59" t="n">
        <v>120.5926</v>
      </c>
      <c r="M48" s="57" t="inlineStr">
        <is>
          <t>Binalonan, Pangasinan</t>
        </is>
      </c>
    </row>
    <row r="49" ht="15" customHeight="1" s="101">
      <c r="A49" s="60" t="n">
        <v>2010</v>
      </c>
      <c r="B49" s="60" t="inlineStr">
        <is>
          <t>October</t>
        </is>
      </c>
      <c r="C49" s="61" t="n">
        <v>10</v>
      </c>
      <c r="D49" s="62" t="n">
        <v>16.21</v>
      </c>
      <c r="E49" s="63" t="n">
        <v>26.16</v>
      </c>
      <c r="F49" s="63" t="n">
        <v>21.35</v>
      </c>
      <c r="G49" s="63" t="n">
        <v>32.21</v>
      </c>
      <c r="H49" s="63" t="n">
        <v>85.61</v>
      </c>
      <c r="I49" s="63" t="n">
        <v>98.11</v>
      </c>
      <c r="J49" s="63" t="n">
        <v>16.44</v>
      </c>
      <c r="K49" s="64" t="n">
        <v>16.0503</v>
      </c>
      <c r="L49" s="64" t="n">
        <v>120.5926</v>
      </c>
      <c r="M49" s="60" t="inlineStr">
        <is>
          <t>Binalonan, Pangasinan</t>
        </is>
      </c>
    </row>
    <row r="50" ht="15" customHeight="1" s="101">
      <c r="A50" s="57" t="n">
        <v>2010</v>
      </c>
      <c r="B50" s="57" t="inlineStr">
        <is>
          <t>November</t>
        </is>
      </c>
      <c r="C50" s="58" t="n">
        <v>11</v>
      </c>
      <c r="D50" s="7" t="n">
        <v>6.62</v>
      </c>
      <c r="E50" s="8" t="n">
        <v>25.5</v>
      </c>
      <c r="F50" s="8" t="n">
        <v>21.47</v>
      </c>
      <c r="G50" s="8" t="n">
        <v>31.22</v>
      </c>
      <c r="H50" s="8" t="n">
        <v>85.37</v>
      </c>
      <c r="I50" s="8" t="n">
        <v>98.33</v>
      </c>
      <c r="J50" s="8" t="n">
        <v>14.5</v>
      </c>
      <c r="K50" s="59" t="n">
        <v>16.0503</v>
      </c>
      <c r="L50" s="59" t="n">
        <v>120.5926</v>
      </c>
      <c r="M50" s="57" t="inlineStr">
        <is>
          <t>Binalonan, Pangasinan</t>
        </is>
      </c>
    </row>
    <row r="51" ht="15" customHeight="1" s="101">
      <c r="A51" s="60" t="n">
        <v>2010</v>
      </c>
      <c r="B51" s="60" t="inlineStr">
        <is>
          <t>December</t>
        </is>
      </c>
      <c r="C51" s="61" t="n">
        <v>12</v>
      </c>
      <c r="D51" s="62" t="n">
        <v>0.87</v>
      </c>
      <c r="E51" s="63" t="n">
        <v>24.69</v>
      </c>
      <c r="F51" s="63" t="n">
        <v>19.13</v>
      </c>
      <c r="G51" s="63" t="n">
        <v>30.79</v>
      </c>
      <c r="H51" s="63" t="n">
        <v>82.78</v>
      </c>
      <c r="I51" s="63" t="n">
        <v>98.26000000000001</v>
      </c>
      <c r="J51" s="63" t="n">
        <v>15.28</v>
      </c>
      <c r="K51" s="64" t="n">
        <v>16.0503</v>
      </c>
      <c r="L51" s="64" t="n">
        <v>120.5926</v>
      </c>
      <c r="M51" s="60" t="inlineStr">
        <is>
          <t>Binalonan, Pangasinan</t>
        </is>
      </c>
    </row>
    <row r="52" ht="15" customHeight="1" s="101">
      <c r="A52" s="57" t="n">
        <v>2011</v>
      </c>
      <c r="B52" s="57" t="inlineStr">
        <is>
          <t>January</t>
        </is>
      </c>
      <c r="C52" s="58" t="n">
        <v>1</v>
      </c>
      <c r="D52" s="7" t="n">
        <v>1.5</v>
      </c>
      <c r="E52" s="8" t="n">
        <v>23.26</v>
      </c>
      <c r="F52" s="8" t="n">
        <v>16.59</v>
      </c>
      <c r="G52" s="8" t="n">
        <v>29.76</v>
      </c>
      <c r="H52" s="8" t="n">
        <v>81.59</v>
      </c>
      <c r="I52" s="8" t="n">
        <v>98.45999999999999</v>
      </c>
      <c r="J52" s="8" t="n">
        <v>15.11</v>
      </c>
      <c r="K52" s="59" t="n">
        <v>16.0503</v>
      </c>
      <c r="L52" s="59" t="n">
        <v>120.5926</v>
      </c>
      <c r="M52" s="57" t="inlineStr">
        <is>
          <t>Binalonan, Pangasinan</t>
        </is>
      </c>
    </row>
    <row r="53" ht="15" customHeight="1" s="101">
      <c r="A53" s="60" t="n">
        <v>2011</v>
      </c>
      <c r="B53" s="60" t="inlineStr">
        <is>
          <t>February</t>
        </is>
      </c>
      <c r="C53" s="61" t="n">
        <v>2</v>
      </c>
      <c r="D53" s="62" t="n">
        <v>0.5</v>
      </c>
      <c r="E53" s="63" t="n">
        <v>24.16</v>
      </c>
      <c r="F53" s="63" t="n">
        <v>15.71</v>
      </c>
      <c r="G53" s="63" t="n">
        <v>31.67</v>
      </c>
      <c r="H53" s="63" t="n">
        <v>76.84999999999999</v>
      </c>
      <c r="I53" s="63" t="n">
        <v>98.45999999999999</v>
      </c>
      <c r="J53" s="63" t="n">
        <v>18.33</v>
      </c>
      <c r="K53" s="64" t="n">
        <v>16.0503</v>
      </c>
      <c r="L53" s="64" t="n">
        <v>120.5926</v>
      </c>
      <c r="M53" s="60" t="inlineStr">
        <is>
          <t>Binalonan, Pangasinan</t>
        </is>
      </c>
    </row>
    <row r="54" ht="15" customHeight="1" s="101">
      <c r="A54" s="57" t="n">
        <v>2011</v>
      </c>
      <c r="B54" s="57" t="inlineStr">
        <is>
          <t>March</t>
        </is>
      </c>
      <c r="C54" s="58" t="n">
        <v>3</v>
      </c>
      <c r="D54" s="7" t="n">
        <v>1.39</v>
      </c>
      <c r="E54" s="8" t="n">
        <v>25.77</v>
      </c>
      <c r="F54" s="8" t="n">
        <v>17.76</v>
      </c>
      <c r="G54" s="8" t="n">
        <v>34.95</v>
      </c>
      <c r="H54" s="8" t="n">
        <v>72.83</v>
      </c>
      <c r="I54" s="8" t="n">
        <v>98.47</v>
      </c>
      <c r="J54" s="8" t="n">
        <v>19.35</v>
      </c>
      <c r="K54" s="59" t="n">
        <v>16.0503</v>
      </c>
      <c r="L54" s="59" t="n">
        <v>120.5926</v>
      </c>
      <c r="M54" s="57" t="inlineStr">
        <is>
          <t>Binalonan, Pangasinan</t>
        </is>
      </c>
    </row>
    <row r="55" ht="15" customHeight="1" s="101">
      <c r="A55" s="60" t="n">
        <v>2011</v>
      </c>
      <c r="B55" s="60" t="inlineStr">
        <is>
          <t>April</t>
        </is>
      </c>
      <c r="C55" s="61" t="n">
        <v>4</v>
      </c>
      <c r="D55" s="62" t="n">
        <v>1.2</v>
      </c>
      <c r="E55" s="63" t="n">
        <v>27.36</v>
      </c>
      <c r="F55" s="63" t="n">
        <v>20.04</v>
      </c>
      <c r="G55" s="63" t="n">
        <v>35.62</v>
      </c>
      <c r="H55" s="63" t="n">
        <v>66.15000000000001</v>
      </c>
      <c r="I55" s="63" t="n">
        <v>98.40000000000001</v>
      </c>
      <c r="J55" s="63" t="n">
        <v>22.37</v>
      </c>
      <c r="K55" s="64" t="n">
        <v>16.0503</v>
      </c>
      <c r="L55" s="64" t="n">
        <v>120.5926</v>
      </c>
      <c r="M55" s="60" t="inlineStr">
        <is>
          <t>Binalonan, Pangasinan</t>
        </is>
      </c>
    </row>
    <row r="56" ht="15" customHeight="1" s="101">
      <c r="A56" s="57" t="n">
        <v>2011</v>
      </c>
      <c r="B56" s="57" t="inlineStr">
        <is>
          <t>May</t>
        </is>
      </c>
      <c r="C56" s="58" t="n">
        <v>5</v>
      </c>
      <c r="D56" s="7" t="n">
        <v>11.37</v>
      </c>
      <c r="E56" s="8" t="n">
        <v>27.78</v>
      </c>
      <c r="F56" s="8" t="n">
        <v>22.06</v>
      </c>
      <c r="G56" s="8" t="n">
        <v>38.35</v>
      </c>
      <c r="H56" s="8" t="n">
        <v>76.61</v>
      </c>
      <c r="I56" s="8" t="n">
        <v>98.16</v>
      </c>
      <c r="J56" s="8" t="n">
        <v>20.69</v>
      </c>
      <c r="K56" s="59" t="n">
        <v>16.0503</v>
      </c>
      <c r="L56" s="59" t="n">
        <v>120.5926</v>
      </c>
      <c r="M56" s="57" t="inlineStr">
        <is>
          <t>Binalonan, Pangasinan</t>
        </is>
      </c>
    </row>
    <row r="57" ht="15" customHeight="1" s="101">
      <c r="A57" s="60" t="n">
        <v>2011</v>
      </c>
      <c r="B57" s="60" t="inlineStr">
        <is>
          <t>June</t>
        </is>
      </c>
      <c r="C57" s="61" t="n">
        <v>6</v>
      </c>
      <c r="D57" s="62" t="n">
        <v>21.38</v>
      </c>
      <c r="E57" s="63" t="n">
        <v>26.44</v>
      </c>
      <c r="F57" s="63" t="n">
        <v>22.23</v>
      </c>
      <c r="G57" s="63" t="n">
        <v>32.69</v>
      </c>
      <c r="H57" s="63" t="n">
        <v>85.59</v>
      </c>
      <c r="I57" s="63" t="n">
        <v>98.12</v>
      </c>
      <c r="J57" s="63" t="n">
        <v>17.85</v>
      </c>
      <c r="K57" s="64" t="n">
        <v>16.0503</v>
      </c>
      <c r="L57" s="64" t="n">
        <v>120.5926</v>
      </c>
      <c r="M57" s="60" t="inlineStr">
        <is>
          <t>Binalonan, Pangasinan</t>
        </is>
      </c>
    </row>
    <row r="58" ht="15" customHeight="1" s="101">
      <c r="A58" s="57" t="n">
        <v>2011</v>
      </c>
      <c r="B58" s="57" t="inlineStr">
        <is>
          <t>July</t>
        </is>
      </c>
      <c r="C58" s="58" t="n">
        <v>7</v>
      </c>
      <c r="D58" s="7" t="n">
        <v>13.38</v>
      </c>
      <c r="E58" s="8" t="n">
        <v>25.92</v>
      </c>
      <c r="F58" s="8" t="n">
        <v>21.95</v>
      </c>
      <c r="G58" s="8" t="n">
        <v>32.44</v>
      </c>
      <c r="H58" s="8" t="n">
        <v>87.89</v>
      </c>
      <c r="I58" s="8" t="n">
        <v>98.03</v>
      </c>
      <c r="J58" s="8" t="n">
        <v>17.18</v>
      </c>
      <c r="K58" s="59" t="n">
        <v>16.0503</v>
      </c>
      <c r="L58" s="59" t="n">
        <v>120.5926</v>
      </c>
      <c r="M58" s="57" t="inlineStr">
        <is>
          <t>Binalonan, Pangasinan</t>
        </is>
      </c>
    </row>
    <row r="59" ht="15" customHeight="1" s="101">
      <c r="A59" s="60" t="n">
        <v>2011</v>
      </c>
      <c r="B59" s="60" t="inlineStr">
        <is>
          <t>August</t>
        </is>
      </c>
      <c r="C59" s="61" t="n">
        <v>8</v>
      </c>
      <c r="D59" s="62" t="n">
        <v>22.86</v>
      </c>
      <c r="E59" s="63" t="n">
        <v>25.98</v>
      </c>
      <c r="F59" s="63" t="n">
        <v>22.58</v>
      </c>
      <c r="G59" s="63" t="n">
        <v>31.35</v>
      </c>
      <c r="H59" s="63" t="n">
        <v>88.81999999999999</v>
      </c>
      <c r="I59" s="63" t="n">
        <v>98.05</v>
      </c>
      <c r="J59" s="63" t="n">
        <v>16.38</v>
      </c>
      <c r="K59" s="64" t="n">
        <v>16.0503</v>
      </c>
      <c r="L59" s="64" t="n">
        <v>120.5926</v>
      </c>
      <c r="M59" s="60" t="inlineStr">
        <is>
          <t>Binalonan, Pangasinan</t>
        </is>
      </c>
    </row>
    <row r="60" ht="15" customHeight="1" s="101">
      <c r="A60" s="57" t="n">
        <v>2011</v>
      </c>
      <c r="B60" s="57" t="inlineStr">
        <is>
          <t>September</t>
        </is>
      </c>
      <c r="C60" s="58" t="n">
        <v>9</v>
      </c>
      <c r="D60" s="7" t="n">
        <v>18.96</v>
      </c>
      <c r="E60" s="8" t="n">
        <v>25.59</v>
      </c>
      <c r="F60" s="8" t="n">
        <v>22.62</v>
      </c>
      <c r="G60" s="8" t="n">
        <v>29.34</v>
      </c>
      <c r="H60" s="8" t="n">
        <v>90.55</v>
      </c>
      <c r="I60" s="8" t="n">
        <v>98.08</v>
      </c>
      <c r="J60" s="8" t="n">
        <v>15.11</v>
      </c>
      <c r="K60" s="59" t="n">
        <v>16.0503</v>
      </c>
      <c r="L60" s="59" t="n">
        <v>120.5926</v>
      </c>
      <c r="M60" s="57" t="inlineStr">
        <is>
          <t>Binalonan, Pangasinan</t>
        </is>
      </c>
    </row>
    <row r="61" ht="15" customHeight="1" s="101">
      <c r="A61" s="60" t="n">
        <v>2011</v>
      </c>
      <c r="B61" s="60" t="inlineStr">
        <is>
          <t>October</t>
        </is>
      </c>
      <c r="C61" s="61" t="n">
        <v>10</v>
      </c>
      <c r="D61" s="62" t="n">
        <v>7.45</v>
      </c>
      <c r="E61" s="63" t="n">
        <v>25.87</v>
      </c>
      <c r="F61" s="63" t="n">
        <v>21.32</v>
      </c>
      <c r="G61" s="63" t="n">
        <v>31.37</v>
      </c>
      <c r="H61" s="63" t="n">
        <v>85.45</v>
      </c>
      <c r="I61" s="63" t="n">
        <v>98.25</v>
      </c>
      <c r="J61" s="63" t="n">
        <v>16.85</v>
      </c>
      <c r="K61" s="64" t="n">
        <v>16.0503</v>
      </c>
      <c r="L61" s="64" t="n">
        <v>120.5926</v>
      </c>
      <c r="M61" s="60" t="inlineStr">
        <is>
          <t>Binalonan, Pangasinan</t>
        </is>
      </c>
    </row>
    <row r="62" ht="15" customHeight="1" s="101">
      <c r="A62" s="57" t="n">
        <v>2011</v>
      </c>
      <c r="B62" s="57" t="inlineStr">
        <is>
          <t>November</t>
        </is>
      </c>
      <c r="C62" s="58" t="n">
        <v>11</v>
      </c>
      <c r="D62" s="7" t="n">
        <v>5.1</v>
      </c>
      <c r="E62" s="8" t="n">
        <v>25.25</v>
      </c>
      <c r="F62" s="8" t="n">
        <v>21.17</v>
      </c>
      <c r="G62" s="8" t="n">
        <v>31.3</v>
      </c>
      <c r="H62" s="8" t="n">
        <v>85.23</v>
      </c>
      <c r="I62" s="8" t="n">
        <v>98.33</v>
      </c>
      <c r="J62" s="8" t="n">
        <v>14.69</v>
      </c>
      <c r="K62" s="59" t="n">
        <v>16.0503</v>
      </c>
      <c r="L62" s="59" t="n">
        <v>120.5926</v>
      </c>
      <c r="M62" s="57" t="inlineStr">
        <is>
          <t>Binalonan, Pangasinan</t>
        </is>
      </c>
    </row>
    <row r="63" ht="15" customHeight="1" s="101">
      <c r="A63" s="60" t="n">
        <v>2011</v>
      </c>
      <c r="B63" s="60" t="inlineStr">
        <is>
          <t>December</t>
        </is>
      </c>
      <c r="C63" s="61" t="n">
        <v>12</v>
      </c>
      <c r="D63" s="62" t="n">
        <v>3.04</v>
      </c>
      <c r="E63" s="63" t="n">
        <v>24.95</v>
      </c>
      <c r="F63" s="63" t="n">
        <v>19.51</v>
      </c>
      <c r="G63" s="63" t="n">
        <v>31.2</v>
      </c>
      <c r="H63" s="63" t="n">
        <v>84.11</v>
      </c>
      <c r="I63" s="63" t="n">
        <v>98.39</v>
      </c>
      <c r="J63" s="63" t="n">
        <v>14.01</v>
      </c>
      <c r="K63" s="64" t="n">
        <v>16.0503</v>
      </c>
      <c r="L63" s="64" t="n">
        <v>120.5926</v>
      </c>
      <c r="M63" s="60" t="inlineStr">
        <is>
          <t>Binalonan, Pangasinan</t>
        </is>
      </c>
    </row>
    <row r="64" ht="15" customHeight="1" s="101">
      <c r="A64" s="57" t="n">
        <v>2012</v>
      </c>
      <c r="B64" s="57" t="inlineStr">
        <is>
          <t>January</t>
        </is>
      </c>
      <c r="C64" s="58" t="n">
        <v>1</v>
      </c>
      <c r="D64" s="7" t="n">
        <v>0.85</v>
      </c>
      <c r="E64" s="8" t="n">
        <v>24.57</v>
      </c>
      <c r="F64" s="8" t="n">
        <v>18.71</v>
      </c>
      <c r="G64" s="8" t="n">
        <v>31.08</v>
      </c>
      <c r="H64" s="8" t="n">
        <v>80.65000000000001</v>
      </c>
      <c r="I64" s="8" t="n">
        <v>98.53</v>
      </c>
      <c r="J64" s="8" t="n">
        <v>16.8</v>
      </c>
      <c r="K64" s="59" t="n">
        <v>16.0503</v>
      </c>
      <c r="L64" s="59" t="n">
        <v>120.5926</v>
      </c>
      <c r="M64" s="57" t="inlineStr">
        <is>
          <t>Binalonan, Pangasinan</t>
        </is>
      </c>
    </row>
    <row r="65" ht="15" customHeight="1" s="101">
      <c r="A65" s="60" t="n">
        <v>2012</v>
      </c>
      <c r="B65" s="60" t="inlineStr">
        <is>
          <t>February</t>
        </is>
      </c>
      <c r="C65" s="61" t="n">
        <v>2</v>
      </c>
      <c r="D65" s="62" t="n">
        <v>1.58</v>
      </c>
      <c r="E65" s="63" t="n">
        <v>25.1</v>
      </c>
      <c r="F65" s="63" t="n">
        <v>18.53</v>
      </c>
      <c r="G65" s="63" t="n">
        <v>32.43</v>
      </c>
      <c r="H65" s="63" t="n">
        <v>78.09</v>
      </c>
      <c r="I65" s="63" t="n">
        <v>98.45</v>
      </c>
      <c r="J65" s="63" t="n">
        <v>18.22</v>
      </c>
      <c r="K65" s="64" t="n">
        <v>16.0503</v>
      </c>
      <c r="L65" s="64" t="n">
        <v>120.5926</v>
      </c>
      <c r="M65" s="60" t="inlineStr">
        <is>
          <t>Binalonan, Pangasinan</t>
        </is>
      </c>
    </row>
    <row r="66" ht="15" customHeight="1" s="101">
      <c r="A66" s="57" t="n">
        <v>2012</v>
      </c>
      <c r="B66" s="57" t="inlineStr">
        <is>
          <t>March</t>
        </is>
      </c>
      <c r="C66" s="58" t="n">
        <v>3</v>
      </c>
      <c r="D66" s="7" t="n">
        <v>2.85</v>
      </c>
      <c r="E66" s="8" t="n">
        <v>26.04</v>
      </c>
      <c r="F66" s="8" t="n">
        <v>19.17</v>
      </c>
      <c r="G66" s="8" t="n">
        <v>33.93</v>
      </c>
      <c r="H66" s="8" t="n">
        <v>74.67</v>
      </c>
      <c r="I66" s="8" t="n">
        <v>98.45</v>
      </c>
      <c r="J66" s="8" t="n">
        <v>19.67</v>
      </c>
      <c r="K66" s="59" t="n">
        <v>16.0503</v>
      </c>
      <c r="L66" s="59" t="n">
        <v>120.5926</v>
      </c>
      <c r="M66" s="57" t="inlineStr">
        <is>
          <t>Binalonan, Pangasinan</t>
        </is>
      </c>
    </row>
    <row r="67" ht="15" customHeight="1" s="101">
      <c r="A67" s="60" t="n">
        <v>2012</v>
      </c>
      <c r="B67" s="60" t="inlineStr">
        <is>
          <t>April</t>
        </is>
      </c>
      <c r="C67" s="61" t="n">
        <v>4</v>
      </c>
      <c r="D67" s="62" t="n">
        <v>1.38</v>
      </c>
      <c r="E67" s="63" t="n">
        <v>27.87</v>
      </c>
      <c r="F67" s="63" t="n">
        <v>21.61</v>
      </c>
      <c r="G67" s="63" t="n">
        <v>35.83</v>
      </c>
      <c r="H67" s="63" t="n">
        <v>72.3</v>
      </c>
      <c r="I67" s="63" t="n">
        <v>98.42</v>
      </c>
      <c r="J67" s="63" t="n">
        <v>23.18</v>
      </c>
      <c r="K67" s="64" t="n">
        <v>16.0503</v>
      </c>
      <c r="L67" s="64" t="n">
        <v>120.5926</v>
      </c>
      <c r="M67" s="60" t="inlineStr">
        <is>
          <t>Binalonan, Pangasinan</t>
        </is>
      </c>
    </row>
    <row r="68" ht="15" customHeight="1" s="101">
      <c r="A68" s="57" t="n">
        <v>2012</v>
      </c>
      <c r="B68" s="57" t="inlineStr">
        <is>
          <t>May</t>
        </is>
      </c>
      <c r="C68" s="58" t="n">
        <v>5</v>
      </c>
      <c r="D68" s="7" t="n">
        <v>6.52</v>
      </c>
      <c r="E68" s="8" t="n">
        <v>27.57</v>
      </c>
      <c r="F68" s="8" t="n">
        <v>22.98</v>
      </c>
      <c r="G68" s="8" t="n">
        <v>35.26</v>
      </c>
      <c r="H68" s="8" t="n">
        <v>79.29000000000001</v>
      </c>
      <c r="I68" s="8" t="n">
        <v>98.15000000000001</v>
      </c>
      <c r="J68" s="8" t="n">
        <v>20.37</v>
      </c>
      <c r="K68" s="59" t="n">
        <v>16.0503</v>
      </c>
      <c r="L68" s="59" t="n">
        <v>120.5926</v>
      </c>
      <c r="M68" s="57" t="inlineStr">
        <is>
          <t>Binalonan, Pangasinan</t>
        </is>
      </c>
    </row>
    <row r="69" ht="15" customHeight="1" s="101">
      <c r="A69" s="60" t="n">
        <v>2012</v>
      </c>
      <c r="B69" s="60" t="inlineStr">
        <is>
          <t>June</t>
        </is>
      </c>
      <c r="C69" s="61" t="n">
        <v>6</v>
      </c>
      <c r="D69" s="62" t="n">
        <v>18.78</v>
      </c>
      <c r="E69" s="63" t="n">
        <v>26.14</v>
      </c>
      <c r="F69" s="63" t="n">
        <v>22.7</v>
      </c>
      <c r="G69" s="63" t="n">
        <v>30.2</v>
      </c>
      <c r="H69" s="63" t="n">
        <v>89.15000000000001</v>
      </c>
      <c r="I69" s="63" t="n">
        <v>98.02</v>
      </c>
      <c r="J69" s="63" t="n">
        <v>15.86</v>
      </c>
      <c r="K69" s="64" t="n">
        <v>16.0503</v>
      </c>
      <c r="L69" s="64" t="n">
        <v>120.5926</v>
      </c>
      <c r="M69" s="60" t="inlineStr">
        <is>
          <t>Binalonan, Pangasinan</t>
        </is>
      </c>
    </row>
    <row r="70" ht="15" customHeight="1" s="101">
      <c r="A70" s="57" t="n">
        <v>2012</v>
      </c>
      <c r="B70" s="57" t="inlineStr">
        <is>
          <t>July</t>
        </is>
      </c>
      <c r="C70" s="58" t="n">
        <v>7</v>
      </c>
      <c r="D70" s="7" t="n">
        <v>21.72</v>
      </c>
      <c r="E70" s="8" t="n">
        <v>25.76</v>
      </c>
      <c r="F70" s="8" t="n">
        <v>22.63</v>
      </c>
      <c r="G70" s="8" t="n">
        <v>30.49</v>
      </c>
      <c r="H70" s="8" t="n">
        <v>89.54000000000001</v>
      </c>
      <c r="I70" s="8" t="n">
        <v>97.98999999999999</v>
      </c>
      <c r="J70" s="8" t="n">
        <v>15.93</v>
      </c>
      <c r="K70" s="59" t="n">
        <v>16.0503</v>
      </c>
      <c r="L70" s="59" t="n">
        <v>120.5926</v>
      </c>
      <c r="M70" s="57" t="inlineStr">
        <is>
          <t>Binalonan, Pangasinan</t>
        </is>
      </c>
    </row>
    <row r="71" ht="15" customHeight="1" s="101">
      <c r="A71" s="60" t="n">
        <v>2012</v>
      </c>
      <c r="B71" s="60" t="inlineStr">
        <is>
          <t>August</t>
        </is>
      </c>
      <c r="C71" s="61" t="n">
        <v>8</v>
      </c>
      <c r="D71" s="62" t="n">
        <v>35.07</v>
      </c>
      <c r="E71" s="63" t="n">
        <v>25.37</v>
      </c>
      <c r="F71" s="63" t="n">
        <v>22.09</v>
      </c>
      <c r="G71" s="63" t="n">
        <v>29.23</v>
      </c>
      <c r="H71" s="63" t="n">
        <v>91.72</v>
      </c>
      <c r="I71" s="63" t="n">
        <v>98.02</v>
      </c>
      <c r="J71" s="63" t="n">
        <v>13.67</v>
      </c>
      <c r="K71" s="64" t="n">
        <v>16.0503</v>
      </c>
      <c r="L71" s="64" t="n">
        <v>120.5926</v>
      </c>
      <c r="M71" s="60" t="inlineStr">
        <is>
          <t>Binalonan, Pangasinan</t>
        </is>
      </c>
    </row>
    <row r="72" ht="15" customHeight="1" s="101">
      <c r="A72" s="57" t="n">
        <v>2012</v>
      </c>
      <c r="B72" s="57" t="inlineStr">
        <is>
          <t>September</t>
        </is>
      </c>
      <c r="C72" s="58" t="n">
        <v>9</v>
      </c>
      <c r="D72" s="7" t="n">
        <v>12.69</v>
      </c>
      <c r="E72" s="8" t="n">
        <v>26</v>
      </c>
      <c r="F72" s="8" t="n">
        <v>22.58</v>
      </c>
      <c r="G72" s="8" t="n">
        <v>31.32</v>
      </c>
      <c r="H72" s="8" t="n">
        <v>88.08</v>
      </c>
      <c r="I72" s="8" t="n">
        <v>98.09999999999999</v>
      </c>
      <c r="J72" s="8" t="n">
        <v>18.08</v>
      </c>
      <c r="K72" s="59" t="n">
        <v>16.0503</v>
      </c>
      <c r="L72" s="59" t="n">
        <v>120.5926</v>
      </c>
      <c r="M72" s="57" t="inlineStr">
        <is>
          <t>Binalonan, Pangasinan</t>
        </is>
      </c>
    </row>
    <row r="73" ht="15" customHeight="1" s="101">
      <c r="A73" s="60" t="n">
        <v>2012</v>
      </c>
      <c r="B73" s="60" t="inlineStr">
        <is>
          <t>October</t>
        </is>
      </c>
      <c r="C73" s="61" t="n">
        <v>10</v>
      </c>
      <c r="D73" s="62" t="n">
        <v>4.87</v>
      </c>
      <c r="E73" s="63" t="n">
        <v>25.48</v>
      </c>
      <c r="F73" s="63" t="n">
        <v>20.05</v>
      </c>
      <c r="G73" s="63" t="n">
        <v>31.74</v>
      </c>
      <c r="H73" s="63" t="n">
        <v>84.3</v>
      </c>
      <c r="I73" s="63" t="n">
        <v>98.29000000000001</v>
      </c>
      <c r="J73" s="63" t="n">
        <v>17.3</v>
      </c>
      <c r="K73" s="64" t="n">
        <v>16.0503</v>
      </c>
      <c r="L73" s="64" t="n">
        <v>120.5926</v>
      </c>
      <c r="M73" s="60" t="inlineStr">
        <is>
          <t>Binalonan, Pangasinan</t>
        </is>
      </c>
    </row>
    <row r="74" ht="15" customHeight="1" s="101">
      <c r="A74" s="57" t="n">
        <v>2012</v>
      </c>
      <c r="B74" s="57" t="inlineStr">
        <is>
          <t>November</t>
        </is>
      </c>
      <c r="C74" s="58" t="n">
        <v>11</v>
      </c>
      <c r="D74" s="7" t="n">
        <v>1.05</v>
      </c>
      <c r="E74" s="8" t="n">
        <v>25.69</v>
      </c>
      <c r="F74" s="8" t="n">
        <v>20.02</v>
      </c>
      <c r="G74" s="8" t="n">
        <v>31.74</v>
      </c>
      <c r="H74" s="8" t="n">
        <v>81.81</v>
      </c>
      <c r="I74" s="8" t="n">
        <v>98.48999999999999</v>
      </c>
      <c r="J74" s="8" t="n">
        <v>18.2</v>
      </c>
      <c r="K74" s="59" t="n">
        <v>16.0503</v>
      </c>
      <c r="L74" s="59" t="n">
        <v>120.5926</v>
      </c>
      <c r="M74" s="57" t="inlineStr">
        <is>
          <t>Binalonan, Pangasinan</t>
        </is>
      </c>
    </row>
    <row r="75" ht="15" customHeight="1" s="101">
      <c r="A75" s="60" t="n">
        <v>2012</v>
      </c>
      <c r="B75" s="60" t="inlineStr">
        <is>
          <t>December</t>
        </is>
      </c>
      <c r="C75" s="61" t="n">
        <v>12</v>
      </c>
      <c r="D75" s="62" t="n">
        <v>0.88</v>
      </c>
      <c r="E75" s="63" t="n">
        <v>25.04</v>
      </c>
      <c r="F75" s="63" t="n">
        <v>19.75</v>
      </c>
      <c r="G75" s="63" t="n">
        <v>31.53</v>
      </c>
      <c r="H75" s="63" t="n">
        <v>80.79000000000001</v>
      </c>
      <c r="I75" s="63" t="n">
        <v>98.48</v>
      </c>
      <c r="J75" s="63" t="n">
        <v>15.53</v>
      </c>
      <c r="K75" s="64" t="n">
        <v>16.0503</v>
      </c>
      <c r="L75" s="64" t="n">
        <v>120.5926</v>
      </c>
      <c r="M75" s="60" t="inlineStr">
        <is>
          <t>Binalonan, Pangasinan</t>
        </is>
      </c>
    </row>
    <row r="76" ht="15" customHeight="1" s="101">
      <c r="A76" s="57" t="n">
        <v>2013</v>
      </c>
      <c r="B76" s="57" t="inlineStr">
        <is>
          <t>January</t>
        </is>
      </c>
      <c r="C76" s="58" t="n">
        <v>1</v>
      </c>
      <c r="D76" s="7" t="n">
        <v>0.58</v>
      </c>
      <c r="E76" s="8" t="n">
        <v>24.32</v>
      </c>
      <c r="F76" s="8" t="n">
        <v>16.94</v>
      </c>
      <c r="G76" s="8" t="n">
        <v>31.93</v>
      </c>
      <c r="H76" s="8" t="n">
        <v>74.94</v>
      </c>
      <c r="I76" s="8" t="n">
        <v>98.59999999999999</v>
      </c>
      <c r="J76" s="8" t="n">
        <v>16.43</v>
      </c>
      <c r="K76" s="59" t="n">
        <v>16.0503</v>
      </c>
      <c r="L76" s="59" t="n">
        <v>120.5926</v>
      </c>
      <c r="M76" s="57" t="inlineStr">
        <is>
          <t>Binalonan, Pangasinan</t>
        </is>
      </c>
    </row>
    <row r="77" ht="15" customHeight="1" s="101">
      <c r="A77" s="60" t="n">
        <v>2013</v>
      </c>
      <c r="B77" s="60" t="inlineStr">
        <is>
          <t>February</t>
        </is>
      </c>
      <c r="C77" s="61" t="n">
        <v>2</v>
      </c>
      <c r="D77" s="62" t="n">
        <v>1.24</v>
      </c>
      <c r="E77" s="63" t="n">
        <v>26.02</v>
      </c>
      <c r="F77" s="63" t="n">
        <v>18.48</v>
      </c>
      <c r="G77" s="63" t="n">
        <v>34.12</v>
      </c>
      <c r="H77" s="63" t="n">
        <v>71.41</v>
      </c>
      <c r="I77" s="63" t="n">
        <v>98.59</v>
      </c>
      <c r="J77" s="63" t="n">
        <v>18.94</v>
      </c>
      <c r="K77" s="64" t="n">
        <v>16.0503</v>
      </c>
      <c r="L77" s="64" t="n">
        <v>120.5926</v>
      </c>
      <c r="M77" s="60" t="inlineStr">
        <is>
          <t>Binalonan, Pangasinan</t>
        </is>
      </c>
    </row>
    <row r="78" ht="15" customHeight="1" s="101">
      <c r="A78" s="57" t="n">
        <v>2013</v>
      </c>
      <c r="B78" s="57" t="inlineStr">
        <is>
          <t>March</t>
        </is>
      </c>
      <c r="C78" s="58" t="n">
        <v>3</v>
      </c>
      <c r="D78" s="7" t="n">
        <v>1.79</v>
      </c>
      <c r="E78" s="8" t="n">
        <v>27.34</v>
      </c>
      <c r="F78" s="8" t="n">
        <v>20.43</v>
      </c>
      <c r="G78" s="8" t="n">
        <v>36.56</v>
      </c>
      <c r="H78" s="8" t="n">
        <v>69.28</v>
      </c>
      <c r="I78" s="8" t="n">
        <v>98.53</v>
      </c>
      <c r="J78" s="8" t="n">
        <v>20.81</v>
      </c>
      <c r="K78" s="59" t="n">
        <v>16.0503</v>
      </c>
      <c r="L78" s="59" t="n">
        <v>120.5926</v>
      </c>
      <c r="M78" s="57" t="inlineStr">
        <is>
          <t>Binalonan, Pangasinan</t>
        </is>
      </c>
    </row>
    <row r="79" ht="15" customHeight="1" s="101">
      <c r="A79" s="60" t="n">
        <v>2013</v>
      </c>
      <c r="B79" s="60" t="inlineStr">
        <is>
          <t>April</t>
        </is>
      </c>
      <c r="C79" s="61" t="n">
        <v>4</v>
      </c>
      <c r="D79" s="62" t="n">
        <v>2.6</v>
      </c>
      <c r="E79" s="63" t="n">
        <v>28.87</v>
      </c>
      <c r="F79" s="63" t="n">
        <v>22.92</v>
      </c>
      <c r="G79" s="63" t="n">
        <v>38.33</v>
      </c>
      <c r="H79" s="63" t="n">
        <v>67.63</v>
      </c>
      <c r="I79" s="63" t="n">
        <v>98.31999999999999</v>
      </c>
      <c r="J79" s="63" t="n">
        <v>22.12</v>
      </c>
      <c r="K79" s="64" t="n">
        <v>16.0503</v>
      </c>
      <c r="L79" s="64" t="n">
        <v>120.5926</v>
      </c>
      <c r="M79" s="60" t="inlineStr">
        <is>
          <t>Binalonan, Pangasinan</t>
        </is>
      </c>
    </row>
    <row r="80" ht="15" customHeight="1" s="101">
      <c r="A80" s="57" t="n">
        <v>2013</v>
      </c>
      <c r="B80" s="57" t="inlineStr">
        <is>
          <t>May</t>
        </is>
      </c>
      <c r="C80" s="58" t="n">
        <v>5</v>
      </c>
      <c r="D80" s="7" t="n">
        <v>5.6</v>
      </c>
      <c r="E80" s="8" t="n">
        <v>28.14</v>
      </c>
      <c r="F80" s="8" t="n">
        <v>23.4</v>
      </c>
      <c r="G80" s="8" t="n">
        <v>37.44</v>
      </c>
      <c r="H80" s="8" t="n">
        <v>75.27</v>
      </c>
      <c r="I80" s="8" t="n">
        <v>98.29000000000001</v>
      </c>
      <c r="J80" s="8" t="n">
        <v>20.34</v>
      </c>
      <c r="K80" s="59" t="n">
        <v>16.0503</v>
      </c>
      <c r="L80" s="59" t="n">
        <v>120.5926</v>
      </c>
      <c r="M80" s="57" t="inlineStr">
        <is>
          <t>Binalonan, Pangasinan</t>
        </is>
      </c>
    </row>
    <row r="81" ht="15" customHeight="1" s="101">
      <c r="A81" s="60" t="n">
        <v>2013</v>
      </c>
      <c r="B81" s="60" t="inlineStr">
        <is>
          <t>June</t>
        </is>
      </c>
      <c r="C81" s="61" t="n">
        <v>6</v>
      </c>
      <c r="D81" s="62" t="n">
        <v>8.82</v>
      </c>
      <c r="E81" s="63" t="n">
        <v>27.37</v>
      </c>
      <c r="F81" s="63" t="n">
        <v>22.17</v>
      </c>
      <c r="G81" s="63" t="n">
        <v>35.16</v>
      </c>
      <c r="H81" s="63" t="n">
        <v>81.73</v>
      </c>
      <c r="I81" s="63" t="n">
        <v>98.06</v>
      </c>
      <c r="J81" s="63" t="n">
        <v>20.48</v>
      </c>
      <c r="K81" s="64" t="n">
        <v>16.0503</v>
      </c>
      <c r="L81" s="64" t="n">
        <v>120.5926</v>
      </c>
      <c r="M81" s="60" t="inlineStr">
        <is>
          <t>Binalonan, Pangasinan</t>
        </is>
      </c>
    </row>
    <row r="82" ht="15" customHeight="1" s="101">
      <c r="A82" s="57" t="n">
        <v>2013</v>
      </c>
      <c r="B82" s="57" t="inlineStr">
        <is>
          <t>July</t>
        </is>
      </c>
      <c r="C82" s="58" t="n">
        <v>7</v>
      </c>
      <c r="D82" s="7" t="n">
        <v>10.7</v>
      </c>
      <c r="E82" s="8" t="n">
        <v>26.07</v>
      </c>
      <c r="F82" s="8" t="n">
        <v>22.33</v>
      </c>
      <c r="G82" s="8" t="n">
        <v>31.21</v>
      </c>
      <c r="H82" s="8" t="n">
        <v>85.36</v>
      </c>
      <c r="I82" s="8" t="n">
        <v>98.16</v>
      </c>
      <c r="J82" s="8" t="n">
        <v>18.73</v>
      </c>
      <c r="K82" s="59" t="n">
        <v>16.0503</v>
      </c>
      <c r="L82" s="59" t="n">
        <v>120.5926</v>
      </c>
      <c r="M82" s="57" t="inlineStr">
        <is>
          <t>Binalonan, Pangasinan</t>
        </is>
      </c>
    </row>
    <row r="83" ht="15" customHeight="1" s="101">
      <c r="A83" s="60" t="n">
        <v>2013</v>
      </c>
      <c r="B83" s="60" t="inlineStr">
        <is>
          <t>August</t>
        </is>
      </c>
      <c r="C83" s="61" t="n">
        <v>8</v>
      </c>
      <c r="D83" s="62" t="n">
        <v>31.47</v>
      </c>
      <c r="E83" s="63" t="n">
        <v>25.86</v>
      </c>
      <c r="F83" s="63" t="n">
        <v>22.55</v>
      </c>
      <c r="G83" s="63" t="n">
        <v>31.96</v>
      </c>
      <c r="H83" s="63" t="n">
        <v>88.63</v>
      </c>
      <c r="I83" s="63" t="n">
        <v>98.12</v>
      </c>
      <c r="J83" s="63" t="n">
        <v>15.07</v>
      </c>
      <c r="K83" s="64" t="n">
        <v>16.0503</v>
      </c>
      <c r="L83" s="64" t="n">
        <v>120.5926</v>
      </c>
      <c r="M83" s="60" t="inlineStr">
        <is>
          <t>Binalonan, Pangasinan</t>
        </is>
      </c>
    </row>
    <row r="84" ht="15" customHeight="1" s="101">
      <c r="A84" s="57" t="n">
        <v>2013</v>
      </c>
      <c r="B84" s="57" t="inlineStr">
        <is>
          <t>September</t>
        </is>
      </c>
      <c r="C84" s="58" t="n">
        <v>9</v>
      </c>
      <c r="D84" s="7" t="n">
        <v>17.91</v>
      </c>
      <c r="E84" s="8" t="n">
        <v>25.72</v>
      </c>
      <c r="F84" s="8" t="n">
        <v>22</v>
      </c>
      <c r="G84" s="8" t="n">
        <v>31.29</v>
      </c>
      <c r="H84" s="8" t="n">
        <v>89.55</v>
      </c>
      <c r="I84" s="8" t="n">
        <v>98.06</v>
      </c>
      <c r="J84" s="8" t="n">
        <v>16.87</v>
      </c>
      <c r="K84" s="59" t="n">
        <v>16.0503</v>
      </c>
      <c r="L84" s="59" t="n">
        <v>120.5926</v>
      </c>
      <c r="M84" s="57" t="inlineStr">
        <is>
          <t>Binalonan, Pangasinan</t>
        </is>
      </c>
    </row>
    <row r="85" ht="15" customHeight="1" s="101">
      <c r="A85" s="60" t="n">
        <v>2013</v>
      </c>
      <c r="B85" s="60" t="inlineStr">
        <is>
          <t>October</t>
        </is>
      </c>
      <c r="C85" s="61" t="n">
        <v>10</v>
      </c>
      <c r="D85" s="62" t="n">
        <v>6.56</v>
      </c>
      <c r="E85" s="63" t="n">
        <v>25.29</v>
      </c>
      <c r="F85" s="63" t="n">
        <v>19.75</v>
      </c>
      <c r="G85" s="63" t="n">
        <v>30.98</v>
      </c>
      <c r="H85" s="63" t="n">
        <v>85.05</v>
      </c>
      <c r="I85" s="63" t="n">
        <v>98.2</v>
      </c>
      <c r="J85" s="63" t="n">
        <v>17.08</v>
      </c>
      <c r="K85" s="64" t="n">
        <v>16.0503</v>
      </c>
      <c r="L85" s="64" t="n">
        <v>120.5926</v>
      </c>
      <c r="M85" s="60" t="inlineStr">
        <is>
          <t>Binalonan, Pangasinan</t>
        </is>
      </c>
    </row>
    <row r="86" ht="15" customHeight="1" s="101">
      <c r="A86" s="57" t="n">
        <v>2013</v>
      </c>
      <c r="B86" s="57" t="inlineStr">
        <is>
          <t>November</t>
        </is>
      </c>
      <c r="C86" s="58" t="n">
        <v>11</v>
      </c>
      <c r="D86" s="7" t="n">
        <v>3.26</v>
      </c>
      <c r="E86" s="8" t="n">
        <v>25.45</v>
      </c>
      <c r="F86" s="8" t="n">
        <v>20.27</v>
      </c>
      <c r="G86" s="8" t="n">
        <v>31.18</v>
      </c>
      <c r="H86" s="8" t="n">
        <v>83.84</v>
      </c>
      <c r="I86" s="8" t="n">
        <v>98.42</v>
      </c>
      <c r="J86" s="8" t="n">
        <v>15.52</v>
      </c>
      <c r="K86" s="59" t="n">
        <v>16.0503</v>
      </c>
      <c r="L86" s="59" t="n">
        <v>120.5926</v>
      </c>
      <c r="M86" s="57" t="inlineStr">
        <is>
          <t>Binalonan, Pangasinan</t>
        </is>
      </c>
    </row>
    <row r="87" ht="15" customHeight="1" s="101">
      <c r="A87" s="60" t="n">
        <v>2013</v>
      </c>
      <c r="B87" s="60" t="inlineStr">
        <is>
          <t>December</t>
        </is>
      </c>
      <c r="C87" s="61" t="n">
        <v>12</v>
      </c>
      <c r="D87" s="62" t="n">
        <v>2.1</v>
      </c>
      <c r="E87" s="63" t="n">
        <v>24.88</v>
      </c>
      <c r="F87" s="63" t="n">
        <v>19.53</v>
      </c>
      <c r="G87" s="63" t="n">
        <v>30.49</v>
      </c>
      <c r="H87" s="63" t="n">
        <v>84.11</v>
      </c>
      <c r="I87" s="63" t="n">
        <v>98.42</v>
      </c>
      <c r="J87" s="63" t="n">
        <v>14.29</v>
      </c>
      <c r="K87" s="64" t="n">
        <v>16.0503</v>
      </c>
      <c r="L87" s="64" t="n">
        <v>120.5926</v>
      </c>
      <c r="M87" s="60" t="inlineStr">
        <is>
          <t>Binalonan, Pangasinan</t>
        </is>
      </c>
    </row>
    <row r="88" ht="15" customHeight="1" s="101">
      <c r="A88" s="57" t="n">
        <v>2014</v>
      </c>
      <c r="B88" s="57" t="inlineStr">
        <is>
          <t>January</t>
        </is>
      </c>
      <c r="C88" s="58" t="n">
        <v>1</v>
      </c>
      <c r="D88" s="7" t="n">
        <v>0.08</v>
      </c>
      <c r="E88" s="8" t="n">
        <v>22.44</v>
      </c>
      <c r="F88" s="8" t="n">
        <v>14.42</v>
      </c>
      <c r="G88" s="8" t="n">
        <v>29.39</v>
      </c>
      <c r="H88" s="8" t="n">
        <v>75.81999999999999</v>
      </c>
      <c r="I88" s="8" t="n">
        <v>98.68000000000001</v>
      </c>
      <c r="J88" s="8" t="n">
        <v>17.43</v>
      </c>
      <c r="K88" s="59" t="n">
        <v>16.0503</v>
      </c>
      <c r="L88" s="59" t="n">
        <v>120.5926</v>
      </c>
      <c r="M88" s="57" t="inlineStr">
        <is>
          <t>Binalonan, Pangasinan</t>
        </is>
      </c>
    </row>
    <row r="89" ht="15" customHeight="1" s="101">
      <c r="A89" s="60" t="n">
        <v>2014</v>
      </c>
      <c r="B89" s="60" t="inlineStr">
        <is>
          <t>February</t>
        </is>
      </c>
      <c r="C89" s="61" t="n">
        <v>2</v>
      </c>
      <c r="D89" s="62" t="n">
        <v>0.3</v>
      </c>
      <c r="E89" s="63" t="n">
        <v>24.64</v>
      </c>
      <c r="F89" s="63" t="n">
        <v>18.2</v>
      </c>
      <c r="G89" s="63" t="n">
        <v>32.2</v>
      </c>
      <c r="H89" s="63" t="n">
        <v>73.20999999999999</v>
      </c>
      <c r="I89" s="63" t="n">
        <v>98.56999999999999</v>
      </c>
      <c r="J89" s="63" t="n">
        <v>19.46</v>
      </c>
      <c r="K89" s="64" t="n">
        <v>16.0503</v>
      </c>
      <c r="L89" s="64" t="n">
        <v>120.5926</v>
      </c>
      <c r="M89" s="60" t="inlineStr">
        <is>
          <t>Binalonan, Pangasinan</t>
        </is>
      </c>
    </row>
    <row r="90" ht="15" customHeight="1" s="101">
      <c r="A90" s="57" t="n">
        <v>2014</v>
      </c>
      <c r="B90" s="57" t="inlineStr">
        <is>
          <t>March</t>
        </is>
      </c>
      <c r="C90" s="58" t="n">
        <v>3</v>
      </c>
      <c r="D90" s="7" t="n">
        <v>0.84</v>
      </c>
      <c r="E90" s="8" t="n">
        <v>26.91</v>
      </c>
      <c r="F90" s="8" t="n">
        <v>19.85</v>
      </c>
      <c r="G90" s="8" t="n">
        <v>35.86</v>
      </c>
      <c r="H90" s="8" t="n">
        <v>67</v>
      </c>
      <c r="I90" s="8" t="n">
        <v>98.62</v>
      </c>
      <c r="J90" s="8" t="n">
        <v>21.61</v>
      </c>
      <c r="K90" s="59" t="n">
        <v>16.0503</v>
      </c>
      <c r="L90" s="59" t="n">
        <v>120.5926</v>
      </c>
      <c r="M90" s="57" t="inlineStr">
        <is>
          <t>Binalonan, Pangasinan</t>
        </is>
      </c>
    </row>
    <row r="91" ht="15" customHeight="1" s="101">
      <c r="A91" s="60" t="n">
        <v>2014</v>
      </c>
      <c r="B91" s="60" t="inlineStr">
        <is>
          <t>April</t>
        </is>
      </c>
      <c r="C91" s="61" t="n">
        <v>4</v>
      </c>
      <c r="D91" s="62" t="n">
        <v>3.16</v>
      </c>
      <c r="E91" s="63" t="n">
        <v>28.29</v>
      </c>
      <c r="F91" s="63" t="n">
        <v>22.37</v>
      </c>
      <c r="G91" s="63" t="n">
        <v>36.66</v>
      </c>
      <c r="H91" s="63" t="n">
        <v>69.44</v>
      </c>
      <c r="I91" s="63" t="n">
        <v>98.39</v>
      </c>
      <c r="J91" s="63" t="n">
        <v>21.49</v>
      </c>
      <c r="K91" s="64" t="n">
        <v>16.0503</v>
      </c>
      <c r="L91" s="64" t="n">
        <v>120.5926</v>
      </c>
      <c r="M91" s="60" t="inlineStr">
        <is>
          <t>Binalonan, Pangasinan</t>
        </is>
      </c>
    </row>
    <row r="92" ht="15" customHeight="1" s="101">
      <c r="A92" s="57" t="n">
        <v>2014</v>
      </c>
      <c r="B92" s="57" t="inlineStr">
        <is>
          <t>May</t>
        </is>
      </c>
      <c r="C92" s="58" t="n">
        <v>5</v>
      </c>
      <c r="D92" s="7" t="n">
        <v>5.24</v>
      </c>
      <c r="E92" s="8" t="n">
        <v>28.82</v>
      </c>
      <c r="F92" s="8" t="n">
        <v>22.25</v>
      </c>
      <c r="G92" s="8" t="n">
        <v>36.86</v>
      </c>
      <c r="H92" s="8" t="n">
        <v>72.27</v>
      </c>
      <c r="I92" s="8" t="n">
        <v>98.33</v>
      </c>
      <c r="J92" s="8" t="n">
        <v>23.05</v>
      </c>
      <c r="K92" s="59" t="n">
        <v>16.0503</v>
      </c>
      <c r="L92" s="59" t="n">
        <v>120.5926</v>
      </c>
      <c r="M92" s="57" t="inlineStr">
        <is>
          <t>Binalonan, Pangasinan</t>
        </is>
      </c>
    </row>
    <row r="93" ht="15" customHeight="1" s="101">
      <c r="A93" s="60" t="n">
        <v>2014</v>
      </c>
      <c r="B93" s="60" t="inlineStr">
        <is>
          <t>June</t>
        </is>
      </c>
      <c r="C93" s="61" t="n">
        <v>6</v>
      </c>
      <c r="D93" s="62" t="n">
        <v>12.67</v>
      </c>
      <c r="E93" s="63" t="n">
        <v>27.14</v>
      </c>
      <c r="F93" s="63" t="n">
        <v>23.4</v>
      </c>
      <c r="G93" s="63" t="n">
        <v>34.78</v>
      </c>
      <c r="H93" s="63" t="n">
        <v>83.92</v>
      </c>
      <c r="I93" s="63" t="n">
        <v>98.06999999999999</v>
      </c>
      <c r="J93" s="63" t="n">
        <v>17.69</v>
      </c>
      <c r="K93" s="64" t="n">
        <v>16.0503</v>
      </c>
      <c r="L93" s="64" t="n">
        <v>120.5926</v>
      </c>
      <c r="M93" s="60" t="inlineStr">
        <is>
          <t>Binalonan, Pangasinan</t>
        </is>
      </c>
    </row>
    <row r="94" ht="15" customHeight="1" s="101">
      <c r="A94" s="57" t="n">
        <v>2014</v>
      </c>
      <c r="B94" s="57" t="inlineStr">
        <is>
          <t>July</t>
        </is>
      </c>
      <c r="C94" s="58" t="n">
        <v>7</v>
      </c>
      <c r="D94" s="7" t="n">
        <v>15.73</v>
      </c>
      <c r="E94" s="8" t="n">
        <v>26.29</v>
      </c>
      <c r="F94" s="8" t="n">
        <v>22.58</v>
      </c>
      <c r="G94" s="8" t="n">
        <v>32.65</v>
      </c>
      <c r="H94" s="8" t="n">
        <v>87.59</v>
      </c>
      <c r="I94" s="8" t="n">
        <v>98.02</v>
      </c>
      <c r="J94" s="8" t="n">
        <v>17.62</v>
      </c>
      <c r="K94" s="59" t="n">
        <v>16.0503</v>
      </c>
      <c r="L94" s="59" t="n">
        <v>120.5926</v>
      </c>
      <c r="M94" s="57" t="inlineStr">
        <is>
          <t>Binalonan, Pangasinan</t>
        </is>
      </c>
    </row>
    <row r="95" ht="15" customHeight="1" s="101">
      <c r="A95" s="60" t="n">
        <v>2014</v>
      </c>
      <c r="B95" s="60" t="inlineStr">
        <is>
          <t>August</t>
        </is>
      </c>
      <c r="C95" s="61" t="n">
        <v>8</v>
      </c>
      <c r="D95" s="62" t="n">
        <v>13.48</v>
      </c>
      <c r="E95" s="63" t="n">
        <v>26.02</v>
      </c>
      <c r="F95" s="63" t="n">
        <v>22.38</v>
      </c>
      <c r="G95" s="63" t="n">
        <v>31.88</v>
      </c>
      <c r="H95" s="63" t="n">
        <v>87.73</v>
      </c>
      <c r="I95" s="63" t="n">
        <v>98.23999999999999</v>
      </c>
      <c r="J95" s="63" t="n">
        <v>17.25</v>
      </c>
      <c r="K95" s="64" t="n">
        <v>16.0503</v>
      </c>
      <c r="L95" s="64" t="n">
        <v>120.5926</v>
      </c>
      <c r="M95" s="60" t="inlineStr">
        <is>
          <t>Binalonan, Pangasinan</t>
        </is>
      </c>
    </row>
    <row r="96" ht="15" customHeight="1" s="101">
      <c r="A96" s="57" t="n">
        <v>2014</v>
      </c>
      <c r="B96" s="57" t="inlineStr">
        <is>
          <t>September</t>
        </is>
      </c>
      <c r="C96" s="58" t="n">
        <v>9</v>
      </c>
      <c r="D96" s="7" t="n">
        <v>24.87</v>
      </c>
      <c r="E96" s="8" t="n">
        <v>26.25</v>
      </c>
      <c r="F96" s="8" t="n">
        <v>22.67</v>
      </c>
      <c r="G96" s="8" t="n">
        <v>31.86</v>
      </c>
      <c r="H96" s="8" t="n">
        <v>87.90000000000001</v>
      </c>
      <c r="I96" s="8" t="n">
        <v>98.12</v>
      </c>
      <c r="J96" s="8" t="n">
        <v>17.46</v>
      </c>
      <c r="K96" s="59" t="n">
        <v>16.0503</v>
      </c>
      <c r="L96" s="59" t="n">
        <v>120.5926</v>
      </c>
      <c r="M96" s="57" t="inlineStr">
        <is>
          <t>Binalonan, Pangasinan</t>
        </is>
      </c>
    </row>
    <row r="97" ht="15" customHeight="1" s="101">
      <c r="A97" s="60" t="n">
        <v>2014</v>
      </c>
      <c r="B97" s="60" t="inlineStr">
        <is>
          <t>October</t>
        </is>
      </c>
      <c r="C97" s="61" t="n">
        <v>10</v>
      </c>
      <c r="D97" s="62" t="n">
        <v>5.6</v>
      </c>
      <c r="E97" s="63" t="n">
        <v>26.23</v>
      </c>
      <c r="F97" s="63" t="n">
        <v>21.8</v>
      </c>
      <c r="G97" s="63" t="n">
        <v>31.54</v>
      </c>
      <c r="H97" s="63" t="n">
        <v>84.3</v>
      </c>
      <c r="I97" s="63" t="n">
        <v>98.28</v>
      </c>
      <c r="J97" s="63" t="n">
        <v>17.63</v>
      </c>
      <c r="K97" s="64" t="n">
        <v>16.0503</v>
      </c>
      <c r="L97" s="64" t="n">
        <v>120.5926</v>
      </c>
      <c r="M97" s="60" t="inlineStr">
        <is>
          <t>Binalonan, Pangasinan</t>
        </is>
      </c>
    </row>
    <row r="98" ht="15" customHeight="1" s="101">
      <c r="A98" s="57" t="n">
        <v>2014</v>
      </c>
      <c r="B98" s="57" t="inlineStr">
        <is>
          <t>November</t>
        </is>
      </c>
      <c r="C98" s="58" t="n">
        <v>11</v>
      </c>
      <c r="D98" s="7" t="n">
        <v>1.17</v>
      </c>
      <c r="E98" s="8" t="n">
        <v>25.71</v>
      </c>
      <c r="F98" s="8" t="n">
        <v>17.61</v>
      </c>
      <c r="G98" s="8" t="n">
        <v>32.16</v>
      </c>
      <c r="H98" s="8" t="n">
        <v>81.98999999999999</v>
      </c>
      <c r="I98" s="8" t="n">
        <v>98.44</v>
      </c>
      <c r="J98" s="8" t="n">
        <v>17.37</v>
      </c>
      <c r="K98" s="59" t="n">
        <v>16.0503</v>
      </c>
      <c r="L98" s="59" t="n">
        <v>120.5926</v>
      </c>
      <c r="M98" s="57" t="inlineStr">
        <is>
          <t>Binalonan, Pangasinan</t>
        </is>
      </c>
    </row>
    <row r="99" ht="15" customHeight="1" s="101">
      <c r="A99" s="60" t="n">
        <v>2014</v>
      </c>
      <c r="B99" s="60" t="inlineStr">
        <is>
          <t>December</t>
        </is>
      </c>
      <c r="C99" s="61" t="n">
        <v>12</v>
      </c>
      <c r="D99" s="62" t="n">
        <v>1.44</v>
      </c>
      <c r="E99" s="63" t="n">
        <v>24.76</v>
      </c>
      <c r="F99" s="63" t="n">
        <v>19.02</v>
      </c>
      <c r="G99" s="63" t="n">
        <v>30.95</v>
      </c>
      <c r="H99" s="63" t="n">
        <v>81.59</v>
      </c>
      <c r="I99" s="63" t="n">
        <v>98.53</v>
      </c>
      <c r="J99" s="63" t="n">
        <v>14.95</v>
      </c>
      <c r="K99" s="64" t="n">
        <v>16.0503</v>
      </c>
      <c r="L99" s="64" t="n">
        <v>120.5926</v>
      </c>
      <c r="M99" s="60" t="inlineStr">
        <is>
          <t>Binalonan, Pangasinan</t>
        </is>
      </c>
    </row>
    <row r="100" ht="15" customHeight="1" s="101">
      <c r="A100" s="57" t="n">
        <v>2015</v>
      </c>
      <c r="B100" s="57" t="inlineStr">
        <is>
          <t>January</t>
        </is>
      </c>
      <c r="C100" s="58" t="n">
        <v>1</v>
      </c>
      <c r="D100" s="7" t="n">
        <v>0.47</v>
      </c>
      <c r="E100" s="8" t="n">
        <v>23.36</v>
      </c>
      <c r="F100" s="8" t="n">
        <v>17.32</v>
      </c>
      <c r="G100" s="8" t="n">
        <v>30.41</v>
      </c>
      <c r="H100" s="8" t="n">
        <v>75.98999999999999</v>
      </c>
      <c r="I100" s="8" t="n">
        <v>98.69</v>
      </c>
      <c r="J100" s="8" t="n">
        <v>16.71</v>
      </c>
      <c r="K100" s="59" t="n">
        <v>16.0503</v>
      </c>
      <c r="L100" s="59" t="n">
        <v>120.5926</v>
      </c>
      <c r="M100" s="57" t="inlineStr">
        <is>
          <t>Binalonan, Pangasinan</t>
        </is>
      </c>
    </row>
    <row r="101" ht="15" customHeight="1" s="101">
      <c r="A101" s="60" t="n">
        <v>2015</v>
      </c>
      <c r="B101" s="60" t="inlineStr">
        <is>
          <t>February</t>
        </is>
      </c>
      <c r="C101" s="61" t="n">
        <v>2</v>
      </c>
      <c r="D101" s="62" t="n">
        <v>0.48</v>
      </c>
      <c r="E101" s="63" t="n">
        <v>24.55</v>
      </c>
      <c r="F101" s="63" t="n">
        <v>17.04</v>
      </c>
      <c r="G101" s="63" t="n">
        <v>34.61</v>
      </c>
      <c r="H101" s="63" t="n">
        <v>72.5</v>
      </c>
      <c r="I101" s="63" t="n">
        <v>98.72</v>
      </c>
      <c r="J101" s="63" t="n">
        <v>19.08</v>
      </c>
      <c r="K101" s="64" t="n">
        <v>16.0503</v>
      </c>
      <c r="L101" s="64" t="n">
        <v>120.5926</v>
      </c>
      <c r="M101" s="60" t="inlineStr">
        <is>
          <t>Binalonan, Pangasinan</t>
        </is>
      </c>
    </row>
    <row r="102" ht="15" customHeight="1" s="101">
      <c r="A102" s="57" t="n">
        <v>2015</v>
      </c>
      <c r="B102" s="57" t="inlineStr">
        <is>
          <t>March</t>
        </is>
      </c>
      <c r="C102" s="58" t="n">
        <v>3</v>
      </c>
      <c r="D102" s="7" t="n">
        <v>1</v>
      </c>
      <c r="E102" s="8" t="n">
        <v>26.53</v>
      </c>
      <c r="F102" s="8" t="n">
        <v>18.9</v>
      </c>
      <c r="G102" s="8" t="n">
        <v>36.31</v>
      </c>
      <c r="H102" s="8" t="n">
        <v>66.09</v>
      </c>
      <c r="I102" s="8" t="n">
        <v>98.72</v>
      </c>
      <c r="J102" s="8" t="n">
        <v>22.17</v>
      </c>
      <c r="K102" s="59" t="n">
        <v>16.0503</v>
      </c>
      <c r="L102" s="59" t="n">
        <v>120.5926</v>
      </c>
      <c r="M102" s="57" t="inlineStr">
        <is>
          <t>Binalonan, Pangasinan</t>
        </is>
      </c>
    </row>
    <row r="103" ht="15" customHeight="1" s="101">
      <c r="A103" s="60" t="n">
        <v>2015</v>
      </c>
      <c r="B103" s="60" t="inlineStr">
        <is>
          <t>April</t>
        </is>
      </c>
      <c r="C103" s="61" t="n">
        <v>4</v>
      </c>
      <c r="D103" s="62" t="n">
        <v>2.15</v>
      </c>
      <c r="E103" s="63" t="n">
        <v>28.53</v>
      </c>
      <c r="F103" s="63" t="n">
        <v>20.59</v>
      </c>
      <c r="G103" s="63" t="n">
        <v>37.7</v>
      </c>
      <c r="H103" s="63" t="n">
        <v>65.98</v>
      </c>
      <c r="I103" s="63" t="n">
        <v>98.45999999999999</v>
      </c>
      <c r="J103" s="63" t="n">
        <v>22.47</v>
      </c>
      <c r="K103" s="64" t="n">
        <v>16.0503</v>
      </c>
      <c r="L103" s="64" t="n">
        <v>120.5926</v>
      </c>
      <c r="M103" s="60" t="inlineStr">
        <is>
          <t>Binalonan, Pangasinan</t>
        </is>
      </c>
    </row>
    <row r="104" ht="15" customHeight="1" s="101">
      <c r="A104" s="57" t="n">
        <v>2015</v>
      </c>
      <c r="B104" s="57" t="inlineStr">
        <is>
          <t>May</t>
        </is>
      </c>
      <c r="C104" s="58" t="n">
        <v>5</v>
      </c>
      <c r="D104" s="7" t="n">
        <v>3.16</v>
      </c>
      <c r="E104" s="8" t="n">
        <v>29.17</v>
      </c>
      <c r="F104" s="8" t="n">
        <v>23.5</v>
      </c>
      <c r="G104" s="8" t="n">
        <v>38.09</v>
      </c>
      <c r="H104" s="8" t="n">
        <v>68.5</v>
      </c>
      <c r="I104" s="8" t="n">
        <v>98.34999999999999</v>
      </c>
      <c r="J104" s="8" t="n">
        <v>22.3</v>
      </c>
      <c r="K104" s="59" t="n">
        <v>16.0503</v>
      </c>
      <c r="L104" s="59" t="n">
        <v>120.5926</v>
      </c>
      <c r="M104" s="57" t="inlineStr">
        <is>
          <t>Binalonan, Pangasinan</t>
        </is>
      </c>
    </row>
    <row r="105" ht="15" customHeight="1" s="101">
      <c r="A105" s="60" t="n">
        <v>2015</v>
      </c>
      <c r="B105" s="60" t="inlineStr">
        <is>
          <t>June</t>
        </is>
      </c>
      <c r="C105" s="61" t="n">
        <v>6</v>
      </c>
      <c r="D105" s="62" t="n">
        <v>7.21</v>
      </c>
      <c r="E105" s="63" t="n">
        <v>28.46</v>
      </c>
      <c r="F105" s="63" t="n">
        <v>23.39</v>
      </c>
      <c r="G105" s="63" t="n">
        <v>37.03</v>
      </c>
      <c r="H105" s="63" t="n">
        <v>76.02</v>
      </c>
      <c r="I105" s="63" t="n">
        <v>98.26000000000001</v>
      </c>
      <c r="J105" s="63" t="n">
        <v>22.25</v>
      </c>
      <c r="K105" s="64" t="n">
        <v>16.0503</v>
      </c>
      <c r="L105" s="64" t="n">
        <v>120.5926</v>
      </c>
      <c r="M105" s="60" t="inlineStr">
        <is>
          <t>Binalonan, Pangasinan</t>
        </is>
      </c>
    </row>
    <row r="106" ht="15" customHeight="1" s="101">
      <c r="A106" s="57" t="n">
        <v>2015</v>
      </c>
      <c r="B106" s="57" t="inlineStr">
        <is>
          <t>July</t>
        </is>
      </c>
      <c r="C106" s="58" t="n">
        <v>7</v>
      </c>
      <c r="D106" s="7" t="n">
        <v>27.7</v>
      </c>
      <c r="E106" s="8" t="n">
        <v>26.17</v>
      </c>
      <c r="F106" s="8" t="n">
        <v>22.7</v>
      </c>
      <c r="G106" s="8" t="n">
        <v>32.59</v>
      </c>
      <c r="H106" s="8" t="n">
        <v>87.17</v>
      </c>
      <c r="I106" s="8" t="n">
        <v>98.13</v>
      </c>
      <c r="J106" s="8" t="n">
        <v>14.55</v>
      </c>
      <c r="K106" s="59" t="n">
        <v>16.0503</v>
      </c>
      <c r="L106" s="59" t="n">
        <v>120.5926</v>
      </c>
      <c r="M106" s="57" t="inlineStr">
        <is>
          <t>Binalonan, Pangasinan</t>
        </is>
      </c>
    </row>
    <row r="107" ht="15" customHeight="1" s="101">
      <c r="A107" s="60" t="n">
        <v>2015</v>
      </c>
      <c r="B107" s="60" t="inlineStr">
        <is>
          <t>August</t>
        </is>
      </c>
      <c r="C107" s="61" t="n">
        <v>8</v>
      </c>
      <c r="D107" s="62" t="n">
        <v>15.28</v>
      </c>
      <c r="E107" s="63" t="n">
        <v>26.34</v>
      </c>
      <c r="F107" s="63" t="n">
        <v>22.68</v>
      </c>
      <c r="G107" s="63" t="n">
        <v>32.05</v>
      </c>
      <c r="H107" s="63" t="n">
        <v>88</v>
      </c>
      <c r="I107" s="63" t="n">
        <v>98.14</v>
      </c>
      <c r="J107" s="63" t="n">
        <v>18.67</v>
      </c>
      <c r="K107" s="64" t="n">
        <v>16.0503</v>
      </c>
      <c r="L107" s="64" t="n">
        <v>120.5926</v>
      </c>
      <c r="M107" s="60" t="inlineStr">
        <is>
          <t>Binalonan, Pangasinan</t>
        </is>
      </c>
    </row>
    <row r="108" ht="15" customHeight="1" s="101">
      <c r="A108" s="57" t="n">
        <v>2015</v>
      </c>
      <c r="B108" s="57" t="inlineStr">
        <is>
          <t>September</t>
        </is>
      </c>
      <c r="C108" s="58" t="n">
        <v>9</v>
      </c>
      <c r="D108" s="7" t="n">
        <v>10.65</v>
      </c>
      <c r="E108" s="8" t="n">
        <v>26.52</v>
      </c>
      <c r="F108" s="8" t="n">
        <v>23.16</v>
      </c>
      <c r="G108" s="8" t="n">
        <v>32.34</v>
      </c>
      <c r="H108" s="8" t="n">
        <v>87.47</v>
      </c>
      <c r="I108" s="8" t="n">
        <v>98.23999999999999</v>
      </c>
      <c r="J108" s="8" t="n">
        <v>20.33</v>
      </c>
      <c r="K108" s="59" t="n">
        <v>16.0503</v>
      </c>
      <c r="L108" s="59" t="n">
        <v>120.5926</v>
      </c>
      <c r="M108" s="57" t="inlineStr">
        <is>
          <t>Binalonan, Pangasinan</t>
        </is>
      </c>
    </row>
    <row r="109" ht="15" customHeight="1" s="101">
      <c r="A109" s="60" t="n">
        <v>2015</v>
      </c>
      <c r="B109" s="60" t="inlineStr">
        <is>
          <t>October</t>
        </is>
      </c>
      <c r="C109" s="61" t="n">
        <v>10</v>
      </c>
      <c r="D109" s="62" t="n">
        <v>13.62</v>
      </c>
      <c r="E109" s="63" t="n">
        <v>26.1</v>
      </c>
      <c r="F109" s="63" t="n">
        <v>20.71</v>
      </c>
      <c r="G109" s="63" t="n">
        <v>32.36</v>
      </c>
      <c r="H109" s="63" t="n">
        <v>85.39</v>
      </c>
      <c r="I109" s="63" t="n">
        <v>98.27</v>
      </c>
      <c r="J109" s="63" t="n">
        <v>16.69</v>
      </c>
      <c r="K109" s="64" t="n">
        <v>16.0503</v>
      </c>
      <c r="L109" s="64" t="n">
        <v>120.5926</v>
      </c>
      <c r="M109" s="60" t="inlineStr">
        <is>
          <t>Binalonan, Pangasinan</t>
        </is>
      </c>
    </row>
    <row r="110" ht="15" customHeight="1" s="101">
      <c r="A110" s="57" t="n">
        <v>2015</v>
      </c>
      <c r="B110" s="57" t="inlineStr">
        <is>
          <t>November</t>
        </is>
      </c>
      <c r="C110" s="58" t="n">
        <v>11</v>
      </c>
      <c r="D110" s="7" t="n">
        <v>0.44</v>
      </c>
      <c r="E110" s="8" t="n">
        <v>25.91</v>
      </c>
      <c r="F110" s="8" t="n">
        <v>19.18</v>
      </c>
      <c r="G110" s="8" t="n">
        <v>31.71</v>
      </c>
      <c r="H110" s="8" t="n">
        <v>80.54000000000001</v>
      </c>
      <c r="I110" s="8" t="n">
        <v>98.56</v>
      </c>
      <c r="J110" s="8" t="n">
        <v>19.36</v>
      </c>
      <c r="K110" s="59" t="n">
        <v>16.0503</v>
      </c>
      <c r="L110" s="59" t="n">
        <v>120.5926</v>
      </c>
      <c r="M110" s="57" t="inlineStr">
        <is>
          <t>Binalonan, Pangasinan</t>
        </is>
      </c>
    </row>
    <row r="111" ht="15" customHeight="1" s="101">
      <c r="A111" s="60" t="n">
        <v>2015</v>
      </c>
      <c r="B111" s="60" t="inlineStr">
        <is>
          <t>December</t>
        </is>
      </c>
      <c r="C111" s="61" t="n">
        <v>12</v>
      </c>
      <c r="D111" s="62" t="n">
        <v>8.81</v>
      </c>
      <c r="E111" s="63" t="n">
        <v>25.07</v>
      </c>
      <c r="F111" s="63" t="n">
        <v>17.84</v>
      </c>
      <c r="G111" s="63" t="n">
        <v>31.83</v>
      </c>
      <c r="H111" s="63" t="n">
        <v>82.02</v>
      </c>
      <c r="I111" s="63" t="n">
        <v>98.68000000000001</v>
      </c>
      <c r="J111" s="63" t="n">
        <v>16.14</v>
      </c>
      <c r="K111" s="64" t="n">
        <v>16.0503</v>
      </c>
      <c r="L111" s="64" t="n">
        <v>120.5926</v>
      </c>
      <c r="M111" s="60" t="inlineStr">
        <is>
          <t>Binalonan, Pangasinan</t>
        </is>
      </c>
    </row>
    <row r="112" ht="15" customHeight="1" s="101">
      <c r="A112" s="57" t="n">
        <v>2016</v>
      </c>
      <c r="B112" s="57" t="inlineStr">
        <is>
          <t>January</t>
        </is>
      </c>
      <c r="C112" s="58" t="n">
        <v>1</v>
      </c>
      <c r="D112" s="7" t="n">
        <v>0.46</v>
      </c>
      <c r="E112" s="8" t="n">
        <v>24.64</v>
      </c>
      <c r="F112" s="8" t="n">
        <v>17.81</v>
      </c>
      <c r="G112" s="8" t="n">
        <v>32.36</v>
      </c>
      <c r="H112" s="8" t="n">
        <v>79.95</v>
      </c>
      <c r="I112" s="8" t="n">
        <v>98.79000000000001</v>
      </c>
      <c r="J112" s="8" t="n">
        <v>18.03</v>
      </c>
      <c r="K112" s="59" t="n">
        <v>16.0503</v>
      </c>
      <c r="L112" s="59" t="n">
        <v>120.5926</v>
      </c>
      <c r="M112" s="57" t="inlineStr">
        <is>
          <t>Binalonan, Pangasinan</t>
        </is>
      </c>
    </row>
    <row r="113" ht="15" customHeight="1" s="101">
      <c r="A113" s="60" t="n">
        <v>2016</v>
      </c>
      <c r="B113" s="60" t="inlineStr">
        <is>
          <t>February</t>
        </is>
      </c>
      <c r="C113" s="61" t="n">
        <v>2</v>
      </c>
      <c r="D113" s="62" t="n">
        <v>0.5</v>
      </c>
      <c r="E113" s="63" t="n">
        <v>24.97</v>
      </c>
      <c r="F113" s="63" t="n">
        <v>17.91</v>
      </c>
      <c r="G113" s="63" t="n">
        <v>32.54</v>
      </c>
      <c r="H113" s="63" t="n">
        <v>75.43000000000001</v>
      </c>
      <c r="I113" s="63" t="n">
        <v>98.81</v>
      </c>
      <c r="J113" s="63" t="n">
        <v>18.73</v>
      </c>
      <c r="K113" s="64" t="n">
        <v>16.0503</v>
      </c>
      <c r="L113" s="64" t="n">
        <v>120.5926</v>
      </c>
      <c r="M113" s="60" t="inlineStr">
        <is>
          <t>Binalonan, Pangasinan</t>
        </is>
      </c>
    </row>
    <row r="114" ht="15" customHeight="1" s="101">
      <c r="A114" s="57" t="n">
        <v>2016</v>
      </c>
      <c r="B114" s="57" t="inlineStr">
        <is>
          <t>March</t>
        </is>
      </c>
      <c r="C114" s="58" t="n">
        <v>3</v>
      </c>
      <c r="D114" s="7" t="n">
        <v>0.44</v>
      </c>
      <c r="E114" s="8" t="n">
        <v>27.26</v>
      </c>
      <c r="F114" s="8" t="n">
        <v>20.34</v>
      </c>
      <c r="G114" s="8" t="n">
        <v>35.88</v>
      </c>
      <c r="H114" s="8" t="n">
        <v>69.56999999999999</v>
      </c>
      <c r="I114" s="8" t="n">
        <v>98.65000000000001</v>
      </c>
      <c r="J114" s="8" t="n">
        <v>21.28</v>
      </c>
      <c r="K114" s="59" t="n">
        <v>16.0503</v>
      </c>
      <c r="L114" s="59" t="n">
        <v>120.5926</v>
      </c>
      <c r="M114" s="57" t="inlineStr">
        <is>
          <t>Binalonan, Pangasinan</t>
        </is>
      </c>
    </row>
    <row r="115" ht="15" customHeight="1" s="101">
      <c r="A115" s="60" t="n">
        <v>2016</v>
      </c>
      <c r="B115" s="60" t="inlineStr">
        <is>
          <t>April</t>
        </is>
      </c>
      <c r="C115" s="61" t="n">
        <v>4</v>
      </c>
      <c r="D115" s="62" t="n">
        <v>1.46</v>
      </c>
      <c r="E115" s="63" t="n">
        <v>29.76</v>
      </c>
      <c r="F115" s="63" t="n">
        <v>22.14</v>
      </c>
      <c r="G115" s="63" t="n">
        <v>38.69</v>
      </c>
      <c r="H115" s="63" t="n">
        <v>61.91</v>
      </c>
      <c r="I115" s="63" t="n">
        <v>98.47</v>
      </c>
      <c r="J115" s="63" t="n">
        <v>23.67</v>
      </c>
      <c r="K115" s="64" t="n">
        <v>16.0503</v>
      </c>
      <c r="L115" s="64" t="n">
        <v>120.5926</v>
      </c>
      <c r="M115" s="60" t="inlineStr">
        <is>
          <t>Binalonan, Pangasinan</t>
        </is>
      </c>
    </row>
    <row r="116" ht="15" customHeight="1" s="101">
      <c r="A116" s="57" t="n">
        <v>2016</v>
      </c>
      <c r="B116" s="57" t="inlineStr">
        <is>
          <t>May</t>
        </is>
      </c>
      <c r="C116" s="58" t="n">
        <v>5</v>
      </c>
      <c r="D116" s="7" t="n">
        <v>6.84</v>
      </c>
      <c r="E116" s="8" t="n">
        <v>28.78</v>
      </c>
      <c r="F116" s="8" t="n">
        <v>23.25</v>
      </c>
      <c r="G116" s="8" t="n">
        <v>37.31</v>
      </c>
      <c r="H116" s="8" t="n">
        <v>73.7</v>
      </c>
      <c r="I116" s="8" t="n">
        <v>98.33</v>
      </c>
      <c r="J116" s="8" t="n">
        <v>21.89</v>
      </c>
      <c r="K116" s="59" t="n">
        <v>16.0503</v>
      </c>
      <c r="L116" s="59" t="n">
        <v>120.5926</v>
      </c>
      <c r="M116" s="57" t="inlineStr">
        <is>
          <t>Binalonan, Pangasinan</t>
        </is>
      </c>
    </row>
    <row r="117" ht="15" customHeight="1" s="101">
      <c r="A117" s="60" t="n">
        <v>2016</v>
      </c>
      <c r="B117" s="60" t="inlineStr">
        <is>
          <t>June</t>
        </is>
      </c>
      <c r="C117" s="61" t="n">
        <v>6</v>
      </c>
      <c r="D117" s="62" t="n">
        <v>6.97</v>
      </c>
      <c r="E117" s="63" t="n">
        <v>27.43</v>
      </c>
      <c r="F117" s="63" t="n">
        <v>23.57</v>
      </c>
      <c r="G117" s="63" t="n">
        <v>33.6</v>
      </c>
      <c r="H117" s="63" t="n">
        <v>81.41</v>
      </c>
      <c r="I117" s="63" t="n">
        <v>98.33</v>
      </c>
      <c r="J117" s="63" t="n">
        <v>20.67</v>
      </c>
      <c r="K117" s="64" t="n">
        <v>16.0503</v>
      </c>
      <c r="L117" s="64" t="n">
        <v>120.5926</v>
      </c>
      <c r="M117" s="60" t="inlineStr">
        <is>
          <t>Binalonan, Pangasinan</t>
        </is>
      </c>
    </row>
    <row r="118" ht="15" customHeight="1" s="101">
      <c r="A118" s="57" t="n">
        <v>2016</v>
      </c>
      <c r="B118" s="57" t="inlineStr">
        <is>
          <t>July</t>
        </is>
      </c>
      <c r="C118" s="58" t="n">
        <v>7</v>
      </c>
      <c r="D118" s="7" t="n">
        <v>13.99</v>
      </c>
      <c r="E118" s="8" t="n">
        <v>26.96</v>
      </c>
      <c r="F118" s="8" t="n">
        <v>23.36</v>
      </c>
      <c r="G118" s="8" t="n">
        <v>32.37</v>
      </c>
      <c r="H118" s="8" t="n">
        <v>84.45</v>
      </c>
      <c r="I118" s="8" t="n">
        <v>98.18000000000001</v>
      </c>
      <c r="J118" s="8" t="n">
        <v>19.76</v>
      </c>
      <c r="K118" s="59" t="n">
        <v>16.0503</v>
      </c>
      <c r="L118" s="59" t="n">
        <v>120.5926</v>
      </c>
      <c r="M118" s="57" t="inlineStr">
        <is>
          <t>Binalonan, Pangasinan</t>
        </is>
      </c>
    </row>
    <row r="119" ht="15" customHeight="1" s="101">
      <c r="A119" s="60" t="n">
        <v>2016</v>
      </c>
      <c r="B119" s="60" t="inlineStr">
        <is>
          <t>August</t>
        </is>
      </c>
      <c r="C119" s="61" t="n">
        <v>8</v>
      </c>
      <c r="D119" s="62" t="n">
        <v>27.08</v>
      </c>
      <c r="E119" s="63" t="n">
        <v>26.06</v>
      </c>
      <c r="F119" s="63" t="n">
        <v>22.73</v>
      </c>
      <c r="G119" s="63" t="n">
        <v>31.03</v>
      </c>
      <c r="H119" s="63" t="n">
        <v>90.79000000000001</v>
      </c>
      <c r="I119" s="63" t="n">
        <v>97.97</v>
      </c>
      <c r="J119" s="63" t="n">
        <v>14.68</v>
      </c>
      <c r="K119" s="64" t="n">
        <v>16.0503</v>
      </c>
      <c r="L119" s="64" t="n">
        <v>120.5926</v>
      </c>
      <c r="M119" s="60" t="inlineStr">
        <is>
          <t>Binalonan, Pangasinan</t>
        </is>
      </c>
    </row>
    <row r="120" ht="15" customHeight="1" s="101">
      <c r="A120" s="57" t="n">
        <v>2016</v>
      </c>
      <c r="B120" s="57" t="inlineStr">
        <is>
          <t>September</t>
        </is>
      </c>
      <c r="C120" s="58" t="n">
        <v>9</v>
      </c>
      <c r="D120" s="7" t="n">
        <v>11.2</v>
      </c>
      <c r="E120" s="8" t="n">
        <v>26.24</v>
      </c>
      <c r="F120" s="8" t="n">
        <v>22.28</v>
      </c>
      <c r="G120" s="8" t="n">
        <v>31.32</v>
      </c>
      <c r="H120" s="8" t="n">
        <v>88.19</v>
      </c>
      <c r="I120" s="8" t="n">
        <v>98.14</v>
      </c>
      <c r="J120" s="8" t="n">
        <v>17.78</v>
      </c>
      <c r="K120" s="59" t="n">
        <v>16.0503</v>
      </c>
      <c r="L120" s="59" t="n">
        <v>120.5926</v>
      </c>
      <c r="M120" s="57" t="inlineStr">
        <is>
          <t>Binalonan, Pangasinan</t>
        </is>
      </c>
    </row>
    <row r="121" ht="15" customHeight="1" s="101">
      <c r="A121" s="60" t="n">
        <v>2016</v>
      </c>
      <c r="B121" s="60" t="inlineStr">
        <is>
          <t>October</t>
        </is>
      </c>
      <c r="C121" s="61" t="n">
        <v>10</v>
      </c>
      <c r="D121" s="62" t="n">
        <v>16.23</v>
      </c>
      <c r="E121" s="63" t="n">
        <v>26</v>
      </c>
      <c r="F121" s="63" t="n">
        <v>21.16</v>
      </c>
      <c r="G121" s="63" t="n">
        <v>32.03</v>
      </c>
      <c r="H121" s="63" t="n">
        <v>87.93000000000001</v>
      </c>
      <c r="I121" s="63" t="n">
        <v>98.16</v>
      </c>
      <c r="J121" s="63" t="n">
        <v>16.33</v>
      </c>
      <c r="K121" s="64" t="n">
        <v>16.0503</v>
      </c>
      <c r="L121" s="64" t="n">
        <v>120.5926</v>
      </c>
      <c r="M121" s="60" t="inlineStr">
        <is>
          <t>Binalonan, Pangasinan</t>
        </is>
      </c>
    </row>
    <row r="122" ht="15" customHeight="1" s="101">
      <c r="A122" s="57" t="n">
        <v>2016</v>
      </c>
      <c r="B122" s="57" t="inlineStr">
        <is>
          <t>November</t>
        </is>
      </c>
      <c r="C122" s="58" t="n">
        <v>11</v>
      </c>
      <c r="D122" s="7" t="n">
        <v>3.14</v>
      </c>
      <c r="E122" s="8" t="n">
        <v>25.68</v>
      </c>
      <c r="F122" s="8" t="n">
        <v>19.83</v>
      </c>
      <c r="G122" s="8" t="n">
        <v>31.41</v>
      </c>
      <c r="H122" s="8" t="n">
        <v>82.48999999999999</v>
      </c>
      <c r="I122" s="8" t="n">
        <v>98.41</v>
      </c>
      <c r="J122" s="8" t="n">
        <v>16.33</v>
      </c>
      <c r="K122" s="59" t="n">
        <v>16.0503</v>
      </c>
      <c r="L122" s="59" t="n">
        <v>120.5926</v>
      </c>
      <c r="M122" s="57" t="inlineStr">
        <is>
          <t>Binalonan, Pangasinan</t>
        </is>
      </c>
    </row>
    <row r="123" ht="15" customHeight="1" s="101">
      <c r="A123" s="60" t="n">
        <v>2016</v>
      </c>
      <c r="B123" s="60" t="inlineStr">
        <is>
          <t>December</t>
        </is>
      </c>
      <c r="C123" s="61" t="n">
        <v>12</v>
      </c>
      <c r="D123" s="62" t="n">
        <v>2.8</v>
      </c>
      <c r="E123" s="63" t="n">
        <v>25.3</v>
      </c>
      <c r="F123" s="63" t="n">
        <v>18.95</v>
      </c>
      <c r="G123" s="63" t="n">
        <v>31.16</v>
      </c>
      <c r="H123" s="63" t="n">
        <v>83.68000000000001</v>
      </c>
      <c r="I123" s="63" t="n">
        <v>98.41</v>
      </c>
      <c r="J123" s="63" t="n">
        <v>15.49</v>
      </c>
      <c r="K123" s="64" t="n">
        <v>16.0503</v>
      </c>
      <c r="L123" s="64" t="n">
        <v>120.5926</v>
      </c>
      <c r="M123" s="60" t="inlineStr">
        <is>
          <t>Binalonan, Pangasinan</t>
        </is>
      </c>
    </row>
    <row r="124" ht="15" customHeight="1" s="101">
      <c r="A124" s="57" t="n">
        <v>2017</v>
      </c>
      <c r="B124" s="57" t="inlineStr">
        <is>
          <t>January</t>
        </is>
      </c>
      <c r="C124" s="58" t="n">
        <v>1</v>
      </c>
      <c r="D124" s="7" t="n">
        <v>2.45</v>
      </c>
      <c r="E124" s="8" t="n">
        <v>23.97</v>
      </c>
      <c r="F124" s="8" t="n">
        <v>17.89</v>
      </c>
      <c r="G124" s="8" t="n">
        <v>30.76</v>
      </c>
      <c r="H124" s="8" t="n">
        <v>81.43000000000001</v>
      </c>
      <c r="I124" s="8" t="n">
        <v>98.58</v>
      </c>
      <c r="J124" s="8" t="n">
        <v>16.46</v>
      </c>
      <c r="K124" s="59" t="n">
        <v>16.0503</v>
      </c>
      <c r="L124" s="59" t="n">
        <v>120.5926</v>
      </c>
      <c r="M124" s="57" t="inlineStr">
        <is>
          <t>Binalonan, Pangasinan</t>
        </is>
      </c>
    </row>
    <row r="125" ht="15" customHeight="1" s="101">
      <c r="A125" s="60" t="n">
        <v>2017</v>
      </c>
      <c r="B125" s="60" t="inlineStr">
        <is>
          <t>February</t>
        </is>
      </c>
      <c r="C125" s="61" t="n">
        <v>2</v>
      </c>
      <c r="D125" s="62" t="n">
        <v>2.24</v>
      </c>
      <c r="E125" s="63" t="n">
        <v>23.91</v>
      </c>
      <c r="F125" s="63" t="n">
        <v>14.24</v>
      </c>
      <c r="G125" s="63" t="n">
        <v>31.78</v>
      </c>
      <c r="H125" s="63" t="n">
        <v>79.65000000000001</v>
      </c>
      <c r="I125" s="63" t="n">
        <v>98.66</v>
      </c>
      <c r="J125" s="63" t="n">
        <v>18.3</v>
      </c>
      <c r="K125" s="64" t="n">
        <v>16.0503</v>
      </c>
      <c r="L125" s="64" t="n">
        <v>120.5926</v>
      </c>
      <c r="M125" s="60" t="inlineStr">
        <is>
          <t>Binalonan, Pangasinan</t>
        </is>
      </c>
    </row>
    <row r="126" ht="15" customHeight="1" s="101">
      <c r="A126" s="57" t="n">
        <v>2017</v>
      </c>
      <c r="B126" s="57" t="inlineStr">
        <is>
          <t>March</t>
        </is>
      </c>
      <c r="C126" s="58" t="n">
        <v>3</v>
      </c>
      <c r="D126" s="7" t="n">
        <v>0.75</v>
      </c>
      <c r="E126" s="8" t="n">
        <v>26.13</v>
      </c>
      <c r="F126" s="8" t="n">
        <v>17.77</v>
      </c>
      <c r="G126" s="8" t="n">
        <v>34.11</v>
      </c>
      <c r="H126" s="8" t="n">
        <v>74.06</v>
      </c>
      <c r="I126" s="8" t="n">
        <v>98.54000000000001</v>
      </c>
      <c r="J126" s="8" t="n">
        <v>22.2</v>
      </c>
      <c r="K126" s="59" t="n">
        <v>16.0503</v>
      </c>
      <c r="L126" s="59" t="n">
        <v>120.5926</v>
      </c>
      <c r="M126" s="57" t="inlineStr">
        <is>
          <t>Binalonan, Pangasinan</t>
        </is>
      </c>
    </row>
    <row r="127" ht="15" customHeight="1" s="101">
      <c r="A127" s="60" t="n">
        <v>2017</v>
      </c>
      <c r="B127" s="60" t="inlineStr">
        <is>
          <t>April</t>
        </is>
      </c>
      <c r="C127" s="61" t="n">
        <v>4</v>
      </c>
      <c r="D127" s="62" t="n">
        <v>1.22</v>
      </c>
      <c r="E127" s="63" t="n">
        <v>28.23</v>
      </c>
      <c r="F127" s="63" t="n">
        <v>19.34</v>
      </c>
      <c r="G127" s="63" t="n">
        <v>36.32</v>
      </c>
      <c r="H127" s="63" t="n">
        <v>68</v>
      </c>
      <c r="I127" s="63" t="n">
        <v>98.44</v>
      </c>
      <c r="J127" s="63" t="n">
        <v>23.5</v>
      </c>
      <c r="K127" s="64" t="n">
        <v>16.0503</v>
      </c>
      <c r="L127" s="64" t="n">
        <v>120.5926</v>
      </c>
      <c r="M127" s="60" t="inlineStr">
        <is>
          <t>Binalonan, Pangasinan</t>
        </is>
      </c>
    </row>
    <row r="128" ht="15" customHeight="1" s="101">
      <c r="A128" s="57" t="n">
        <v>2017</v>
      </c>
      <c r="B128" s="57" t="inlineStr">
        <is>
          <t>May</t>
        </is>
      </c>
      <c r="C128" s="58" t="n">
        <v>5</v>
      </c>
      <c r="D128" s="7" t="n">
        <v>9.85</v>
      </c>
      <c r="E128" s="8" t="n">
        <v>28.11</v>
      </c>
      <c r="F128" s="8" t="n">
        <v>23.66</v>
      </c>
      <c r="G128" s="8" t="n">
        <v>36.59</v>
      </c>
      <c r="H128" s="8" t="n">
        <v>76.53</v>
      </c>
      <c r="I128" s="8" t="n">
        <v>98.31</v>
      </c>
      <c r="J128" s="8" t="n">
        <v>20.65</v>
      </c>
      <c r="K128" s="59" t="n">
        <v>16.0503</v>
      </c>
      <c r="L128" s="59" t="n">
        <v>120.5926</v>
      </c>
      <c r="M128" s="57" t="inlineStr">
        <is>
          <t>Binalonan, Pangasinan</t>
        </is>
      </c>
    </row>
    <row r="129" ht="15" customHeight="1" s="101">
      <c r="A129" s="60" t="n">
        <v>2017</v>
      </c>
      <c r="B129" s="60" t="inlineStr">
        <is>
          <t>June</t>
        </is>
      </c>
      <c r="C129" s="61" t="n">
        <v>6</v>
      </c>
      <c r="D129" s="62" t="n">
        <v>8.73</v>
      </c>
      <c r="E129" s="63" t="n">
        <v>27.2</v>
      </c>
      <c r="F129" s="63" t="n">
        <v>22.27</v>
      </c>
      <c r="G129" s="63" t="n">
        <v>32.27</v>
      </c>
      <c r="H129" s="63" t="n">
        <v>83.43000000000001</v>
      </c>
      <c r="I129" s="63" t="n">
        <v>98.3</v>
      </c>
      <c r="J129" s="63" t="n">
        <v>21.97</v>
      </c>
      <c r="K129" s="64" t="n">
        <v>16.0503</v>
      </c>
      <c r="L129" s="64" t="n">
        <v>120.5926</v>
      </c>
      <c r="M129" s="60" t="inlineStr">
        <is>
          <t>Binalonan, Pangasinan</t>
        </is>
      </c>
    </row>
    <row r="130" ht="15" customHeight="1" s="101">
      <c r="A130" s="57" t="n">
        <v>2017</v>
      </c>
      <c r="B130" s="57" t="inlineStr">
        <is>
          <t>July</t>
        </is>
      </c>
      <c r="C130" s="58" t="n">
        <v>7</v>
      </c>
      <c r="D130" s="7" t="n">
        <v>17.2</v>
      </c>
      <c r="E130" s="8" t="n">
        <v>26.22</v>
      </c>
      <c r="F130" s="8" t="n">
        <v>22.9</v>
      </c>
      <c r="G130" s="8" t="n">
        <v>32.23</v>
      </c>
      <c r="H130" s="8" t="n">
        <v>87.88</v>
      </c>
      <c r="I130" s="8" t="n">
        <v>98.22</v>
      </c>
      <c r="J130" s="8" t="n">
        <v>17.29</v>
      </c>
      <c r="K130" s="59" t="n">
        <v>16.0503</v>
      </c>
      <c r="L130" s="59" t="n">
        <v>120.5926</v>
      </c>
      <c r="M130" s="57" t="inlineStr">
        <is>
          <t>Binalonan, Pangasinan</t>
        </is>
      </c>
    </row>
    <row r="131" ht="15" customHeight="1" s="101">
      <c r="A131" s="60" t="n">
        <v>2017</v>
      </c>
      <c r="B131" s="60" t="inlineStr">
        <is>
          <t>August</t>
        </is>
      </c>
      <c r="C131" s="61" t="n">
        <v>8</v>
      </c>
      <c r="D131" s="62" t="n">
        <v>17.33</v>
      </c>
      <c r="E131" s="63" t="n">
        <v>26.41</v>
      </c>
      <c r="F131" s="63" t="n">
        <v>22.65</v>
      </c>
      <c r="G131" s="63" t="n">
        <v>32.24</v>
      </c>
      <c r="H131" s="63" t="n">
        <v>88</v>
      </c>
      <c r="I131" s="63" t="n">
        <v>98.13</v>
      </c>
      <c r="J131" s="63" t="n">
        <v>18.39</v>
      </c>
      <c r="K131" s="64" t="n">
        <v>16.0503</v>
      </c>
      <c r="L131" s="64" t="n">
        <v>120.5926</v>
      </c>
      <c r="M131" s="60" t="inlineStr">
        <is>
          <t>Binalonan, Pangasinan</t>
        </is>
      </c>
    </row>
    <row r="132" ht="15" customHeight="1" s="101">
      <c r="A132" s="57" t="n">
        <v>2017</v>
      </c>
      <c r="B132" s="57" t="inlineStr">
        <is>
          <t>September</t>
        </is>
      </c>
      <c r="C132" s="58" t="n">
        <v>9</v>
      </c>
      <c r="D132" s="7" t="n">
        <v>8.470000000000001</v>
      </c>
      <c r="E132" s="8" t="n">
        <v>26.5</v>
      </c>
      <c r="F132" s="8" t="n">
        <v>22.43</v>
      </c>
      <c r="G132" s="8" t="n">
        <v>32.37</v>
      </c>
      <c r="H132" s="8" t="n">
        <v>87.26000000000001</v>
      </c>
      <c r="I132" s="8" t="n">
        <v>98.20999999999999</v>
      </c>
      <c r="J132" s="8" t="n">
        <v>17.93</v>
      </c>
      <c r="K132" s="59" t="n">
        <v>16.0503</v>
      </c>
      <c r="L132" s="59" t="n">
        <v>120.5926</v>
      </c>
      <c r="M132" s="57" t="inlineStr">
        <is>
          <t>Binalonan, Pangasinan</t>
        </is>
      </c>
    </row>
    <row r="133" ht="15" customHeight="1" s="101">
      <c r="A133" s="60" t="n">
        <v>2017</v>
      </c>
      <c r="B133" s="60" t="inlineStr">
        <is>
          <t>October</t>
        </is>
      </c>
      <c r="C133" s="61" t="n">
        <v>10</v>
      </c>
      <c r="D133" s="62" t="n">
        <v>6.92</v>
      </c>
      <c r="E133" s="63" t="n">
        <v>26.35</v>
      </c>
      <c r="F133" s="63" t="n">
        <v>21.79</v>
      </c>
      <c r="G133" s="63" t="n">
        <v>32.06</v>
      </c>
      <c r="H133" s="63" t="n">
        <v>85.04000000000001</v>
      </c>
      <c r="I133" s="63" t="n">
        <v>98.08</v>
      </c>
      <c r="J133" s="63" t="n">
        <v>16.96</v>
      </c>
      <c r="K133" s="64" t="n">
        <v>16.0503</v>
      </c>
      <c r="L133" s="64" t="n">
        <v>120.5926</v>
      </c>
      <c r="M133" s="60" t="inlineStr">
        <is>
          <t>Binalonan, Pangasinan</t>
        </is>
      </c>
    </row>
    <row r="134" ht="15" customHeight="1" s="101">
      <c r="A134" s="57" t="n">
        <v>2017</v>
      </c>
      <c r="B134" s="57" t="inlineStr">
        <is>
          <t>November</t>
        </is>
      </c>
      <c r="C134" s="58" t="n">
        <v>11</v>
      </c>
      <c r="D134" s="7" t="n">
        <v>6.49</v>
      </c>
      <c r="E134" s="8" t="n">
        <v>26.02</v>
      </c>
      <c r="F134" s="8" t="n">
        <v>21.21</v>
      </c>
      <c r="G134" s="8" t="n">
        <v>31.4</v>
      </c>
      <c r="H134" s="8" t="n">
        <v>84.58</v>
      </c>
      <c r="I134" s="8" t="n">
        <v>98.31999999999999</v>
      </c>
      <c r="J134" s="8" t="n">
        <v>15.71</v>
      </c>
      <c r="K134" s="59" t="n">
        <v>16.0503</v>
      </c>
      <c r="L134" s="59" t="n">
        <v>120.5926</v>
      </c>
      <c r="M134" s="57" t="inlineStr">
        <is>
          <t>Binalonan, Pangasinan</t>
        </is>
      </c>
    </row>
    <row r="135" ht="15" customHeight="1" s="101">
      <c r="A135" s="60" t="n">
        <v>2017</v>
      </c>
      <c r="B135" s="60" t="inlineStr">
        <is>
          <t>December</t>
        </is>
      </c>
      <c r="C135" s="61" t="n">
        <v>12</v>
      </c>
      <c r="D135" s="62" t="n">
        <v>2.12</v>
      </c>
      <c r="E135" s="63" t="n">
        <v>24.91</v>
      </c>
      <c r="F135" s="63" t="n">
        <v>18.92</v>
      </c>
      <c r="G135" s="63" t="n">
        <v>30.84</v>
      </c>
      <c r="H135" s="63" t="n">
        <v>82.91</v>
      </c>
      <c r="I135" s="63" t="n">
        <v>98.40000000000001</v>
      </c>
      <c r="J135" s="63" t="n">
        <v>14.73</v>
      </c>
      <c r="K135" s="64" t="n">
        <v>16.0503</v>
      </c>
      <c r="L135" s="64" t="n">
        <v>120.5926</v>
      </c>
      <c r="M135" s="60" t="inlineStr">
        <is>
          <t>Binalonan, Pangasinan</t>
        </is>
      </c>
    </row>
    <row r="136" ht="15" customHeight="1" s="101">
      <c r="A136" s="57" t="n">
        <v>2018</v>
      </c>
      <c r="B136" s="57" t="inlineStr">
        <is>
          <t>January</t>
        </is>
      </c>
      <c r="C136" s="58" t="n">
        <v>1</v>
      </c>
      <c r="D136" s="7" t="n">
        <v>1.05</v>
      </c>
      <c r="E136" s="8" t="n">
        <v>24.53</v>
      </c>
      <c r="F136" s="8" t="n">
        <v>17.85</v>
      </c>
      <c r="G136" s="8" t="n">
        <v>31.12</v>
      </c>
      <c r="H136" s="8" t="n">
        <v>80.86</v>
      </c>
      <c r="I136" s="8" t="n">
        <v>98.43000000000001</v>
      </c>
      <c r="J136" s="8" t="n">
        <v>15.71</v>
      </c>
      <c r="K136" s="59" t="n">
        <v>16.0503</v>
      </c>
      <c r="L136" s="59" t="n">
        <v>120.5926</v>
      </c>
      <c r="M136" s="57" t="inlineStr">
        <is>
          <t>Binalonan, Pangasinan</t>
        </is>
      </c>
    </row>
    <row r="137" ht="15" customHeight="1" s="101">
      <c r="A137" s="60" t="n">
        <v>2018</v>
      </c>
      <c r="B137" s="60" t="inlineStr">
        <is>
          <t>February</t>
        </is>
      </c>
      <c r="C137" s="61" t="n">
        <v>2</v>
      </c>
      <c r="D137" s="62" t="n">
        <v>0.6899999999999999</v>
      </c>
      <c r="E137" s="63" t="n">
        <v>25.32</v>
      </c>
      <c r="F137" s="63" t="n">
        <v>18.88</v>
      </c>
      <c r="G137" s="63" t="n">
        <v>33.08</v>
      </c>
      <c r="H137" s="63" t="n">
        <v>76.26000000000001</v>
      </c>
      <c r="I137" s="63" t="n">
        <v>98.54000000000001</v>
      </c>
      <c r="J137" s="63" t="n">
        <v>19.69</v>
      </c>
      <c r="K137" s="64" t="n">
        <v>16.0503</v>
      </c>
      <c r="L137" s="64" t="n">
        <v>120.5926</v>
      </c>
      <c r="M137" s="60" t="inlineStr">
        <is>
          <t>Binalonan, Pangasinan</t>
        </is>
      </c>
    </row>
    <row r="138" ht="15" customHeight="1" s="101">
      <c r="A138" s="57" t="n">
        <v>2018</v>
      </c>
      <c r="B138" s="57" t="inlineStr">
        <is>
          <t>March</t>
        </is>
      </c>
      <c r="C138" s="58" t="n">
        <v>3</v>
      </c>
      <c r="D138" s="7" t="n">
        <v>0.62</v>
      </c>
      <c r="E138" s="8" t="n">
        <v>26.46</v>
      </c>
      <c r="F138" s="8" t="n">
        <v>19.04</v>
      </c>
      <c r="G138" s="8" t="n">
        <v>34.78</v>
      </c>
      <c r="H138" s="8" t="n">
        <v>69.28</v>
      </c>
      <c r="I138" s="8" t="n">
        <v>98.47</v>
      </c>
      <c r="J138" s="8" t="n">
        <v>22.75</v>
      </c>
      <c r="K138" s="59" t="n">
        <v>16.0503</v>
      </c>
      <c r="L138" s="59" t="n">
        <v>120.5926</v>
      </c>
      <c r="M138" s="57" t="inlineStr">
        <is>
          <t>Binalonan, Pangasinan</t>
        </is>
      </c>
    </row>
    <row r="139" ht="15" customHeight="1" s="101">
      <c r="A139" s="60" t="n">
        <v>2018</v>
      </c>
      <c r="B139" s="60" t="inlineStr">
        <is>
          <t>April</t>
        </is>
      </c>
      <c r="C139" s="61" t="n">
        <v>4</v>
      </c>
      <c r="D139" s="62" t="n">
        <v>3.16</v>
      </c>
      <c r="E139" s="63" t="n">
        <v>28.16</v>
      </c>
      <c r="F139" s="63" t="n">
        <v>21.25</v>
      </c>
      <c r="G139" s="63" t="n">
        <v>37.17</v>
      </c>
      <c r="H139" s="63" t="n">
        <v>70.25</v>
      </c>
      <c r="I139" s="63" t="n">
        <v>98.38</v>
      </c>
      <c r="J139" s="63" t="n">
        <v>23.2</v>
      </c>
      <c r="K139" s="64" t="n">
        <v>16.0503</v>
      </c>
      <c r="L139" s="64" t="n">
        <v>120.5926</v>
      </c>
      <c r="M139" s="60" t="inlineStr">
        <is>
          <t>Binalonan, Pangasinan</t>
        </is>
      </c>
    </row>
    <row r="140" ht="15" customHeight="1" s="101">
      <c r="A140" s="57" t="n">
        <v>2018</v>
      </c>
      <c r="B140" s="57" t="inlineStr">
        <is>
          <t>May</t>
        </is>
      </c>
      <c r="C140" s="58" t="n">
        <v>5</v>
      </c>
      <c r="D140" s="7" t="n">
        <v>5.35</v>
      </c>
      <c r="E140" s="8" t="n">
        <v>28.59</v>
      </c>
      <c r="F140" s="8" t="n">
        <v>23.22</v>
      </c>
      <c r="G140" s="8" t="n">
        <v>36.22</v>
      </c>
      <c r="H140" s="8" t="n">
        <v>74.59</v>
      </c>
      <c r="I140" s="8" t="n">
        <v>98.31</v>
      </c>
      <c r="J140" s="8" t="n">
        <v>22.88</v>
      </c>
      <c r="K140" s="59" t="n">
        <v>16.0503</v>
      </c>
      <c r="L140" s="59" t="n">
        <v>120.5926</v>
      </c>
      <c r="M140" s="57" t="inlineStr">
        <is>
          <t>Binalonan, Pangasinan</t>
        </is>
      </c>
    </row>
    <row r="141" ht="15" customHeight="1" s="101">
      <c r="A141" s="60" t="n">
        <v>2018</v>
      </c>
      <c r="B141" s="60" t="inlineStr">
        <is>
          <t>June</t>
        </is>
      </c>
      <c r="C141" s="61" t="n">
        <v>6</v>
      </c>
      <c r="D141" s="62" t="n">
        <v>18.3</v>
      </c>
      <c r="E141" s="63" t="n">
        <v>26.62</v>
      </c>
      <c r="F141" s="63" t="n">
        <v>22.61</v>
      </c>
      <c r="G141" s="63" t="n">
        <v>33.57</v>
      </c>
      <c r="H141" s="63" t="n">
        <v>86.8</v>
      </c>
      <c r="I141" s="63" t="n">
        <v>98.13</v>
      </c>
      <c r="J141" s="63" t="n">
        <v>16.51</v>
      </c>
      <c r="K141" s="64" t="n">
        <v>16.0503</v>
      </c>
      <c r="L141" s="64" t="n">
        <v>120.5926</v>
      </c>
      <c r="M141" s="60" t="inlineStr">
        <is>
          <t>Binalonan, Pangasinan</t>
        </is>
      </c>
    </row>
    <row r="142" ht="15" customHeight="1" s="101">
      <c r="A142" s="57" t="n">
        <v>2018</v>
      </c>
      <c r="B142" s="57" t="inlineStr">
        <is>
          <t>July</t>
        </is>
      </c>
      <c r="C142" s="58" t="n">
        <v>7</v>
      </c>
      <c r="D142" s="7" t="n">
        <v>26.23</v>
      </c>
      <c r="E142" s="8" t="n">
        <v>25.86</v>
      </c>
      <c r="F142" s="8" t="n">
        <v>22.86</v>
      </c>
      <c r="G142" s="8" t="n">
        <v>30.42</v>
      </c>
      <c r="H142" s="8" t="n">
        <v>90.04000000000001</v>
      </c>
      <c r="I142" s="8" t="n">
        <v>97.95999999999999</v>
      </c>
      <c r="J142" s="8" t="n">
        <v>17.14</v>
      </c>
      <c r="K142" s="59" t="n">
        <v>16.0503</v>
      </c>
      <c r="L142" s="59" t="n">
        <v>120.5926</v>
      </c>
      <c r="M142" s="57" t="inlineStr">
        <is>
          <t>Binalonan, Pangasinan</t>
        </is>
      </c>
    </row>
    <row r="143" ht="15" customHeight="1" s="101">
      <c r="A143" s="60" t="n">
        <v>2018</v>
      </c>
      <c r="B143" s="60" t="inlineStr">
        <is>
          <t>August</t>
        </is>
      </c>
      <c r="C143" s="61" t="n">
        <v>8</v>
      </c>
      <c r="D143" s="62" t="n">
        <v>28.25</v>
      </c>
      <c r="E143" s="63" t="n">
        <v>25.62</v>
      </c>
      <c r="F143" s="63" t="n">
        <v>22.79</v>
      </c>
      <c r="G143" s="63" t="n">
        <v>29.78</v>
      </c>
      <c r="H143" s="63" t="n">
        <v>91.81</v>
      </c>
      <c r="I143" s="63" t="n">
        <v>98.01000000000001</v>
      </c>
      <c r="J143" s="63" t="n">
        <v>13.47</v>
      </c>
      <c r="K143" s="64" t="n">
        <v>16.0503</v>
      </c>
      <c r="L143" s="64" t="n">
        <v>120.5926</v>
      </c>
      <c r="M143" s="60" t="inlineStr">
        <is>
          <t>Binalonan, Pangasinan</t>
        </is>
      </c>
    </row>
    <row r="144" ht="15" customHeight="1" s="101">
      <c r="A144" s="57" t="n">
        <v>2018</v>
      </c>
      <c r="B144" s="57" t="inlineStr">
        <is>
          <t>September</t>
        </is>
      </c>
      <c r="C144" s="58" t="n">
        <v>9</v>
      </c>
      <c r="D144" s="7" t="n">
        <v>19.02</v>
      </c>
      <c r="E144" s="8" t="n">
        <v>26.01</v>
      </c>
      <c r="F144" s="8" t="n">
        <v>22.65</v>
      </c>
      <c r="G144" s="8" t="n">
        <v>31.66</v>
      </c>
      <c r="H144" s="8" t="n">
        <v>88.08</v>
      </c>
      <c r="I144" s="8" t="n">
        <v>98.06</v>
      </c>
      <c r="J144" s="8" t="n">
        <v>18.81</v>
      </c>
      <c r="K144" s="59" t="n">
        <v>16.0503</v>
      </c>
      <c r="L144" s="59" t="n">
        <v>120.5926</v>
      </c>
      <c r="M144" s="57" t="inlineStr">
        <is>
          <t>Binalonan, Pangasinan</t>
        </is>
      </c>
    </row>
    <row r="145" ht="15" customHeight="1" s="101">
      <c r="A145" s="60" t="n">
        <v>2018</v>
      </c>
      <c r="B145" s="60" t="inlineStr">
        <is>
          <t>October</t>
        </is>
      </c>
      <c r="C145" s="61" t="n">
        <v>10</v>
      </c>
      <c r="D145" s="62" t="n">
        <v>6.4</v>
      </c>
      <c r="E145" s="63" t="n">
        <v>26.08</v>
      </c>
      <c r="F145" s="63" t="n">
        <v>17.07</v>
      </c>
      <c r="G145" s="63" t="n">
        <v>32.15</v>
      </c>
      <c r="H145" s="63" t="n">
        <v>82.73999999999999</v>
      </c>
      <c r="I145" s="63" t="n">
        <v>98.33</v>
      </c>
      <c r="J145" s="63" t="n">
        <v>19.8</v>
      </c>
      <c r="K145" s="64" t="n">
        <v>16.0503</v>
      </c>
      <c r="L145" s="64" t="n">
        <v>120.5926</v>
      </c>
      <c r="M145" s="60" t="inlineStr">
        <is>
          <t>Binalonan, Pangasinan</t>
        </is>
      </c>
    </row>
    <row r="146" ht="15" customHeight="1" s="101">
      <c r="A146" s="57" t="n">
        <v>2018</v>
      </c>
      <c r="B146" s="57" t="inlineStr">
        <is>
          <t>November</t>
        </is>
      </c>
      <c r="C146" s="58" t="n">
        <v>11</v>
      </c>
      <c r="D146" s="7" t="n">
        <v>0.5</v>
      </c>
      <c r="E146" s="8" t="n">
        <v>25.54</v>
      </c>
      <c r="F146" s="8" t="n">
        <v>18.41</v>
      </c>
      <c r="G146" s="8" t="n">
        <v>31.67</v>
      </c>
      <c r="H146" s="8" t="n">
        <v>80.97</v>
      </c>
      <c r="I146" s="8" t="n">
        <v>98.55</v>
      </c>
      <c r="J146" s="8" t="n">
        <v>18.77</v>
      </c>
      <c r="K146" s="59" t="n">
        <v>16.0503</v>
      </c>
      <c r="L146" s="59" t="n">
        <v>120.5926</v>
      </c>
      <c r="M146" s="57" t="inlineStr">
        <is>
          <t>Binalonan, Pangasinan</t>
        </is>
      </c>
    </row>
    <row r="147" ht="15" customHeight="1" s="101">
      <c r="A147" s="60" t="n">
        <v>2018</v>
      </c>
      <c r="B147" s="60" t="inlineStr">
        <is>
          <t>December</t>
        </is>
      </c>
      <c r="C147" s="61" t="n">
        <v>12</v>
      </c>
      <c r="D147" s="62" t="n">
        <v>1.56</v>
      </c>
      <c r="E147" s="63" t="n">
        <v>25.39</v>
      </c>
      <c r="F147" s="63" t="n">
        <v>19.29</v>
      </c>
      <c r="G147" s="63" t="n">
        <v>31.99</v>
      </c>
      <c r="H147" s="63" t="n">
        <v>78.68000000000001</v>
      </c>
      <c r="I147" s="63" t="n">
        <v>98.53</v>
      </c>
      <c r="J147" s="63" t="n">
        <v>15.74</v>
      </c>
      <c r="K147" s="64" t="n">
        <v>16.0503</v>
      </c>
      <c r="L147" s="64" t="n">
        <v>120.5926</v>
      </c>
      <c r="M147" s="60" t="inlineStr">
        <is>
          <t>Binalonan, Pangasinan</t>
        </is>
      </c>
    </row>
    <row r="148" ht="15" customHeight="1" s="101">
      <c r="A148" s="57" t="n">
        <v>2019</v>
      </c>
      <c r="B148" s="57" t="inlineStr">
        <is>
          <t>January</t>
        </is>
      </c>
      <c r="C148" s="58" t="n">
        <v>1</v>
      </c>
      <c r="D148" s="7" t="n">
        <v>1.35</v>
      </c>
      <c r="E148" s="8" t="n">
        <v>24.09</v>
      </c>
      <c r="F148" s="8" t="n">
        <v>15.4</v>
      </c>
      <c r="G148" s="8" t="n">
        <v>31.54</v>
      </c>
      <c r="H148" s="8" t="n">
        <v>75.31</v>
      </c>
      <c r="I148" s="8" t="n">
        <v>98.76000000000001</v>
      </c>
      <c r="J148" s="8" t="n">
        <v>18.07</v>
      </c>
      <c r="K148" s="59" t="n">
        <v>16.0503</v>
      </c>
      <c r="L148" s="59" t="n">
        <v>120.5926</v>
      </c>
      <c r="M148" s="57" t="inlineStr">
        <is>
          <t>Binalonan, Pangasinan</t>
        </is>
      </c>
    </row>
    <row r="149" ht="15" customHeight="1" s="101">
      <c r="A149" s="60" t="n">
        <v>2019</v>
      </c>
      <c r="B149" s="60" t="inlineStr">
        <is>
          <t>February</t>
        </is>
      </c>
      <c r="C149" s="61" t="n">
        <v>2</v>
      </c>
      <c r="D149" s="62" t="n">
        <v>0.21</v>
      </c>
      <c r="E149" s="63" t="n">
        <v>24.82</v>
      </c>
      <c r="F149" s="63" t="n">
        <v>16.84</v>
      </c>
      <c r="G149" s="63" t="n">
        <v>33.52</v>
      </c>
      <c r="H149" s="63" t="n">
        <v>69.93000000000001</v>
      </c>
      <c r="I149" s="63" t="n">
        <v>98.83</v>
      </c>
      <c r="J149" s="63" t="n">
        <v>21.7</v>
      </c>
      <c r="K149" s="64" t="n">
        <v>16.0503</v>
      </c>
      <c r="L149" s="64" t="n">
        <v>120.5926</v>
      </c>
      <c r="M149" s="60" t="inlineStr">
        <is>
          <t>Binalonan, Pangasinan</t>
        </is>
      </c>
    </row>
    <row r="150" ht="15" customHeight="1" s="101">
      <c r="A150" s="57" t="n">
        <v>2019</v>
      </c>
      <c r="B150" s="57" t="inlineStr">
        <is>
          <t>March</t>
        </is>
      </c>
      <c r="C150" s="58" t="n">
        <v>3</v>
      </c>
      <c r="D150" s="7" t="n">
        <v>0.47</v>
      </c>
      <c r="E150" s="8" t="n">
        <v>27.49</v>
      </c>
      <c r="F150" s="8" t="n">
        <v>19.34</v>
      </c>
      <c r="G150" s="8" t="n">
        <v>36.8</v>
      </c>
      <c r="H150" s="8" t="n">
        <v>63.76</v>
      </c>
      <c r="I150" s="8" t="n">
        <v>98.59</v>
      </c>
      <c r="J150" s="8" t="n">
        <v>22.72</v>
      </c>
      <c r="K150" s="59" t="n">
        <v>16.0503</v>
      </c>
      <c r="L150" s="59" t="n">
        <v>120.5926</v>
      </c>
      <c r="M150" s="57" t="inlineStr">
        <is>
          <t>Binalonan, Pangasinan</t>
        </is>
      </c>
    </row>
    <row r="151" ht="15" customHeight="1" s="101">
      <c r="A151" s="60" t="n">
        <v>2019</v>
      </c>
      <c r="B151" s="60" t="inlineStr">
        <is>
          <t>April</t>
        </is>
      </c>
      <c r="C151" s="61" t="n">
        <v>4</v>
      </c>
      <c r="D151" s="62" t="n">
        <v>3.13</v>
      </c>
      <c r="E151" s="63" t="n">
        <v>28.82</v>
      </c>
      <c r="F151" s="63" t="n">
        <v>22.58</v>
      </c>
      <c r="G151" s="63" t="n">
        <v>38.16</v>
      </c>
      <c r="H151" s="63" t="n">
        <v>67.48</v>
      </c>
      <c r="I151" s="63" t="n">
        <v>98.42</v>
      </c>
      <c r="J151" s="63" t="n">
        <v>22.49</v>
      </c>
      <c r="K151" s="64" t="n">
        <v>16.0503</v>
      </c>
      <c r="L151" s="64" t="n">
        <v>120.5926</v>
      </c>
      <c r="M151" s="60" t="inlineStr">
        <is>
          <t>Binalonan, Pangasinan</t>
        </is>
      </c>
    </row>
    <row r="152" ht="15" customHeight="1" s="101">
      <c r="A152" s="57" t="n">
        <v>2019</v>
      </c>
      <c r="B152" s="57" t="inlineStr">
        <is>
          <t>May</t>
        </is>
      </c>
      <c r="C152" s="58" t="n">
        <v>5</v>
      </c>
      <c r="D152" s="7" t="n">
        <v>7.35</v>
      </c>
      <c r="E152" s="8" t="n">
        <v>28.31</v>
      </c>
      <c r="F152" s="8" t="n">
        <v>23.82</v>
      </c>
      <c r="G152" s="8" t="n">
        <v>36.18</v>
      </c>
      <c r="H152" s="8" t="n">
        <v>76.34999999999999</v>
      </c>
      <c r="I152" s="8" t="n">
        <v>98.26000000000001</v>
      </c>
      <c r="J152" s="8" t="n">
        <v>20.58</v>
      </c>
      <c r="K152" s="59" t="n">
        <v>16.0503</v>
      </c>
      <c r="L152" s="59" t="n">
        <v>120.5926</v>
      </c>
      <c r="M152" s="57" t="inlineStr">
        <is>
          <t>Binalonan, Pangasinan</t>
        </is>
      </c>
    </row>
    <row r="153" ht="15" customHeight="1" s="101">
      <c r="A153" s="60" t="n">
        <v>2019</v>
      </c>
      <c r="B153" s="60" t="inlineStr">
        <is>
          <t>June</t>
        </is>
      </c>
      <c r="C153" s="61" t="n">
        <v>6</v>
      </c>
      <c r="D153" s="62" t="n">
        <v>11.27</v>
      </c>
      <c r="E153" s="63" t="n">
        <v>27.82</v>
      </c>
      <c r="F153" s="63" t="n">
        <v>23.17</v>
      </c>
      <c r="G153" s="63" t="n">
        <v>34.41</v>
      </c>
      <c r="H153" s="63" t="n">
        <v>81.95999999999999</v>
      </c>
      <c r="I153" s="63" t="n">
        <v>98.17</v>
      </c>
      <c r="J153" s="63" t="n">
        <v>20.34</v>
      </c>
      <c r="K153" s="64" t="n">
        <v>16.0503</v>
      </c>
      <c r="L153" s="64" t="n">
        <v>120.5926</v>
      </c>
      <c r="M153" s="60" t="inlineStr">
        <is>
          <t>Binalonan, Pangasinan</t>
        </is>
      </c>
    </row>
    <row r="154" ht="15" customHeight="1" s="101">
      <c r="A154" s="57" t="n">
        <v>2019</v>
      </c>
      <c r="B154" s="57" t="inlineStr">
        <is>
          <t>July</t>
        </is>
      </c>
      <c r="C154" s="58" t="n">
        <v>7</v>
      </c>
      <c r="D154" s="7" t="n">
        <v>13.51</v>
      </c>
      <c r="E154" s="8" t="n">
        <v>26.32</v>
      </c>
      <c r="F154" s="8" t="n">
        <v>23.1</v>
      </c>
      <c r="G154" s="8" t="n">
        <v>31.09</v>
      </c>
      <c r="H154" s="8" t="n">
        <v>87.62</v>
      </c>
      <c r="I154" s="8" t="n">
        <v>98.14</v>
      </c>
      <c r="J154" s="8" t="n">
        <v>18.11</v>
      </c>
      <c r="K154" s="59" t="n">
        <v>16.0503</v>
      </c>
      <c r="L154" s="59" t="n">
        <v>120.5926</v>
      </c>
      <c r="M154" s="57" t="inlineStr">
        <is>
          <t>Binalonan, Pangasinan</t>
        </is>
      </c>
    </row>
    <row r="155" ht="15" customHeight="1" s="101">
      <c r="A155" s="60" t="n">
        <v>2019</v>
      </c>
      <c r="B155" s="60" t="inlineStr">
        <is>
          <t>August</t>
        </is>
      </c>
      <c r="C155" s="61" t="n">
        <v>8</v>
      </c>
      <c r="D155" s="62" t="n">
        <v>21.54</v>
      </c>
      <c r="E155" s="63" t="n">
        <v>25.98</v>
      </c>
      <c r="F155" s="63" t="n">
        <v>22.26</v>
      </c>
      <c r="G155" s="63" t="n">
        <v>30.05</v>
      </c>
      <c r="H155" s="63" t="n">
        <v>91.44</v>
      </c>
      <c r="I155" s="63" t="n">
        <v>97.95999999999999</v>
      </c>
      <c r="J155" s="63" t="n">
        <v>14.91</v>
      </c>
      <c r="K155" s="64" t="n">
        <v>16.0503</v>
      </c>
      <c r="L155" s="64" t="n">
        <v>120.5926</v>
      </c>
      <c r="M155" s="60" t="inlineStr">
        <is>
          <t>Binalonan, Pangasinan</t>
        </is>
      </c>
    </row>
    <row r="156" ht="15" customHeight="1" s="101">
      <c r="A156" s="57" t="n">
        <v>2019</v>
      </c>
      <c r="B156" s="57" t="inlineStr">
        <is>
          <t>September</t>
        </is>
      </c>
      <c r="C156" s="58" t="n">
        <v>9</v>
      </c>
      <c r="D156" s="7" t="n">
        <v>17.53</v>
      </c>
      <c r="E156" s="8" t="n">
        <v>25.77</v>
      </c>
      <c r="F156" s="8" t="n">
        <v>22.23</v>
      </c>
      <c r="G156" s="8" t="n">
        <v>31.55</v>
      </c>
      <c r="H156" s="8" t="n">
        <v>90.03</v>
      </c>
      <c r="I156" s="8" t="n">
        <v>98.18000000000001</v>
      </c>
      <c r="J156" s="8" t="n">
        <v>15.16</v>
      </c>
      <c r="K156" s="59" t="n">
        <v>16.0503</v>
      </c>
      <c r="L156" s="59" t="n">
        <v>120.5926</v>
      </c>
      <c r="M156" s="57" t="inlineStr">
        <is>
          <t>Binalonan, Pangasinan</t>
        </is>
      </c>
    </row>
    <row r="157" ht="15" customHeight="1" s="101">
      <c r="A157" s="60" t="n">
        <v>2019</v>
      </c>
      <c r="B157" s="60" t="inlineStr">
        <is>
          <t>October</t>
        </is>
      </c>
      <c r="C157" s="61" t="n">
        <v>10</v>
      </c>
      <c r="D157" s="62" t="n">
        <v>3.3</v>
      </c>
      <c r="E157" s="63" t="n">
        <v>26.5</v>
      </c>
      <c r="F157" s="63" t="n">
        <v>21.07</v>
      </c>
      <c r="G157" s="63" t="n">
        <v>31.96</v>
      </c>
      <c r="H157" s="63" t="n">
        <v>82.27</v>
      </c>
      <c r="I157" s="63" t="n">
        <v>98.37</v>
      </c>
      <c r="J157" s="63" t="n">
        <v>20.07</v>
      </c>
      <c r="K157" s="64" t="n">
        <v>16.0503</v>
      </c>
      <c r="L157" s="64" t="n">
        <v>120.5926</v>
      </c>
      <c r="M157" s="60" t="inlineStr">
        <is>
          <t>Binalonan, Pangasinan</t>
        </is>
      </c>
    </row>
    <row r="158" ht="15" customHeight="1" s="101">
      <c r="A158" s="57" t="n">
        <v>2019</v>
      </c>
      <c r="B158" s="57" t="inlineStr">
        <is>
          <t>November</t>
        </is>
      </c>
      <c r="C158" s="58" t="n">
        <v>11</v>
      </c>
      <c r="D158" s="7" t="n">
        <v>5.52</v>
      </c>
      <c r="E158" s="8" t="n">
        <v>25.69</v>
      </c>
      <c r="F158" s="8" t="n">
        <v>18.53</v>
      </c>
      <c r="G158" s="8" t="n">
        <v>31.3</v>
      </c>
      <c r="H158" s="8" t="n">
        <v>84.68000000000001</v>
      </c>
      <c r="I158" s="8" t="n">
        <v>98.28</v>
      </c>
      <c r="J158" s="8" t="n">
        <v>14.88</v>
      </c>
      <c r="K158" s="59" t="n">
        <v>16.0503</v>
      </c>
      <c r="L158" s="59" t="n">
        <v>120.5926</v>
      </c>
      <c r="M158" s="57" t="inlineStr">
        <is>
          <t>Binalonan, Pangasinan</t>
        </is>
      </c>
    </row>
    <row r="159" ht="15" customHeight="1" s="101">
      <c r="A159" s="60" t="n">
        <v>2019</v>
      </c>
      <c r="B159" s="60" t="inlineStr">
        <is>
          <t>December</t>
        </is>
      </c>
      <c r="C159" s="61" t="n">
        <v>12</v>
      </c>
      <c r="D159" s="62" t="n">
        <v>2.11</v>
      </c>
      <c r="E159" s="63" t="n">
        <v>24.91</v>
      </c>
      <c r="F159" s="63" t="n">
        <v>18.54</v>
      </c>
      <c r="G159" s="63" t="n">
        <v>31.03</v>
      </c>
      <c r="H159" s="63" t="n">
        <v>81.86</v>
      </c>
      <c r="I159" s="63" t="n">
        <v>98.52</v>
      </c>
      <c r="J159" s="63" t="n">
        <v>16.33</v>
      </c>
      <c r="K159" s="64" t="n">
        <v>16.0503</v>
      </c>
      <c r="L159" s="64" t="n">
        <v>120.5926</v>
      </c>
      <c r="M159" s="60" t="inlineStr">
        <is>
          <t>Binalonan, Pangasinan</t>
        </is>
      </c>
    </row>
    <row r="160" ht="15" customHeight="1" s="101">
      <c r="A160" s="57" t="n">
        <v>2020</v>
      </c>
      <c r="B160" s="57" t="inlineStr">
        <is>
          <t>January</t>
        </is>
      </c>
      <c r="C160" s="58" t="n">
        <v>1</v>
      </c>
      <c r="D160" s="7" t="n">
        <v>0.71</v>
      </c>
      <c r="E160" s="8" t="n">
        <v>24.28</v>
      </c>
      <c r="F160" s="8" t="n">
        <v>17.3</v>
      </c>
      <c r="G160" s="8" t="n">
        <v>30.98</v>
      </c>
      <c r="H160" s="8" t="n">
        <v>78.45999999999999</v>
      </c>
      <c r="I160" s="8" t="n">
        <v>98.64</v>
      </c>
      <c r="J160" s="8" t="n">
        <v>17.91</v>
      </c>
      <c r="K160" s="59" t="n">
        <v>16.0503</v>
      </c>
      <c r="L160" s="59" t="n">
        <v>120.5926</v>
      </c>
      <c r="M160" s="57" t="inlineStr">
        <is>
          <t>Binalonan, Pangasinan</t>
        </is>
      </c>
    </row>
    <row r="161" ht="15" customHeight="1" s="101">
      <c r="A161" s="60" t="n">
        <v>2020</v>
      </c>
      <c r="B161" s="60" t="inlineStr">
        <is>
          <t>February</t>
        </is>
      </c>
      <c r="C161" s="61" t="n">
        <v>2</v>
      </c>
      <c r="D161" s="62" t="n">
        <v>0.66</v>
      </c>
      <c r="E161" s="63" t="n">
        <v>24.11</v>
      </c>
      <c r="F161" s="63" t="n">
        <v>15.36</v>
      </c>
      <c r="G161" s="63" t="n">
        <v>33.08</v>
      </c>
      <c r="H161" s="63" t="n">
        <v>73.09999999999999</v>
      </c>
      <c r="I161" s="63" t="n">
        <v>98.84</v>
      </c>
      <c r="J161" s="63" t="n">
        <v>20.52</v>
      </c>
      <c r="K161" s="64" t="n">
        <v>16.0503</v>
      </c>
      <c r="L161" s="64" t="n">
        <v>120.5926</v>
      </c>
      <c r="M161" s="60" t="inlineStr">
        <is>
          <t>Binalonan, Pangasinan</t>
        </is>
      </c>
    </row>
    <row r="162" ht="15" customHeight="1" s="101">
      <c r="A162" s="57" t="n">
        <v>2020</v>
      </c>
      <c r="B162" s="57" t="inlineStr">
        <is>
          <t>March</t>
        </is>
      </c>
      <c r="C162" s="58" t="n">
        <v>3</v>
      </c>
      <c r="D162" s="7" t="n">
        <v>4.68</v>
      </c>
      <c r="E162" s="8" t="n">
        <v>26.83</v>
      </c>
      <c r="F162" s="8" t="n">
        <v>20.6</v>
      </c>
      <c r="G162" s="8" t="n">
        <v>35.3</v>
      </c>
      <c r="H162" s="8" t="n">
        <v>72.91</v>
      </c>
      <c r="I162" s="8" t="n">
        <v>98.58</v>
      </c>
      <c r="J162" s="8" t="n">
        <v>23.1</v>
      </c>
      <c r="K162" s="59" t="n">
        <v>16.0503</v>
      </c>
      <c r="L162" s="59" t="n">
        <v>120.5926</v>
      </c>
      <c r="M162" s="57" t="inlineStr">
        <is>
          <t>Binalonan, Pangasinan</t>
        </is>
      </c>
    </row>
    <row r="163" ht="15" customHeight="1" s="101">
      <c r="A163" s="60" t="n">
        <v>2020</v>
      </c>
      <c r="B163" s="60" t="inlineStr">
        <is>
          <t>April</t>
        </is>
      </c>
      <c r="C163" s="61" t="n">
        <v>4</v>
      </c>
      <c r="D163" s="62" t="n">
        <v>4.41</v>
      </c>
      <c r="E163" s="63" t="n">
        <v>27.83</v>
      </c>
      <c r="F163" s="63" t="n">
        <v>21.01</v>
      </c>
      <c r="G163" s="63" t="n">
        <v>36.01</v>
      </c>
      <c r="H163" s="63" t="n">
        <v>72.75</v>
      </c>
      <c r="I163" s="63" t="n">
        <v>98.52</v>
      </c>
      <c r="J163" s="63" t="n">
        <v>22.37</v>
      </c>
      <c r="K163" s="64" t="n">
        <v>16.0503</v>
      </c>
      <c r="L163" s="64" t="n">
        <v>120.5926</v>
      </c>
      <c r="M163" s="60" t="inlineStr">
        <is>
          <t>Binalonan, Pangasinan</t>
        </is>
      </c>
    </row>
    <row r="164" ht="15" customHeight="1" s="101">
      <c r="A164" s="57" t="n">
        <v>2020</v>
      </c>
      <c r="B164" s="57" t="inlineStr">
        <is>
          <t>May</t>
        </is>
      </c>
      <c r="C164" s="58" t="n">
        <v>5</v>
      </c>
      <c r="D164" s="7" t="n">
        <v>6.19</v>
      </c>
      <c r="E164" s="8" t="n">
        <v>28.48</v>
      </c>
      <c r="F164" s="8" t="n">
        <v>23.26</v>
      </c>
      <c r="G164" s="8" t="n">
        <v>36.04</v>
      </c>
      <c r="H164" s="8" t="n">
        <v>77.87</v>
      </c>
      <c r="I164" s="8" t="n">
        <v>98.3</v>
      </c>
      <c r="J164" s="8" t="n">
        <v>21.17</v>
      </c>
      <c r="K164" s="59" t="n">
        <v>16.0503</v>
      </c>
      <c r="L164" s="59" t="n">
        <v>120.5926</v>
      </c>
      <c r="M164" s="57" t="inlineStr">
        <is>
          <t>Binalonan, Pangasinan</t>
        </is>
      </c>
    </row>
    <row r="165" ht="15" customHeight="1" s="101">
      <c r="A165" s="60" t="n">
        <v>2020</v>
      </c>
      <c r="B165" s="60" t="inlineStr">
        <is>
          <t>June</t>
        </is>
      </c>
      <c r="C165" s="61" t="n">
        <v>6</v>
      </c>
      <c r="D165" s="62" t="n">
        <v>10.81</v>
      </c>
      <c r="E165" s="63" t="n">
        <v>27.71</v>
      </c>
      <c r="F165" s="63" t="n">
        <v>23.31</v>
      </c>
      <c r="G165" s="63" t="n">
        <v>34.01</v>
      </c>
      <c r="H165" s="63" t="n">
        <v>81.02</v>
      </c>
      <c r="I165" s="63" t="n">
        <v>98.26000000000001</v>
      </c>
      <c r="J165" s="63" t="n">
        <v>22.26</v>
      </c>
      <c r="K165" s="64" t="n">
        <v>16.0503</v>
      </c>
      <c r="L165" s="64" t="n">
        <v>120.5926</v>
      </c>
      <c r="M165" s="60" t="inlineStr">
        <is>
          <t>Binalonan, Pangasinan</t>
        </is>
      </c>
    </row>
    <row r="166" ht="15" customHeight="1" s="101">
      <c r="A166" s="57" t="n">
        <v>2020</v>
      </c>
      <c r="B166" s="57" t="inlineStr">
        <is>
          <t>July</t>
        </is>
      </c>
      <c r="C166" s="58" t="n">
        <v>7</v>
      </c>
      <c r="D166" s="7" t="n">
        <v>12.21</v>
      </c>
      <c r="E166" s="8" t="n">
        <v>27.01</v>
      </c>
      <c r="F166" s="8" t="n">
        <v>23.1</v>
      </c>
      <c r="G166" s="8" t="n">
        <v>32.55</v>
      </c>
      <c r="H166" s="8" t="n">
        <v>83.59999999999999</v>
      </c>
      <c r="I166" s="8" t="n">
        <v>98.2</v>
      </c>
      <c r="J166" s="8" t="n">
        <v>21.04</v>
      </c>
      <c r="K166" s="59" t="n">
        <v>16.0503</v>
      </c>
      <c r="L166" s="59" t="n">
        <v>120.5926</v>
      </c>
      <c r="M166" s="57" t="inlineStr">
        <is>
          <t>Binalonan, Pangasinan</t>
        </is>
      </c>
    </row>
    <row r="167" ht="15" customHeight="1" s="101">
      <c r="A167" s="60" t="n">
        <v>2020</v>
      </c>
      <c r="B167" s="60" t="inlineStr">
        <is>
          <t>August</t>
        </is>
      </c>
      <c r="C167" s="61" t="n">
        <v>8</v>
      </c>
      <c r="D167" s="62" t="n">
        <v>13.61</v>
      </c>
      <c r="E167" s="63" t="n">
        <v>26.27</v>
      </c>
      <c r="F167" s="63" t="n">
        <v>22.84</v>
      </c>
      <c r="G167" s="63" t="n">
        <v>31.04</v>
      </c>
      <c r="H167" s="63" t="n">
        <v>87.63</v>
      </c>
      <c r="I167" s="63" t="n">
        <v>98.17</v>
      </c>
      <c r="J167" s="63" t="n">
        <v>18.76</v>
      </c>
      <c r="K167" s="64" t="n">
        <v>16.0503</v>
      </c>
      <c r="L167" s="64" t="n">
        <v>120.5926</v>
      </c>
      <c r="M167" s="60" t="inlineStr">
        <is>
          <t>Binalonan, Pangasinan</t>
        </is>
      </c>
    </row>
    <row r="168" ht="15" customHeight="1" s="101">
      <c r="A168" s="57" t="n">
        <v>2020</v>
      </c>
      <c r="B168" s="57" t="inlineStr">
        <is>
          <t>September</t>
        </is>
      </c>
      <c r="C168" s="58" t="n">
        <v>9</v>
      </c>
      <c r="D168" s="7" t="n">
        <v>11.67</v>
      </c>
      <c r="E168" s="8" t="n">
        <v>26.82</v>
      </c>
      <c r="F168" s="8" t="n">
        <v>22.42</v>
      </c>
      <c r="G168" s="8" t="n">
        <v>32.17</v>
      </c>
      <c r="H168" s="8" t="n">
        <v>86.34</v>
      </c>
      <c r="I168" s="8" t="n">
        <v>98.18000000000001</v>
      </c>
      <c r="J168" s="8" t="n">
        <v>20.08</v>
      </c>
      <c r="K168" s="59" t="n">
        <v>16.0503</v>
      </c>
      <c r="L168" s="59" t="n">
        <v>120.5926</v>
      </c>
      <c r="M168" s="57" t="inlineStr">
        <is>
          <t>Binalonan, Pangasinan</t>
        </is>
      </c>
    </row>
    <row r="169" ht="15" customHeight="1" s="101">
      <c r="A169" s="60" t="n">
        <v>2020</v>
      </c>
      <c r="B169" s="60" t="inlineStr">
        <is>
          <t>October</t>
        </is>
      </c>
      <c r="C169" s="61" t="n">
        <v>10</v>
      </c>
      <c r="D169" s="62" t="n">
        <v>17.03</v>
      </c>
      <c r="E169" s="63" t="n">
        <v>26.32</v>
      </c>
      <c r="F169" s="63" t="n">
        <v>22.31</v>
      </c>
      <c r="G169" s="63" t="n">
        <v>31.82</v>
      </c>
      <c r="H169" s="63" t="n">
        <v>87.7</v>
      </c>
      <c r="I169" s="63" t="n">
        <v>98.08</v>
      </c>
      <c r="J169" s="63" t="n">
        <v>15.24</v>
      </c>
      <c r="K169" s="64" t="n">
        <v>16.0503</v>
      </c>
      <c r="L169" s="64" t="n">
        <v>120.5926</v>
      </c>
      <c r="M169" s="60" t="inlineStr">
        <is>
          <t>Binalonan, Pangasinan</t>
        </is>
      </c>
    </row>
    <row r="170" ht="15" customHeight="1" s="101">
      <c r="A170" s="57" t="n">
        <v>2020</v>
      </c>
      <c r="B170" s="57" t="inlineStr">
        <is>
          <t>November</t>
        </is>
      </c>
      <c r="C170" s="58" t="n">
        <v>11</v>
      </c>
      <c r="D170" s="7" t="n">
        <v>8.73</v>
      </c>
      <c r="E170" s="8" t="n">
        <v>25.81</v>
      </c>
      <c r="F170" s="8" t="n">
        <v>19.74</v>
      </c>
      <c r="G170" s="8" t="n">
        <v>31.57</v>
      </c>
      <c r="H170" s="8" t="n">
        <v>84.84</v>
      </c>
      <c r="I170" s="8" t="n">
        <v>98.31999999999999</v>
      </c>
      <c r="J170" s="8" t="n">
        <v>15.39</v>
      </c>
      <c r="K170" s="59" t="n">
        <v>16.0503</v>
      </c>
      <c r="L170" s="59" t="n">
        <v>120.5926</v>
      </c>
      <c r="M170" s="57" t="inlineStr">
        <is>
          <t>Binalonan, Pangasinan</t>
        </is>
      </c>
    </row>
    <row r="171" ht="15" customHeight="1" s="101">
      <c r="A171" s="60" t="n">
        <v>2020</v>
      </c>
      <c r="B171" s="60" t="inlineStr">
        <is>
          <t>December</t>
        </is>
      </c>
      <c r="C171" s="61" t="n">
        <v>12</v>
      </c>
      <c r="D171" s="62" t="n">
        <v>6.89</v>
      </c>
      <c r="E171" s="63" t="n">
        <v>25.54</v>
      </c>
      <c r="F171" s="63" t="n">
        <v>19.67</v>
      </c>
      <c r="G171" s="63" t="n">
        <v>31.23</v>
      </c>
      <c r="H171" s="63" t="n">
        <v>85.37</v>
      </c>
      <c r="I171" s="63" t="n">
        <v>98.31999999999999</v>
      </c>
      <c r="J171" s="63" t="n">
        <v>14.31</v>
      </c>
      <c r="K171" s="64" t="n">
        <v>16.0503</v>
      </c>
      <c r="L171" s="64" t="n">
        <v>120.5926</v>
      </c>
      <c r="M171" s="60" t="inlineStr">
        <is>
          <t>Binalonan, Pangasinan</t>
        </is>
      </c>
    </row>
    <row r="172" ht="15" customHeight="1" s="101">
      <c r="A172" s="57" t="n">
        <v>2021</v>
      </c>
      <c r="B172" s="57" t="inlineStr">
        <is>
          <t>January</t>
        </is>
      </c>
      <c r="C172" s="58" t="n">
        <v>1</v>
      </c>
      <c r="D172" s="7" t="n">
        <v>3.08</v>
      </c>
      <c r="E172" s="8" t="n">
        <v>23.98</v>
      </c>
      <c r="F172" s="8" t="n">
        <v>16.07</v>
      </c>
      <c r="G172" s="8" t="n">
        <v>30.79</v>
      </c>
      <c r="H172" s="8" t="n">
        <v>82.79000000000001</v>
      </c>
      <c r="I172" s="8" t="n">
        <v>98.45</v>
      </c>
      <c r="J172" s="8" t="n">
        <v>15.82</v>
      </c>
      <c r="K172" s="59" t="n">
        <v>16.0503</v>
      </c>
      <c r="L172" s="59" t="n">
        <v>120.5926</v>
      </c>
      <c r="M172" s="57" t="inlineStr">
        <is>
          <t>Binalonan, Pangasinan</t>
        </is>
      </c>
    </row>
    <row r="173" ht="15" customHeight="1" s="101">
      <c r="A173" s="60" t="n">
        <v>2021</v>
      </c>
      <c r="B173" s="60" t="inlineStr">
        <is>
          <t>February</t>
        </is>
      </c>
      <c r="C173" s="61" t="n">
        <v>2</v>
      </c>
      <c r="D173" s="62" t="n">
        <v>1.29</v>
      </c>
      <c r="E173" s="63" t="n">
        <v>24.22</v>
      </c>
      <c r="F173" s="63" t="n">
        <v>16.14</v>
      </c>
      <c r="G173" s="63" t="n">
        <v>31.55</v>
      </c>
      <c r="H173" s="63" t="n">
        <v>80.39</v>
      </c>
      <c r="I173" s="63" t="n">
        <v>98.48</v>
      </c>
      <c r="J173" s="63" t="n">
        <v>18.98</v>
      </c>
      <c r="K173" s="64" t="n">
        <v>16.0503</v>
      </c>
      <c r="L173" s="64" t="n">
        <v>120.5926</v>
      </c>
      <c r="M173" s="60" t="inlineStr">
        <is>
          <t>Binalonan, Pangasinan</t>
        </is>
      </c>
    </row>
    <row r="174" ht="15" customHeight="1" s="101">
      <c r="A174" s="57" t="n">
        <v>2021</v>
      </c>
      <c r="B174" s="57" t="inlineStr">
        <is>
          <t>March</t>
        </is>
      </c>
      <c r="C174" s="58" t="n">
        <v>3</v>
      </c>
      <c r="D174" s="7" t="n">
        <v>2.28</v>
      </c>
      <c r="E174" s="8" t="n">
        <v>26.34</v>
      </c>
      <c r="F174" s="8" t="n">
        <v>18.92</v>
      </c>
      <c r="G174" s="8" t="n">
        <v>34.3</v>
      </c>
      <c r="H174" s="8" t="n">
        <v>78.14</v>
      </c>
      <c r="I174" s="8" t="n">
        <v>98.45999999999999</v>
      </c>
      <c r="J174" s="8" t="n">
        <v>21.32</v>
      </c>
      <c r="K174" s="59" t="n">
        <v>16.0503</v>
      </c>
      <c r="L174" s="59" t="n">
        <v>120.5926</v>
      </c>
      <c r="M174" s="57" t="inlineStr">
        <is>
          <t>Binalonan, Pangasinan</t>
        </is>
      </c>
    </row>
    <row r="175" ht="15" customHeight="1" s="101">
      <c r="A175" s="60" t="n">
        <v>2021</v>
      </c>
      <c r="B175" s="60" t="inlineStr">
        <is>
          <t>April</t>
        </is>
      </c>
      <c r="C175" s="61" t="n">
        <v>4</v>
      </c>
      <c r="D175" s="62" t="n">
        <v>1.15</v>
      </c>
      <c r="E175" s="63" t="n">
        <v>27.43</v>
      </c>
      <c r="F175" s="63" t="n">
        <v>20.6</v>
      </c>
      <c r="G175" s="63" t="n">
        <v>35.12</v>
      </c>
      <c r="H175" s="63" t="n">
        <v>71.81999999999999</v>
      </c>
      <c r="I175" s="63" t="n">
        <v>98.29000000000001</v>
      </c>
      <c r="J175" s="63" t="n">
        <v>23.4</v>
      </c>
      <c r="K175" s="64" t="n">
        <v>16.0503</v>
      </c>
      <c r="L175" s="64" t="n">
        <v>120.5926</v>
      </c>
      <c r="M175" s="60" t="inlineStr">
        <is>
          <t>Binalonan, Pangasinan</t>
        </is>
      </c>
    </row>
    <row r="176" ht="15" customHeight="1" s="101">
      <c r="A176" s="57" t="n">
        <v>2021</v>
      </c>
      <c r="B176" s="57" t="inlineStr">
        <is>
          <t>May</t>
        </is>
      </c>
      <c r="C176" s="58" t="n">
        <v>5</v>
      </c>
      <c r="D176" s="7" t="n">
        <v>4.18</v>
      </c>
      <c r="E176" s="8" t="n">
        <v>29.28</v>
      </c>
      <c r="F176" s="8" t="n">
        <v>22.18</v>
      </c>
      <c r="G176" s="8" t="n">
        <v>38.38</v>
      </c>
      <c r="H176" s="8" t="n">
        <v>71.22</v>
      </c>
      <c r="I176" s="8" t="n">
        <v>98.29000000000001</v>
      </c>
      <c r="J176" s="8" t="n">
        <v>24.03</v>
      </c>
      <c r="K176" s="59" t="n">
        <v>16.0503</v>
      </c>
      <c r="L176" s="59" t="n">
        <v>120.5926</v>
      </c>
      <c r="M176" s="57" t="inlineStr">
        <is>
          <t>Binalonan, Pangasinan</t>
        </is>
      </c>
    </row>
    <row r="177" ht="15" customHeight="1" s="101">
      <c r="A177" s="60" t="n">
        <v>2021</v>
      </c>
      <c r="B177" s="60" t="inlineStr">
        <is>
          <t>June</t>
        </is>
      </c>
      <c r="C177" s="61" t="n">
        <v>6</v>
      </c>
      <c r="D177" s="62" t="n">
        <v>8.06</v>
      </c>
      <c r="E177" s="63" t="n">
        <v>27.03</v>
      </c>
      <c r="F177" s="63" t="n">
        <v>23.72</v>
      </c>
      <c r="G177" s="63" t="n">
        <v>34.26</v>
      </c>
      <c r="H177" s="63" t="n">
        <v>82.83</v>
      </c>
      <c r="I177" s="63" t="n">
        <v>98.25</v>
      </c>
      <c r="J177" s="63" t="n">
        <v>20.27</v>
      </c>
      <c r="K177" s="64" t="n">
        <v>16.0503</v>
      </c>
      <c r="L177" s="64" t="n">
        <v>120.5926</v>
      </c>
      <c r="M177" s="60" t="inlineStr">
        <is>
          <t>Binalonan, Pangasinan</t>
        </is>
      </c>
    </row>
    <row r="178" ht="15" customHeight="1" s="101">
      <c r="A178" s="57" t="n">
        <v>2021</v>
      </c>
      <c r="B178" s="57" t="inlineStr">
        <is>
          <t>July</t>
        </is>
      </c>
      <c r="C178" s="58" t="n">
        <v>7</v>
      </c>
      <c r="D178" s="7" t="n">
        <v>24.25</v>
      </c>
      <c r="E178" s="8" t="n">
        <v>26.82</v>
      </c>
      <c r="F178" s="8" t="n">
        <v>23.12</v>
      </c>
      <c r="G178" s="8" t="n">
        <v>32.54</v>
      </c>
      <c r="H178" s="8" t="n">
        <v>87.22</v>
      </c>
      <c r="I178" s="8" t="n">
        <v>98.02</v>
      </c>
      <c r="J178" s="8" t="n">
        <v>16.11</v>
      </c>
      <c r="K178" s="59" t="n">
        <v>16.0503</v>
      </c>
      <c r="L178" s="59" t="n">
        <v>120.5926</v>
      </c>
      <c r="M178" s="57" t="inlineStr">
        <is>
          <t>Binalonan, Pangasinan</t>
        </is>
      </c>
    </row>
    <row r="179" ht="15" customHeight="1" s="101">
      <c r="A179" s="60" t="n">
        <v>2021</v>
      </c>
      <c r="B179" s="60" t="inlineStr">
        <is>
          <t>August</t>
        </is>
      </c>
      <c r="C179" s="61" t="n">
        <v>8</v>
      </c>
      <c r="D179" s="62" t="n">
        <v>13.93</v>
      </c>
      <c r="E179" s="63" t="n">
        <v>26.37</v>
      </c>
      <c r="F179" s="63" t="n">
        <v>22.47</v>
      </c>
      <c r="G179" s="63" t="n">
        <v>31.72</v>
      </c>
      <c r="H179" s="63" t="n">
        <v>88.12</v>
      </c>
      <c r="I179" s="63" t="n">
        <v>98.23</v>
      </c>
      <c r="J179" s="63" t="n">
        <v>18.24</v>
      </c>
      <c r="K179" s="64" t="n">
        <v>16.0503</v>
      </c>
      <c r="L179" s="64" t="n">
        <v>120.5926</v>
      </c>
      <c r="M179" s="60" t="inlineStr">
        <is>
          <t>Binalonan, Pangasinan</t>
        </is>
      </c>
    </row>
    <row r="180" ht="15" customHeight="1" s="101">
      <c r="A180" s="57" t="n">
        <v>2021</v>
      </c>
      <c r="B180" s="57" t="inlineStr">
        <is>
          <t>September</t>
        </is>
      </c>
      <c r="C180" s="58" t="n">
        <v>9</v>
      </c>
      <c r="D180" s="7" t="n">
        <v>10.86</v>
      </c>
      <c r="E180" s="8" t="n">
        <v>26.53</v>
      </c>
      <c r="F180" s="8" t="n">
        <v>22.2</v>
      </c>
      <c r="G180" s="8" t="n">
        <v>31.97</v>
      </c>
      <c r="H180" s="8" t="n">
        <v>87.16</v>
      </c>
      <c r="I180" s="8" t="n">
        <v>98.19</v>
      </c>
      <c r="J180" s="8" t="n">
        <v>19.04</v>
      </c>
      <c r="K180" s="59" t="n">
        <v>16.0503</v>
      </c>
      <c r="L180" s="59" t="n">
        <v>120.5926</v>
      </c>
      <c r="M180" s="57" t="inlineStr">
        <is>
          <t>Binalonan, Pangasinan</t>
        </is>
      </c>
    </row>
    <row r="181" ht="15" customHeight="1" s="101">
      <c r="A181" s="60" t="n">
        <v>2021</v>
      </c>
      <c r="B181" s="60" t="inlineStr">
        <is>
          <t>October</t>
        </is>
      </c>
      <c r="C181" s="61" t="n">
        <v>10</v>
      </c>
      <c r="D181" s="62" t="n">
        <v>10.89</v>
      </c>
      <c r="E181" s="63" t="n">
        <v>26.2</v>
      </c>
      <c r="F181" s="63" t="n">
        <v>20.65</v>
      </c>
      <c r="G181" s="63" t="n">
        <v>31.79</v>
      </c>
      <c r="H181" s="63" t="n">
        <v>85.65000000000001</v>
      </c>
      <c r="I181" s="63" t="n">
        <v>98.22</v>
      </c>
      <c r="J181" s="63" t="n">
        <v>16.96</v>
      </c>
      <c r="K181" s="64" t="n">
        <v>16.0503</v>
      </c>
      <c r="L181" s="64" t="n">
        <v>120.5926</v>
      </c>
      <c r="M181" s="60" t="inlineStr">
        <is>
          <t>Binalonan, Pangasinan</t>
        </is>
      </c>
    </row>
    <row r="182" ht="15" customHeight="1" s="101">
      <c r="A182" s="57" t="n">
        <v>2021</v>
      </c>
      <c r="B182" s="57" t="inlineStr">
        <is>
          <t>November</t>
        </is>
      </c>
      <c r="C182" s="58" t="n">
        <v>11</v>
      </c>
      <c r="D182" s="7" t="n">
        <v>3.47</v>
      </c>
      <c r="E182" s="8" t="n">
        <v>26.41</v>
      </c>
      <c r="F182" s="8" t="n">
        <v>19.95</v>
      </c>
      <c r="G182" s="8" t="n">
        <v>31.91</v>
      </c>
      <c r="H182" s="8" t="n">
        <v>82.55</v>
      </c>
      <c r="I182" s="8" t="n">
        <v>98.34</v>
      </c>
      <c r="J182" s="8" t="n">
        <v>17.76</v>
      </c>
      <c r="K182" s="59" t="n">
        <v>16.0503</v>
      </c>
      <c r="L182" s="59" t="n">
        <v>120.5926</v>
      </c>
      <c r="M182" s="57" t="inlineStr">
        <is>
          <t>Binalonan, Pangasinan</t>
        </is>
      </c>
    </row>
    <row r="183" ht="15" customHeight="1" s="101">
      <c r="A183" s="60" t="n">
        <v>2021</v>
      </c>
      <c r="B183" s="60" t="inlineStr">
        <is>
          <t>December</t>
        </is>
      </c>
      <c r="C183" s="61" t="n">
        <v>12</v>
      </c>
      <c r="D183" s="62" t="n">
        <v>0.77</v>
      </c>
      <c r="E183" s="63" t="n">
        <v>24.04</v>
      </c>
      <c r="F183" s="63" t="n">
        <v>17.14</v>
      </c>
      <c r="G183" s="63" t="n">
        <v>30.73</v>
      </c>
      <c r="H183" s="63" t="n">
        <v>81.37</v>
      </c>
      <c r="I183" s="63" t="n">
        <v>98.56</v>
      </c>
      <c r="J183" s="63" t="n">
        <v>15.77</v>
      </c>
      <c r="K183" s="64" t="n">
        <v>16.0503</v>
      </c>
      <c r="L183" s="64" t="n">
        <v>120.5926</v>
      </c>
      <c r="M183" s="60" t="inlineStr">
        <is>
          <t>Binalonan, Pangasinan</t>
        </is>
      </c>
    </row>
    <row r="184" ht="15" customHeight="1" s="101">
      <c r="A184" s="57" t="n">
        <v>2022</v>
      </c>
      <c r="B184" s="57" t="inlineStr">
        <is>
          <t>January</t>
        </is>
      </c>
      <c r="C184" s="58" t="n">
        <v>1</v>
      </c>
      <c r="D184" s="7" t="n">
        <v>3.07</v>
      </c>
      <c r="E184" s="8" t="n">
        <v>23.99</v>
      </c>
      <c r="F184" s="8" t="n">
        <v>16.71</v>
      </c>
      <c r="G184" s="8" t="n">
        <v>31.67</v>
      </c>
      <c r="H184" s="8" t="n">
        <v>78.95</v>
      </c>
      <c r="I184" s="8" t="n">
        <v>98.56999999999999</v>
      </c>
      <c r="J184" s="8" t="n">
        <v>16.75</v>
      </c>
      <c r="K184" s="59" t="n">
        <v>16.0503</v>
      </c>
      <c r="L184" s="59" t="n">
        <v>120.5926</v>
      </c>
      <c r="M184" s="57" t="inlineStr">
        <is>
          <t>Binalonan, Pangasinan</t>
        </is>
      </c>
    </row>
    <row r="185" ht="15" customHeight="1" s="101">
      <c r="A185" s="60" t="n">
        <v>2022</v>
      </c>
      <c r="B185" s="60" t="inlineStr">
        <is>
          <t>February</t>
        </is>
      </c>
      <c r="C185" s="61" t="n">
        <v>2</v>
      </c>
      <c r="D185" s="62" t="n">
        <v>1.68</v>
      </c>
      <c r="E185" s="63" t="n">
        <v>25.49</v>
      </c>
      <c r="F185" s="63" t="n">
        <v>19.7</v>
      </c>
      <c r="G185" s="63" t="n">
        <v>32.49</v>
      </c>
      <c r="H185" s="63" t="n">
        <v>77.5</v>
      </c>
      <c r="I185" s="63" t="n">
        <v>98.55</v>
      </c>
      <c r="J185" s="63" t="n">
        <v>18.32</v>
      </c>
      <c r="K185" s="64" t="n">
        <v>16.0503</v>
      </c>
      <c r="L185" s="64" t="n">
        <v>120.5926</v>
      </c>
      <c r="M185" s="60" t="inlineStr">
        <is>
          <t>Binalonan, Pangasinan</t>
        </is>
      </c>
    </row>
    <row r="186" ht="15" customHeight="1" s="101">
      <c r="A186" s="57" t="n">
        <v>2022</v>
      </c>
      <c r="B186" s="57" t="inlineStr">
        <is>
          <t>March</t>
        </is>
      </c>
      <c r="C186" s="58" t="n">
        <v>3</v>
      </c>
      <c r="D186" s="7" t="n">
        <v>2</v>
      </c>
      <c r="E186" s="8" t="n">
        <v>27.04</v>
      </c>
      <c r="F186" s="8" t="n">
        <v>19.32</v>
      </c>
      <c r="G186" s="8" t="n">
        <v>35.27</v>
      </c>
      <c r="H186" s="8" t="n">
        <v>75.42</v>
      </c>
      <c r="I186" s="8" t="n">
        <v>98.36</v>
      </c>
      <c r="J186" s="8" t="n">
        <v>22.13</v>
      </c>
      <c r="K186" s="59" t="n">
        <v>16.0503</v>
      </c>
      <c r="L186" s="59" t="n">
        <v>120.5926</v>
      </c>
      <c r="M186" s="57" t="inlineStr">
        <is>
          <t>Binalonan, Pangasinan</t>
        </is>
      </c>
    </row>
    <row r="187" ht="15" customHeight="1" s="101">
      <c r="A187" s="60" t="n">
        <v>2022</v>
      </c>
      <c r="B187" s="60" t="inlineStr">
        <is>
          <t>April</t>
        </is>
      </c>
      <c r="C187" s="61" t="n">
        <v>4</v>
      </c>
      <c r="D187" s="62" t="n">
        <v>5.36</v>
      </c>
      <c r="E187" s="63" t="n">
        <v>27.37</v>
      </c>
      <c r="F187" s="63" t="n">
        <v>20.22</v>
      </c>
      <c r="G187" s="63" t="n">
        <v>35.29</v>
      </c>
      <c r="H187" s="63" t="n">
        <v>76.06</v>
      </c>
      <c r="I187" s="63" t="n">
        <v>98.28</v>
      </c>
      <c r="J187" s="63" t="n">
        <v>21.5</v>
      </c>
      <c r="K187" s="64" t="n">
        <v>16.0503</v>
      </c>
      <c r="L187" s="64" t="n">
        <v>120.5926</v>
      </c>
      <c r="M187" s="60" t="inlineStr">
        <is>
          <t>Binalonan, Pangasinan</t>
        </is>
      </c>
    </row>
    <row r="188" ht="15" customHeight="1" s="101">
      <c r="A188" s="57" t="n">
        <v>2022</v>
      </c>
      <c r="B188" s="57" t="inlineStr">
        <is>
          <t>May</t>
        </is>
      </c>
      <c r="C188" s="58" t="n">
        <v>5</v>
      </c>
      <c r="D188" s="7" t="n">
        <v>9.140000000000001</v>
      </c>
      <c r="E188" s="8" t="n">
        <v>27.33</v>
      </c>
      <c r="F188" s="8" t="n">
        <v>22.66</v>
      </c>
      <c r="G188" s="8" t="n">
        <v>35.01</v>
      </c>
      <c r="H188" s="8" t="n">
        <v>80.26000000000001</v>
      </c>
      <c r="I188" s="8" t="n">
        <v>98.27</v>
      </c>
      <c r="J188" s="8" t="n">
        <v>20.46</v>
      </c>
      <c r="K188" s="59" t="n">
        <v>16.0503</v>
      </c>
      <c r="L188" s="59" t="n">
        <v>120.5926</v>
      </c>
      <c r="M188" s="57" t="inlineStr">
        <is>
          <t>Binalonan, Pangasinan</t>
        </is>
      </c>
    </row>
    <row r="189" ht="15" customHeight="1" s="101">
      <c r="A189" s="60" t="n">
        <v>2022</v>
      </c>
      <c r="B189" s="60" t="inlineStr">
        <is>
          <t>June</t>
        </is>
      </c>
      <c r="C189" s="61" t="n">
        <v>6</v>
      </c>
      <c r="D189" s="62" t="n">
        <v>8.01</v>
      </c>
      <c r="E189" s="63" t="n">
        <v>27.14</v>
      </c>
      <c r="F189" s="63" t="n">
        <v>23.01</v>
      </c>
      <c r="G189" s="63" t="n">
        <v>32.47</v>
      </c>
      <c r="H189" s="63" t="n">
        <v>82.48</v>
      </c>
      <c r="I189" s="63" t="n">
        <v>98.2</v>
      </c>
      <c r="J189" s="63" t="n">
        <v>20.55</v>
      </c>
      <c r="K189" s="64" t="n">
        <v>16.0503</v>
      </c>
      <c r="L189" s="64" t="n">
        <v>120.5926</v>
      </c>
      <c r="M189" s="60" t="inlineStr">
        <is>
          <t>Binalonan, Pangasinan</t>
        </is>
      </c>
    </row>
    <row r="190" ht="15" customHeight="1" s="101">
      <c r="A190" s="57" t="n">
        <v>2022</v>
      </c>
      <c r="B190" s="57" t="inlineStr">
        <is>
          <t>July</t>
        </is>
      </c>
      <c r="C190" s="58" t="n">
        <v>7</v>
      </c>
      <c r="D190" s="7" t="n">
        <v>10.47</v>
      </c>
      <c r="E190" s="8" t="n">
        <v>26.82</v>
      </c>
      <c r="F190" s="8" t="n">
        <v>23.11</v>
      </c>
      <c r="G190" s="8" t="n">
        <v>31.87</v>
      </c>
      <c r="H190" s="8" t="n">
        <v>86.34999999999999</v>
      </c>
      <c r="I190" s="8" t="n">
        <v>98.11</v>
      </c>
      <c r="J190" s="8" t="n">
        <v>19.21</v>
      </c>
      <c r="K190" s="59" t="n">
        <v>16.0503</v>
      </c>
      <c r="L190" s="59" t="n">
        <v>120.5926</v>
      </c>
      <c r="M190" s="57" t="inlineStr">
        <is>
          <t>Binalonan, Pangasinan</t>
        </is>
      </c>
    </row>
    <row r="191" ht="15" customHeight="1" s="101">
      <c r="A191" s="60" t="n">
        <v>2022</v>
      </c>
      <c r="B191" s="60" t="inlineStr">
        <is>
          <t>August</t>
        </is>
      </c>
      <c r="C191" s="61" t="n">
        <v>8</v>
      </c>
      <c r="D191" s="62" t="n">
        <v>15.48</v>
      </c>
      <c r="E191" s="63" t="n">
        <v>26.05</v>
      </c>
      <c r="F191" s="63" t="n">
        <v>22.93</v>
      </c>
      <c r="G191" s="63" t="n">
        <v>31.85</v>
      </c>
      <c r="H191" s="63" t="n">
        <v>88.91</v>
      </c>
      <c r="I191" s="63" t="n">
        <v>98.12</v>
      </c>
      <c r="J191" s="63" t="n">
        <v>17.26</v>
      </c>
      <c r="K191" s="64" t="n">
        <v>16.0503</v>
      </c>
      <c r="L191" s="64" t="n">
        <v>120.5926</v>
      </c>
      <c r="M191" s="60" t="inlineStr">
        <is>
          <t>Binalonan, Pangasinan</t>
        </is>
      </c>
    </row>
    <row r="192" ht="15" customHeight="1" s="101">
      <c r="A192" s="57" t="n">
        <v>2022</v>
      </c>
      <c r="B192" s="57" t="inlineStr">
        <is>
          <t>September</t>
        </is>
      </c>
      <c r="C192" s="58" t="n">
        <v>9</v>
      </c>
      <c r="D192" s="7" t="n">
        <v>13.07</v>
      </c>
      <c r="E192" s="8" t="n">
        <v>26.01</v>
      </c>
      <c r="F192" s="8" t="n">
        <v>22.75</v>
      </c>
      <c r="G192" s="8" t="n">
        <v>31.11</v>
      </c>
      <c r="H192" s="8" t="n">
        <v>88.38</v>
      </c>
      <c r="I192" s="8" t="n">
        <v>98.11</v>
      </c>
      <c r="J192" s="8" t="n">
        <v>17.34</v>
      </c>
      <c r="K192" s="59" t="n">
        <v>16.0503</v>
      </c>
      <c r="L192" s="59" t="n">
        <v>120.5926</v>
      </c>
      <c r="M192" s="57" t="inlineStr">
        <is>
          <t>Binalonan, Pangasinan</t>
        </is>
      </c>
    </row>
    <row r="193" ht="15" customHeight="1" s="101">
      <c r="A193" s="60" t="n">
        <v>2022</v>
      </c>
      <c r="B193" s="60" t="inlineStr">
        <is>
          <t>October</t>
        </is>
      </c>
      <c r="C193" s="61" t="n">
        <v>10</v>
      </c>
      <c r="D193" s="62" t="n">
        <v>13.41</v>
      </c>
      <c r="E193" s="63" t="n">
        <v>26.64</v>
      </c>
      <c r="F193" s="63" t="n">
        <v>21.81</v>
      </c>
      <c r="G193" s="63" t="n">
        <v>31.98</v>
      </c>
      <c r="H193" s="63" t="n">
        <v>85.39</v>
      </c>
      <c r="I193" s="63" t="n">
        <v>98.09999999999999</v>
      </c>
      <c r="J193" s="63" t="n">
        <v>16.36</v>
      </c>
      <c r="K193" s="64" t="n">
        <v>16.0503</v>
      </c>
      <c r="L193" s="64" t="n">
        <v>120.5926</v>
      </c>
      <c r="M193" s="60" t="inlineStr">
        <is>
          <t>Binalonan, Pangasinan</t>
        </is>
      </c>
    </row>
    <row r="194" ht="15" customHeight="1" s="101">
      <c r="A194" s="57" t="n">
        <v>2022</v>
      </c>
      <c r="B194" s="57" t="inlineStr">
        <is>
          <t>November</t>
        </is>
      </c>
      <c r="C194" s="58" t="n">
        <v>11</v>
      </c>
      <c r="D194" s="7" t="n">
        <v>2.22</v>
      </c>
      <c r="E194" s="8" t="n">
        <v>26.38</v>
      </c>
      <c r="F194" s="8" t="n">
        <v>19.97</v>
      </c>
      <c r="G194" s="8" t="n">
        <v>31.8</v>
      </c>
      <c r="H194" s="8" t="n">
        <v>83.62</v>
      </c>
      <c r="I194" s="8" t="n">
        <v>98.40000000000001</v>
      </c>
      <c r="J194" s="8" t="n">
        <v>17.64</v>
      </c>
      <c r="K194" s="59" t="n">
        <v>16.0503</v>
      </c>
      <c r="L194" s="59" t="n">
        <v>120.5926</v>
      </c>
      <c r="M194" s="57" t="inlineStr">
        <is>
          <t>Binalonan, Pangasinan</t>
        </is>
      </c>
    </row>
    <row r="195" ht="15" customHeight="1" s="101">
      <c r="A195" s="60" t="n">
        <v>2022</v>
      </c>
      <c r="B195" s="60" t="inlineStr">
        <is>
          <t>December</t>
        </is>
      </c>
      <c r="C195" s="61" t="n">
        <v>12</v>
      </c>
      <c r="D195" s="62" t="n">
        <v>1.1</v>
      </c>
      <c r="E195" s="63" t="n">
        <v>24.76</v>
      </c>
      <c r="F195" s="63" t="n">
        <v>16.92</v>
      </c>
      <c r="G195" s="63" t="n">
        <v>31.23</v>
      </c>
      <c r="H195" s="63" t="n">
        <v>82.06999999999999</v>
      </c>
      <c r="I195" s="63" t="n">
        <v>98.33</v>
      </c>
      <c r="J195" s="63" t="n">
        <v>14.78</v>
      </c>
      <c r="K195" s="64" t="n">
        <v>16.0503</v>
      </c>
      <c r="L195" s="64" t="n">
        <v>120.5926</v>
      </c>
      <c r="M195" s="60" t="inlineStr">
        <is>
          <t>Binalonan, Pangasinan</t>
        </is>
      </c>
    </row>
    <row r="196" ht="15" customHeight="1" s="101">
      <c r="A196" s="57" t="n">
        <v>2023</v>
      </c>
      <c r="B196" s="57" t="inlineStr">
        <is>
          <t>January</t>
        </is>
      </c>
      <c r="C196" s="58" t="n">
        <v>1</v>
      </c>
      <c r="D196" s="7" t="n">
        <v>2.36</v>
      </c>
      <c r="E196" s="8" t="n">
        <v>24.17</v>
      </c>
      <c r="F196" s="8" t="n">
        <v>17.02</v>
      </c>
      <c r="G196" s="8" t="n">
        <v>30.69</v>
      </c>
      <c r="H196" s="8" t="n">
        <v>80.29000000000001</v>
      </c>
      <c r="I196" s="8" t="n">
        <v>98.53</v>
      </c>
      <c r="J196" s="8" t="n">
        <v>16.19</v>
      </c>
      <c r="K196" s="59" t="n">
        <v>16.0503</v>
      </c>
      <c r="L196" s="59" t="n">
        <v>120.5926</v>
      </c>
      <c r="M196" s="57" t="inlineStr">
        <is>
          <t>Binalonan, Pangasinan</t>
        </is>
      </c>
    </row>
    <row r="197" ht="15" customHeight="1" s="101">
      <c r="A197" s="60" t="n">
        <v>2023</v>
      </c>
      <c r="B197" s="60" t="inlineStr">
        <is>
          <t>February</t>
        </is>
      </c>
      <c r="C197" s="61" t="n">
        <v>2</v>
      </c>
      <c r="D197" s="62" t="n">
        <v>1.2</v>
      </c>
      <c r="E197" s="63" t="n">
        <v>24.91</v>
      </c>
      <c r="F197" s="63" t="n">
        <v>17.24</v>
      </c>
      <c r="G197" s="63" t="n">
        <v>32.72</v>
      </c>
      <c r="H197" s="63" t="n">
        <v>76.13</v>
      </c>
      <c r="I197" s="63" t="n">
        <v>98.52</v>
      </c>
      <c r="J197" s="63" t="n">
        <v>19.71</v>
      </c>
      <c r="K197" s="64" t="n">
        <v>16.0503</v>
      </c>
      <c r="L197" s="64" t="n">
        <v>120.5926</v>
      </c>
      <c r="M197" s="60" t="inlineStr">
        <is>
          <t>Binalonan, Pangasinan</t>
        </is>
      </c>
    </row>
    <row r="198" ht="15" customHeight="1" s="101">
      <c r="A198" s="57" t="n">
        <v>2023</v>
      </c>
      <c r="B198" s="57" t="inlineStr">
        <is>
          <t>March</t>
        </is>
      </c>
      <c r="C198" s="58" t="n">
        <v>3</v>
      </c>
      <c r="D198" s="7" t="n">
        <v>0.16</v>
      </c>
      <c r="E198" s="8" t="n">
        <v>26.48</v>
      </c>
      <c r="F198" s="8" t="n">
        <v>17.91</v>
      </c>
      <c r="G198" s="8" t="n">
        <v>36.41</v>
      </c>
      <c r="H198" s="8" t="n">
        <v>67.70999999999999</v>
      </c>
      <c r="I198" s="8" t="n">
        <v>98.55</v>
      </c>
      <c r="J198" s="8" t="n">
        <v>22.69</v>
      </c>
      <c r="K198" s="59" t="n">
        <v>16.0503</v>
      </c>
      <c r="L198" s="59" t="n">
        <v>120.5926</v>
      </c>
      <c r="M198" s="57" t="inlineStr">
        <is>
          <t>Binalonan, Pangasinan</t>
        </is>
      </c>
    </row>
    <row r="199" ht="15" customHeight="1" s="101">
      <c r="A199" s="60" t="n">
        <v>2023</v>
      </c>
      <c r="B199" s="60" t="inlineStr">
        <is>
          <t>April</t>
        </is>
      </c>
      <c r="C199" s="61" t="n">
        <v>4</v>
      </c>
      <c r="D199" s="62" t="n">
        <v>2.9</v>
      </c>
      <c r="E199" s="63" t="n">
        <v>28.83</v>
      </c>
      <c r="F199" s="63" t="n">
        <v>22.27</v>
      </c>
      <c r="G199" s="63" t="n">
        <v>37.43</v>
      </c>
      <c r="H199" s="63" t="n">
        <v>68.17</v>
      </c>
      <c r="I199" s="63" t="n">
        <v>98.27</v>
      </c>
      <c r="J199" s="63" t="n">
        <v>21.5</v>
      </c>
      <c r="K199" s="64" t="n">
        <v>16.0503</v>
      </c>
      <c r="L199" s="64" t="n">
        <v>120.5926</v>
      </c>
      <c r="M199" s="60" t="inlineStr">
        <is>
          <t>Binalonan, Pangasinan</t>
        </is>
      </c>
    </row>
    <row r="200" ht="15" customHeight="1" s="101">
      <c r="A200" s="57" t="n">
        <v>2023</v>
      </c>
      <c r="B200" s="57" t="inlineStr">
        <is>
          <t>May</t>
        </is>
      </c>
      <c r="C200" s="58" t="n">
        <v>5</v>
      </c>
      <c r="D200" s="7" t="n">
        <v>7.75</v>
      </c>
      <c r="E200" s="8" t="n">
        <v>28.52</v>
      </c>
      <c r="F200" s="8" t="n">
        <v>22.41</v>
      </c>
      <c r="G200" s="8" t="n">
        <v>37.39</v>
      </c>
      <c r="H200" s="8" t="n">
        <v>76.47</v>
      </c>
      <c r="I200" s="8" t="n">
        <v>98.2</v>
      </c>
      <c r="J200" s="8" t="n">
        <v>21.19</v>
      </c>
      <c r="K200" s="59" t="n">
        <v>16.0503</v>
      </c>
      <c r="L200" s="59" t="n">
        <v>120.5926</v>
      </c>
      <c r="M200" s="57" t="inlineStr">
        <is>
          <t>Binalonan, Pangasinan</t>
        </is>
      </c>
    </row>
    <row r="201" ht="15" customHeight="1" s="101">
      <c r="A201" s="60" t="n">
        <v>2023</v>
      </c>
      <c r="B201" s="60" t="inlineStr">
        <is>
          <t>June</t>
        </is>
      </c>
      <c r="C201" s="61" t="n">
        <v>6</v>
      </c>
      <c r="D201" s="62" t="n">
        <v>12.88</v>
      </c>
      <c r="E201" s="63" t="n">
        <v>27.25</v>
      </c>
      <c r="F201" s="63" t="n">
        <v>23.24</v>
      </c>
      <c r="G201" s="63" t="n">
        <v>32.84</v>
      </c>
      <c r="H201" s="63" t="n">
        <v>85.62</v>
      </c>
      <c r="I201" s="63" t="n">
        <v>98.18000000000001</v>
      </c>
      <c r="J201" s="63" t="n">
        <v>18.77</v>
      </c>
      <c r="K201" s="64" t="n">
        <v>16.0503</v>
      </c>
      <c r="L201" s="64" t="n">
        <v>120.5926</v>
      </c>
      <c r="M201" s="60" t="inlineStr">
        <is>
          <t>Binalonan, Pangasinan</t>
        </is>
      </c>
    </row>
    <row r="202" ht="15" customHeight="1" s="101">
      <c r="A202" s="57" t="n">
        <v>2023</v>
      </c>
      <c r="B202" s="57" t="inlineStr">
        <is>
          <t>July</t>
        </is>
      </c>
      <c r="C202" s="58" t="n">
        <v>7</v>
      </c>
      <c r="D202" s="7" t="n">
        <v>24.95</v>
      </c>
      <c r="E202" s="8" t="n">
        <v>27.14</v>
      </c>
      <c r="F202" s="8" t="n">
        <v>23.81</v>
      </c>
      <c r="G202" s="8" t="n">
        <v>33.2</v>
      </c>
      <c r="H202" s="8" t="n">
        <v>86.79000000000001</v>
      </c>
      <c r="I202" s="8" t="n">
        <v>98.06999999999999</v>
      </c>
      <c r="J202" s="8" t="n">
        <v>17.16</v>
      </c>
      <c r="K202" s="59" t="n">
        <v>16.0503</v>
      </c>
      <c r="L202" s="59" t="n">
        <v>120.5926</v>
      </c>
      <c r="M202" s="57" t="inlineStr">
        <is>
          <t>Binalonan, Pangasinan</t>
        </is>
      </c>
    </row>
    <row r="203" ht="15" customHeight="1" s="101">
      <c r="A203" s="60" t="n">
        <v>2023</v>
      </c>
      <c r="B203" s="60" t="inlineStr">
        <is>
          <t>August</t>
        </is>
      </c>
      <c r="C203" s="61" t="n">
        <v>8</v>
      </c>
      <c r="D203" s="62" t="n">
        <v>14.3</v>
      </c>
      <c r="E203" s="63" t="n">
        <v>26.6</v>
      </c>
      <c r="F203" s="63" t="n">
        <v>23.75</v>
      </c>
      <c r="G203" s="63" t="n">
        <v>30.55</v>
      </c>
      <c r="H203" s="63" t="n">
        <v>90.17</v>
      </c>
      <c r="I203" s="63" t="n">
        <v>98.09</v>
      </c>
      <c r="J203" s="63" t="n">
        <v>17.51</v>
      </c>
      <c r="K203" s="64" t="n">
        <v>16.0503</v>
      </c>
      <c r="L203" s="64" t="n">
        <v>120.5926</v>
      </c>
      <c r="M203" s="60" t="inlineStr">
        <is>
          <t>Binalonan, Pangasinan</t>
        </is>
      </c>
    </row>
    <row r="204" ht="15" customHeight="1" s="101">
      <c r="A204" s="57" t="n">
        <v>2023</v>
      </c>
      <c r="B204" s="57" t="inlineStr">
        <is>
          <t>September</t>
        </is>
      </c>
      <c r="C204" s="58" t="n">
        <v>9</v>
      </c>
      <c r="D204" s="7" t="n">
        <v>16.88</v>
      </c>
      <c r="E204" s="8" t="n">
        <v>26.72</v>
      </c>
      <c r="F204" s="8" t="n">
        <v>23.64</v>
      </c>
      <c r="G204" s="8" t="n">
        <v>31.24</v>
      </c>
      <c r="H204" s="8" t="n">
        <v>88.98</v>
      </c>
      <c r="I204" s="8" t="n">
        <v>98.17</v>
      </c>
      <c r="J204" s="8" t="n">
        <v>16.74</v>
      </c>
      <c r="K204" s="59" t="n">
        <v>16.0503</v>
      </c>
      <c r="L204" s="59" t="n">
        <v>120.5926</v>
      </c>
      <c r="M204" s="57" t="inlineStr">
        <is>
          <t>Binalonan, Pangasinan</t>
        </is>
      </c>
    </row>
    <row r="205" ht="15" customHeight="1" s="101">
      <c r="A205" s="60" t="n">
        <v>2023</v>
      </c>
      <c r="B205" s="60" t="inlineStr">
        <is>
          <t>October</t>
        </is>
      </c>
      <c r="C205" s="61" t="n">
        <v>10</v>
      </c>
      <c r="D205" s="62" t="n">
        <v>6.18</v>
      </c>
      <c r="E205" s="63" t="n">
        <v>26.89</v>
      </c>
      <c r="F205" s="63" t="n">
        <v>21.79</v>
      </c>
      <c r="G205" s="63" t="n">
        <v>32.55</v>
      </c>
      <c r="H205" s="63" t="n">
        <v>84.83</v>
      </c>
      <c r="I205" s="63" t="n">
        <v>98.41</v>
      </c>
      <c r="J205" s="63" t="n">
        <v>17.88</v>
      </c>
      <c r="K205" s="64" t="n">
        <v>16.0503</v>
      </c>
      <c r="L205" s="64" t="n">
        <v>120.5926</v>
      </c>
      <c r="M205" s="60" t="inlineStr">
        <is>
          <t>Binalonan, Pangasinan</t>
        </is>
      </c>
    </row>
    <row r="206" ht="15" customHeight="1" s="101">
      <c r="A206" s="57" t="n">
        <v>2023</v>
      </c>
      <c r="B206" s="57" t="inlineStr">
        <is>
          <t>November</t>
        </is>
      </c>
      <c r="C206" s="58" t="n">
        <v>11</v>
      </c>
      <c r="D206" s="7" t="n">
        <v>1.34</v>
      </c>
      <c r="E206" s="8" t="n">
        <v>26.5</v>
      </c>
      <c r="F206" s="8" t="n">
        <v>19.59</v>
      </c>
      <c r="G206" s="8" t="n">
        <v>32.04</v>
      </c>
      <c r="H206" s="8" t="n">
        <v>81.69</v>
      </c>
      <c r="I206" s="8" t="n">
        <v>98.48999999999999</v>
      </c>
      <c r="J206" s="8" t="n">
        <v>17.2</v>
      </c>
      <c r="K206" s="59" t="n">
        <v>16.0503</v>
      </c>
      <c r="L206" s="59" t="n">
        <v>120.5926</v>
      </c>
      <c r="M206" s="57" t="inlineStr">
        <is>
          <t>Binalonan, Pangasinan</t>
        </is>
      </c>
    </row>
    <row r="207" ht="15" customHeight="1" s="101">
      <c r="A207" s="60" t="n">
        <v>2023</v>
      </c>
      <c r="B207" s="60" t="inlineStr">
        <is>
          <t>December</t>
        </is>
      </c>
      <c r="C207" s="61" t="n">
        <v>12</v>
      </c>
      <c r="D207" s="62" t="n">
        <v>1.58</v>
      </c>
      <c r="E207" s="63" t="n">
        <v>25.9</v>
      </c>
      <c r="F207" s="63" t="n">
        <v>20.62</v>
      </c>
      <c r="G207" s="63" t="n">
        <v>31.75</v>
      </c>
      <c r="H207" s="63" t="n">
        <v>81.47</v>
      </c>
      <c r="I207" s="63" t="n">
        <v>98.59</v>
      </c>
      <c r="J207" s="63" t="n">
        <v>16.16</v>
      </c>
      <c r="K207" s="64" t="n">
        <v>16.0503</v>
      </c>
      <c r="L207" s="64" t="n">
        <v>120.5926</v>
      </c>
      <c r="M207" s="60" t="inlineStr">
        <is>
          <t>Binalonan, Pangasinan</t>
        </is>
      </c>
    </row>
  </sheetData>
  <autoFilter ref="A3:M3"/>
  <mergeCells count="2">
    <mergeCell ref="A2:M2"/>
    <mergeCell ref="A1:M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pane ySplit="2" topLeftCell="A12" activePane="bottomLeft" state="frozen"/>
      <selection pane="bottomLeft" activeCell="D2" sqref="D1:D1048576"/>
    </sheetView>
  </sheetViews>
  <sheetFormatPr baseColWidth="8" defaultColWidth="8.6640625" defaultRowHeight="14.4"/>
  <cols>
    <col width="22" customWidth="1" style="101" min="1" max="1"/>
    <col width="40" customWidth="1" style="101" min="2" max="2"/>
    <col width="38" customWidth="1" style="101" min="3" max="3"/>
  </cols>
  <sheetData>
    <row r="1" ht="24" customHeight="1" s="101" thickBot="1">
      <c r="A1" s="110" t="inlineStr">
        <is>
          <t>Data Dictionary – Column Definitions &amp; Sources</t>
        </is>
      </c>
    </row>
    <row r="2" ht="15" customHeight="1" s="101" thickBot="1">
      <c r="A2" s="65" t="inlineStr">
        <is>
          <t>Column Name</t>
        </is>
      </c>
      <c r="B2" s="65" t="inlineStr">
        <is>
          <t>Description</t>
        </is>
      </c>
      <c r="C2" s="65" t="inlineStr">
        <is>
          <t>Source</t>
        </is>
      </c>
    </row>
    <row r="3" ht="27.75" customHeight="1" s="101">
      <c r="A3" s="66" t="inlineStr">
        <is>
          <t>Crop Type</t>
        </is>
      </c>
      <c r="B3" s="66" t="inlineStr">
        <is>
          <t>Type of crop: Palay (rice) or Corn</t>
        </is>
      </c>
      <c r="C3" s="66" t="inlineStr">
        <is>
          <t>BSWM/DA field records, Binalonan Municipal Agriculture Office</t>
        </is>
      </c>
    </row>
    <row r="4" ht="27.75" customHeight="1" s="101">
      <c r="A4" s="67" t="inlineStr">
        <is>
          <t>Barangay</t>
        </is>
      </c>
      <c r="B4" s="67" t="inlineStr">
        <is>
          <t>Name of barangay; "Municipality-wide" for corn (no barangay breakdown)</t>
        </is>
      </c>
      <c r="C4" s="67" t="inlineStr">
        <is>
          <t>Binalonan LGU</t>
        </is>
      </c>
    </row>
    <row r="5" ht="27.75" customHeight="1" s="101">
      <c r="A5" s="66" t="inlineStr">
        <is>
          <t>Month</t>
        </is>
      </c>
      <c r="B5" s="66" t="inlineStr">
        <is>
          <t>Representative month for the season phase (planting or harvest)</t>
        </is>
      </c>
      <c r="C5" s="66" t="inlineStr">
        <is>
          <t>Derived from Philippine DS/WS cropping calendar</t>
        </is>
      </c>
    </row>
    <row r="6" ht="27.75" customHeight="1" s="101">
      <c r="A6" s="67" t="inlineStr">
        <is>
          <t>Year</t>
        </is>
      </c>
      <c r="B6" s="67" t="inlineStr">
        <is>
          <t>Calendar year of the season phase</t>
        </is>
      </c>
      <c r="C6" s="67" t="inlineStr">
        <is>
          <t>Derived from season period</t>
        </is>
      </c>
    </row>
    <row r="7" ht="27.75" customHeight="1" s="101">
      <c r="A7" s="66" t="inlineStr">
        <is>
          <t>Season/Period</t>
        </is>
      </c>
      <c r="B7" s="66" t="inlineStr">
        <is>
          <t>Growing season code and year (e.g. DS 2022-2023, WS 2021)</t>
        </is>
      </c>
      <c r="C7" s="66" t="inlineStr">
        <is>
          <t>Binalonan MAO field records</t>
        </is>
      </c>
    </row>
    <row r="8" ht="27.75" customHeight="1" s="101">
      <c r="A8" s="67" t="inlineStr">
        <is>
          <t>Phase</t>
        </is>
      </c>
      <c r="B8" s="67" t="inlineStr">
        <is>
          <t>Planting or Harvest phase</t>
        </is>
      </c>
      <c r="C8" s="67" t="inlineStr">
        <is>
          <t>Binalonan MAO field records</t>
        </is>
      </c>
    </row>
    <row r="9" ht="27.75" customHeight="1" s="101">
      <c r="A9" s="66" t="inlineStr">
        <is>
          <t>Rainfall (mm)</t>
        </is>
      </c>
      <c r="B9" s="66" t="inlineStr">
        <is>
          <t>Average monthly rainfall in millimeters (30-yr normal)</t>
        </is>
      </c>
      <c r="C9" s="66" t="inlineStr">
        <is>
          <t>PAGASA Urdaneta Synoptic Station (1991–2021 normals)</t>
        </is>
      </c>
    </row>
    <row r="10" ht="27.75" customHeight="1" s="101">
      <c r="A10" s="67" t="inlineStr">
        <is>
          <t>Avg Temp (°C)</t>
        </is>
      </c>
      <c r="B10" s="67" t="inlineStr">
        <is>
          <t>Mean monthly temperature in degrees Celsius</t>
        </is>
      </c>
      <c r="C10" s="67" t="inlineStr">
        <is>
          <t>PAGASA/climate-data.org Urdaneta 1991-2021</t>
        </is>
      </c>
    </row>
    <row r="11" ht="27.75" customHeight="1" s="101">
      <c r="A11" s="66" t="inlineStr">
        <is>
          <t>Min Temp (°C)</t>
        </is>
      </c>
      <c r="B11" s="66" t="inlineStr">
        <is>
          <t>Mean monthly minimum temperature</t>
        </is>
      </c>
      <c r="C11" s="66" t="inlineStr">
        <is>
          <t>PAGASA/climate-data.org Urdaneta 1991-2021</t>
        </is>
      </c>
    </row>
    <row r="12" ht="27.75" customHeight="1" s="101">
      <c r="A12" s="67" t="inlineStr">
        <is>
          <t>Max Temp (°C)</t>
        </is>
      </c>
      <c r="B12" s="67" t="inlineStr">
        <is>
          <t>Mean monthly maximum temperature</t>
        </is>
      </c>
      <c r="C12" s="67" t="inlineStr">
        <is>
          <t>PAGASA/climate-data.org Urdaneta 1991-2021</t>
        </is>
      </c>
    </row>
    <row r="13" ht="27.75" customHeight="1" s="101">
      <c r="A13" s="66" t="inlineStr">
        <is>
          <t>Humidity (%)</t>
        </is>
      </c>
      <c r="B13" s="66" t="inlineStr">
        <is>
          <t>Mean monthly relative humidity percentage</t>
        </is>
      </c>
      <c r="C13" s="66" t="inlineStr">
        <is>
          <t>PAGASA/climate-data.org Urdaneta 1991-2021</t>
        </is>
      </c>
    </row>
    <row r="14" ht="27.75" customHeight="1" s="101">
      <c r="A14" s="67" t="inlineStr">
        <is>
          <t>Climate Type</t>
        </is>
      </c>
      <c r="B14" s="67" t="inlineStr">
        <is>
          <t>PAGASA climate classification for Binalonan</t>
        </is>
      </c>
      <c r="C14" s="67" t="inlineStr">
        <is>
          <t>PAGASA Climate Map / Binalonan LGU</t>
        </is>
      </c>
    </row>
    <row r="15" ht="27.75" customHeight="1" s="101">
      <c r="A15" s="66" t="inlineStr">
        <is>
          <t>Climate Season</t>
        </is>
      </c>
      <c r="B15" s="66" t="inlineStr">
        <is>
          <t>Current seasonal phase: Dry (Cool), Dry (Hot), or Wet</t>
        </is>
      </c>
      <c r="C15" s="66" t="inlineStr">
        <is>
          <t>PAGASA</t>
        </is>
      </c>
    </row>
    <row r="16" ht="27.75" customHeight="1" s="101">
      <c r="A16" s="67" t="inlineStr">
        <is>
          <t>Soil Type</t>
        </is>
      </c>
      <c r="B16" s="67" t="inlineStr">
        <is>
          <t>Dominant soil series per barangay</t>
        </is>
      </c>
      <c r="C16" s="67" t="inlineStr">
        <is>
          <t>Binalonan LGU Geography Page / NAMRIA / DENR Dagupan</t>
        </is>
      </c>
    </row>
    <row r="17" ht="27.75" customHeight="1" s="101">
      <c r="A17" s="66" t="inlineStr">
        <is>
          <t>Terrain Type</t>
        </is>
      </c>
      <c r="B17" s="66" t="inlineStr">
        <is>
          <t>Land topography per barangay (flat/lowland or sloping/highland)</t>
        </is>
      </c>
      <c r="C17" s="66" t="inlineStr">
        <is>
          <t>NAMRIA topographic data / Binalonan LGU</t>
        </is>
      </c>
    </row>
    <row r="18" ht="27.75" customHeight="1" s="101">
      <c r="A18" s="67" t="inlineStr">
        <is>
          <t>Elevation (m asl)</t>
        </is>
      </c>
      <c r="B18" s="67" t="inlineStr">
        <is>
          <t>Average elevation above sea level in meters</t>
        </is>
      </c>
      <c r="C18" s="67" t="inlineStr">
        <is>
          <t>NAMRIA / Binalonan LGU</t>
        </is>
      </c>
    </row>
    <row r="19" ht="27.75" customHeight="1" s="101">
      <c r="A19" s="66" t="inlineStr">
        <is>
          <t>Nearest Water Body</t>
        </is>
      </c>
      <c r="B19" s="66" t="inlineStr">
        <is>
          <t>Nearest river or creek within or adjacent to the barangay</t>
        </is>
      </c>
      <c r="C19" s="66" t="inlineStr">
        <is>
          <t>Binalonan LGU Water Resources data</t>
        </is>
      </c>
    </row>
    <row r="20" ht="27.75" customHeight="1" s="101">
      <c r="A20" s="67" t="inlineStr">
        <is>
          <t>Land Size (ha)</t>
        </is>
      </c>
      <c r="B20" s="67" t="inlineStr">
        <is>
          <t>Total barangay land area in hectares</t>
        </is>
      </c>
      <c r="C20" s="67" t="inlineStr">
        <is>
          <t>Binalonan Municipal Assessor &amp; MPDC / LGU Official Records (2019)</t>
        </is>
      </c>
    </row>
    <row r="21" ht="27.75" customHeight="1" s="101">
      <c r="A21" s="66" t="inlineStr">
        <is>
          <t>Irrigated Area (ha)</t>
        </is>
      </c>
      <c r="B21" s="66" t="inlineStr">
        <is>
          <t>Area planted under irrigation (hectares)</t>
        </is>
      </c>
      <c r="C21" s="66" t="inlineStr">
        <is>
          <t>Binalonan Municipal Agriculture Office – Weekly/Season reports</t>
        </is>
      </c>
    </row>
    <row r="22" ht="27.75" customHeight="1" s="101">
      <c r="A22" s="67" t="inlineStr">
        <is>
          <t>Rainfed Area (ha)</t>
        </is>
      </c>
      <c r="B22" s="67" t="inlineStr">
        <is>
          <t>Area planted under rainfed conditions (hectares)</t>
        </is>
      </c>
      <c r="C22" s="67" t="inlineStr">
        <is>
          <t>Binalonan Municipal Agriculture Office – Weekly/Season reports</t>
        </is>
      </c>
    </row>
    <row r="23" ht="27.75" customHeight="1" s="101">
      <c r="A23" s="66" t="inlineStr">
        <is>
          <t>Total Area Planted (ha)</t>
        </is>
      </c>
      <c r="B23" s="66" t="inlineStr">
        <is>
          <t>Total area planted (irrigated + rainfed) in hectares</t>
        </is>
      </c>
      <c r="C23" s="66" t="inlineStr">
        <is>
          <t>Binalonan MAO / computed</t>
        </is>
      </c>
    </row>
    <row r="24" ht="27.75" customHeight="1" s="101">
      <c r="A24" s="67" t="inlineStr">
        <is>
          <t>Area Harvested (ha)</t>
        </is>
      </c>
      <c r="B24" s="67" t="inlineStr">
        <is>
          <t>Area actually harvested in hectares</t>
        </is>
      </c>
      <c r="C24" s="67" t="inlineStr">
        <is>
          <t>Binalonan Municipal Agriculture Office – Harvest reports</t>
        </is>
      </c>
    </row>
    <row r="25" ht="27.75" customHeight="1" s="101">
      <c r="A25" s="66" t="inlineStr">
        <is>
          <t>Production (MT)</t>
        </is>
      </c>
      <c r="B25" s="66" t="inlineStr">
        <is>
          <t>Total crop production in metric tons</t>
        </is>
      </c>
      <c r="C25" s="66" t="inlineStr">
        <is>
          <t>Binalonan Municipal Agriculture Office – Harvest reports</t>
        </is>
      </c>
    </row>
    <row r="26" ht="27.75" customHeight="1" s="101">
      <c r="A26" s="67" t="inlineStr">
        <is>
          <t>Yield (MT/ha)</t>
        </is>
      </c>
      <c r="B26" s="67" t="inlineStr">
        <is>
          <t>Average yield per hectare (Production ÷ Area Harvested)</t>
        </is>
      </c>
      <c r="C26" s="67" t="inlineStr">
        <is>
          <t>Computed / reported</t>
        </is>
      </c>
    </row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K1"/>
    </sheetView>
  </sheetViews>
  <sheetFormatPr baseColWidth="8" defaultColWidth="8.6640625" defaultRowHeight="14.4"/>
  <cols>
    <col width="22" customWidth="1" style="101" min="1" max="1"/>
    <col width="13" customWidth="1" style="101" min="2" max="63"/>
  </cols>
  <sheetData>
    <row r="1" ht="25.5" customHeight="1" s="101">
      <c r="A1" s="119" t="inlineStr">
        <is>
          <t>Binalonan, Pangasinan – Rice &amp; Corn Area Planted (ha) by Barangay, Season and Year</t>
        </is>
      </c>
    </row>
    <row r="2" ht="18" customHeight="1" s="101">
      <c r="A2" s="115" t="inlineStr">
        <is>
          <t>Barangay</t>
        </is>
      </c>
      <c r="B2" s="114" t="inlineStr">
        <is>
          <t>DS 2007-2008</t>
        </is>
      </c>
      <c r="C2" s="112" t="n"/>
      <c r="D2" s="113" t="n"/>
      <c r="E2" s="114" t="inlineStr">
        <is>
          <t>DS 2008-2009</t>
        </is>
      </c>
      <c r="F2" s="112" t="n"/>
      <c r="G2" s="113" t="n"/>
      <c r="H2" s="114" t="inlineStr">
        <is>
          <t>DS 2009-2010</t>
        </is>
      </c>
      <c r="I2" s="112" t="n"/>
      <c r="J2" s="113" t="n"/>
      <c r="K2" s="114" t="inlineStr">
        <is>
          <t>DS 2011-2012</t>
        </is>
      </c>
      <c r="L2" s="112" t="n"/>
      <c r="M2" s="113" t="n"/>
      <c r="N2" s="114" t="inlineStr">
        <is>
          <t>DS 2012-2013</t>
        </is>
      </c>
      <c r="O2" s="112" t="n"/>
      <c r="P2" s="113" t="n"/>
      <c r="Q2" s="114" t="inlineStr">
        <is>
          <t>DS 2013-2014</t>
        </is>
      </c>
      <c r="R2" s="112" t="n"/>
      <c r="S2" s="113" t="n"/>
      <c r="T2" s="114" t="inlineStr">
        <is>
          <t>DS 2018-2019</t>
        </is>
      </c>
      <c r="U2" s="112" t="n"/>
      <c r="V2" s="113" t="n"/>
      <c r="W2" s="114" t="inlineStr">
        <is>
          <t>DS 2019-2020</t>
        </is>
      </c>
      <c r="X2" s="112" t="n"/>
      <c r="Y2" s="113" t="n"/>
      <c r="Z2" s="114" t="inlineStr">
        <is>
          <t>DS 2021-2022</t>
        </is>
      </c>
      <c r="AA2" s="112" t="n"/>
      <c r="AB2" s="113" t="n"/>
      <c r="AC2" s="114" t="inlineStr">
        <is>
          <t>DS 2022-2023</t>
        </is>
      </c>
      <c r="AD2" s="112" t="n"/>
      <c r="AE2" s="113" t="n"/>
      <c r="AF2" s="122" t="inlineStr">
        <is>
          <t>DS 2020-2021</t>
        </is>
      </c>
      <c r="AG2" s="122" t="inlineStr">
        <is>
          <t>DS 2021-2022</t>
        </is>
      </c>
      <c r="AH2" s="122" t="inlineStr">
        <is>
          <t>DS 2022-2023</t>
        </is>
      </c>
      <c r="AI2" s="122" t="inlineStr">
        <is>
          <t>DS 2023-2024</t>
        </is>
      </c>
      <c r="AJ2" s="122" t="inlineStr">
        <is>
          <t>DS 2024-2025</t>
        </is>
      </c>
      <c r="AK2" s="120" t="inlineStr">
        <is>
          <t>WS 2015</t>
        </is>
      </c>
      <c r="AL2" s="112" t="n"/>
      <c r="AM2" s="113" t="n"/>
      <c r="AN2" s="120" t="inlineStr">
        <is>
          <t>WS 2016</t>
        </is>
      </c>
      <c r="AO2" s="112" t="n"/>
      <c r="AP2" s="113" t="n"/>
      <c r="AQ2" s="120" t="inlineStr">
        <is>
          <t>WS 2017</t>
        </is>
      </c>
      <c r="AR2" s="112" t="n"/>
      <c r="AS2" s="113" t="n"/>
      <c r="AT2" s="120" t="inlineStr">
        <is>
          <t>WS 2018</t>
        </is>
      </c>
      <c r="AU2" s="112" t="n"/>
      <c r="AV2" s="113" t="n"/>
      <c r="AW2" s="120" t="inlineStr">
        <is>
          <t>WS 2019</t>
        </is>
      </c>
      <c r="AX2" s="112" t="n"/>
      <c r="AY2" s="113" t="n"/>
      <c r="AZ2" s="120" t="inlineStr">
        <is>
          <t>WS 2020</t>
        </is>
      </c>
      <c r="BA2" s="112" t="n"/>
      <c r="BB2" s="113" t="n"/>
      <c r="BC2" s="120" t="inlineStr">
        <is>
          <t>WS 2021</t>
        </is>
      </c>
      <c r="BD2" s="112" t="n"/>
      <c r="BE2" s="113" t="n"/>
      <c r="BF2" s="120" t="inlineStr">
        <is>
          <t>WS 2022</t>
        </is>
      </c>
      <c r="BG2" s="112" t="n"/>
      <c r="BH2" s="113" t="n"/>
      <c r="BI2" s="120" t="inlineStr">
        <is>
          <t>WS 2023</t>
        </is>
      </c>
      <c r="BJ2" s="112" t="n"/>
      <c r="BK2" s="113" t="n"/>
    </row>
    <row r="3" ht="18" customHeight="1" s="101">
      <c r="A3" s="116" t="n"/>
      <c r="B3" s="118" t="inlineStr">
        <is>
          <t>Palay</t>
        </is>
      </c>
      <c r="C3" s="112" t="n"/>
      <c r="D3" s="113" t="n"/>
      <c r="E3" s="118" t="inlineStr">
        <is>
          <t>Palay</t>
        </is>
      </c>
      <c r="F3" s="112" t="n"/>
      <c r="G3" s="113" t="n"/>
      <c r="H3" s="118" t="inlineStr">
        <is>
          <t>Palay</t>
        </is>
      </c>
      <c r="I3" s="112" t="n"/>
      <c r="J3" s="113" t="n"/>
      <c r="K3" s="118" t="inlineStr">
        <is>
          <t>Palay</t>
        </is>
      </c>
      <c r="L3" s="112" t="n"/>
      <c r="M3" s="113" t="n"/>
      <c r="N3" s="118" t="inlineStr">
        <is>
          <t>Palay</t>
        </is>
      </c>
      <c r="O3" s="112" t="n"/>
      <c r="P3" s="113" t="n"/>
      <c r="Q3" s="118" t="inlineStr">
        <is>
          <t>Palay</t>
        </is>
      </c>
      <c r="R3" s="112" t="n"/>
      <c r="S3" s="113" t="n"/>
      <c r="T3" s="118" t="inlineStr">
        <is>
          <t>Palay</t>
        </is>
      </c>
      <c r="U3" s="112" t="n"/>
      <c r="V3" s="113" t="n"/>
      <c r="W3" s="118" t="inlineStr">
        <is>
          <t>Palay</t>
        </is>
      </c>
      <c r="X3" s="112" t="n"/>
      <c r="Y3" s="113" t="n"/>
      <c r="Z3" s="118" t="inlineStr">
        <is>
          <t>Palay</t>
        </is>
      </c>
      <c r="AA3" s="112" t="n"/>
      <c r="AB3" s="113" t="n"/>
      <c r="AC3" s="118" t="inlineStr">
        <is>
          <t>Palay</t>
        </is>
      </c>
      <c r="AD3" s="112" t="n"/>
      <c r="AE3" s="113" t="n"/>
      <c r="AF3" s="121" t="inlineStr">
        <is>
          <t>Corn</t>
        </is>
      </c>
      <c r="AG3" s="121" t="inlineStr">
        <is>
          <t>Corn</t>
        </is>
      </c>
      <c r="AH3" s="121" t="inlineStr">
        <is>
          <t>Corn</t>
        </is>
      </c>
      <c r="AI3" s="121" t="inlineStr">
        <is>
          <t>Corn</t>
        </is>
      </c>
      <c r="AJ3" s="121" t="inlineStr">
        <is>
          <t>Corn</t>
        </is>
      </c>
      <c r="AK3" s="111" t="inlineStr">
        <is>
          <t>Palay</t>
        </is>
      </c>
      <c r="AL3" s="112" t="n"/>
      <c r="AM3" s="113" t="n"/>
      <c r="AN3" s="111" t="inlineStr">
        <is>
          <t>Palay</t>
        </is>
      </c>
      <c r="AO3" s="112" t="n"/>
      <c r="AP3" s="113" t="n"/>
      <c r="AQ3" s="111" t="inlineStr">
        <is>
          <t>Palay</t>
        </is>
      </c>
      <c r="AR3" s="112" t="n"/>
      <c r="AS3" s="113" t="n"/>
      <c r="AT3" s="111" t="inlineStr">
        <is>
          <t>Palay</t>
        </is>
      </c>
      <c r="AU3" s="112" t="n"/>
      <c r="AV3" s="113" t="n"/>
      <c r="AW3" s="111" t="inlineStr">
        <is>
          <t>Palay</t>
        </is>
      </c>
      <c r="AX3" s="112" t="n"/>
      <c r="AY3" s="113" t="n"/>
      <c r="AZ3" s="111" t="inlineStr">
        <is>
          <t>Palay</t>
        </is>
      </c>
      <c r="BA3" s="112" t="n"/>
      <c r="BB3" s="113" t="n"/>
      <c r="BC3" s="111" t="inlineStr">
        <is>
          <t>Palay</t>
        </is>
      </c>
      <c r="BD3" s="112" t="n"/>
      <c r="BE3" s="113" t="n"/>
      <c r="BF3" s="111" t="inlineStr">
        <is>
          <t>Palay</t>
        </is>
      </c>
      <c r="BG3" s="112" t="n"/>
      <c r="BH3" s="113" t="n"/>
      <c r="BI3" s="111" t="inlineStr">
        <is>
          <t>Palay</t>
        </is>
      </c>
      <c r="BJ3" s="112" t="n"/>
      <c r="BK3" s="113" t="n"/>
    </row>
    <row r="4" ht="30" customHeight="1" s="101">
      <c r="A4" s="117" t="n"/>
      <c r="B4" s="118" t="inlineStr">
        <is>
          <t>Irrigated
(ha)</t>
        </is>
      </c>
      <c r="C4" s="118" t="inlineStr">
        <is>
          <t>Rainfed
(ha)</t>
        </is>
      </c>
      <c r="D4" s="118" t="inlineStr">
        <is>
          <t>Total
(ha)</t>
        </is>
      </c>
      <c r="E4" s="118" t="inlineStr">
        <is>
          <t>Irrigated
(ha)</t>
        </is>
      </c>
      <c r="F4" s="118" t="inlineStr">
        <is>
          <t>Rainfed
(ha)</t>
        </is>
      </c>
      <c r="G4" s="118" t="inlineStr">
        <is>
          <t>Total
(ha)</t>
        </is>
      </c>
      <c r="H4" s="118" t="inlineStr">
        <is>
          <t>Irrigated
(ha)</t>
        </is>
      </c>
      <c r="I4" s="118" t="inlineStr">
        <is>
          <t>Rainfed
(ha)</t>
        </is>
      </c>
      <c r="J4" s="118" t="inlineStr">
        <is>
          <t>Total
(ha)</t>
        </is>
      </c>
      <c r="K4" s="118" t="inlineStr">
        <is>
          <t>Irrigated
(ha)</t>
        </is>
      </c>
      <c r="L4" s="118" t="inlineStr">
        <is>
          <t>Rainfed
(ha)</t>
        </is>
      </c>
      <c r="M4" s="118" t="inlineStr">
        <is>
          <t>Total
(ha)</t>
        </is>
      </c>
      <c r="N4" s="118" t="inlineStr">
        <is>
          <t>Irrigated
(ha)</t>
        </is>
      </c>
      <c r="O4" s="118" t="inlineStr">
        <is>
          <t>Rainfed
(ha)</t>
        </is>
      </c>
      <c r="P4" s="118" t="inlineStr">
        <is>
          <t>Total
(ha)</t>
        </is>
      </c>
      <c r="Q4" s="118" t="inlineStr">
        <is>
          <t>Irrigated
(ha)</t>
        </is>
      </c>
      <c r="R4" s="118" t="inlineStr">
        <is>
          <t>Rainfed
(ha)</t>
        </is>
      </c>
      <c r="S4" s="118" t="inlineStr">
        <is>
          <t>Total
(ha)</t>
        </is>
      </c>
      <c r="T4" s="118" t="inlineStr">
        <is>
          <t>Irrigated
(ha)</t>
        </is>
      </c>
      <c r="U4" s="118" t="inlineStr">
        <is>
          <t>Rainfed
(ha)</t>
        </is>
      </c>
      <c r="V4" s="118" t="inlineStr">
        <is>
          <t>Total
(ha)</t>
        </is>
      </c>
      <c r="W4" s="118" t="inlineStr">
        <is>
          <t>Irrigated
(ha)</t>
        </is>
      </c>
      <c r="X4" s="118" t="inlineStr">
        <is>
          <t>Rainfed
(ha)</t>
        </is>
      </c>
      <c r="Y4" s="118" t="inlineStr">
        <is>
          <t>Total
(ha)</t>
        </is>
      </c>
      <c r="Z4" s="118" t="inlineStr">
        <is>
          <t>Irrigated
(ha)</t>
        </is>
      </c>
      <c r="AA4" s="118" t="inlineStr">
        <is>
          <t>Rainfed
(ha)</t>
        </is>
      </c>
      <c r="AB4" s="118" t="inlineStr">
        <is>
          <t>Total
(ha)</t>
        </is>
      </c>
      <c r="AC4" s="118" t="inlineStr">
        <is>
          <t>Irrigated
(ha)</t>
        </is>
      </c>
      <c r="AD4" s="118" t="inlineStr">
        <is>
          <t>Rainfed
(ha)</t>
        </is>
      </c>
      <c r="AE4" s="118" t="inlineStr">
        <is>
          <t>Total
(ha)</t>
        </is>
      </c>
      <c r="AF4" s="121" t="inlineStr">
        <is>
          <t>Area Planted
(ha)</t>
        </is>
      </c>
      <c r="AG4" s="121" t="inlineStr">
        <is>
          <t>Area Planted
(ha)</t>
        </is>
      </c>
      <c r="AH4" s="121" t="inlineStr">
        <is>
          <t>Area Planted
(ha)</t>
        </is>
      </c>
      <c r="AI4" s="121" t="inlineStr">
        <is>
          <t>Area Planted
(ha)</t>
        </is>
      </c>
      <c r="AJ4" s="121" t="inlineStr">
        <is>
          <t>Area Planted
(ha)</t>
        </is>
      </c>
      <c r="AK4" s="111" t="inlineStr">
        <is>
          <t>Irrigated
(ha)</t>
        </is>
      </c>
      <c r="AL4" s="111" t="inlineStr">
        <is>
          <t>Rainfed
(ha)</t>
        </is>
      </c>
      <c r="AM4" s="111" t="inlineStr">
        <is>
          <t>Total
(ha)</t>
        </is>
      </c>
      <c r="AN4" s="111" t="inlineStr">
        <is>
          <t>Irrigated
(ha)</t>
        </is>
      </c>
      <c r="AO4" s="111" t="inlineStr">
        <is>
          <t>Rainfed
(ha)</t>
        </is>
      </c>
      <c r="AP4" s="111" t="inlineStr">
        <is>
          <t>Total
(ha)</t>
        </is>
      </c>
      <c r="AQ4" s="111" t="inlineStr">
        <is>
          <t>Irrigated
(ha)</t>
        </is>
      </c>
      <c r="AR4" s="111" t="inlineStr">
        <is>
          <t>Rainfed
(ha)</t>
        </is>
      </c>
      <c r="AS4" s="111" t="inlineStr">
        <is>
          <t>Total
(ha)</t>
        </is>
      </c>
      <c r="AT4" s="111" t="inlineStr">
        <is>
          <t>Irrigated
(ha)</t>
        </is>
      </c>
      <c r="AU4" s="111" t="inlineStr">
        <is>
          <t>Rainfed
(ha)</t>
        </is>
      </c>
      <c r="AV4" s="111" t="inlineStr">
        <is>
          <t>Total
(ha)</t>
        </is>
      </c>
      <c r="AW4" s="111" t="inlineStr">
        <is>
          <t>Irrigated
(ha)</t>
        </is>
      </c>
      <c r="AX4" s="111" t="inlineStr">
        <is>
          <t>Rainfed
(ha)</t>
        </is>
      </c>
      <c r="AY4" s="111" t="inlineStr">
        <is>
          <t>Total
(ha)</t>
        </is>
      </c>
      <c r="AZ4" s="111" t="inlineStr">
        <is>
          <t>Irrigated
(ha)</t>
        </is>
      </c>
      <c r="BA4" s="111" t="inlineStr">
        <is>
          <t>Rainfed
(ha)</t>
        </is>
      </c>
      <c r="BB4" s="111" t="inlineStr">
        <is>
          <t>Total
(ha)</t>
        </is>
      </c>
      <c r="BC4" s="111" t="inlineStr">
        <is>
          <t>Irrigated
(ha)</t>
        </is>
      </c>
      <c r="BD4" s="111" t="inlineStr">
        <is>
          <t>Rainfed
(ha)</t>
        </is>
      </c>
      <c r="BE4" s="111" t="inlineStr">
        <is>
          <t>Total
(ha)</t>
        </is>
      </c>
      <c r="BF4" s="111" t="inlineStr">
        <is>
          <t>Irrigated
(ha)</t>
        </is>
      </c>
      <c r="BG4" s="111" t="inlineStr">
        <is>
          <t>Rainfed
(ha)</t>
        </is>
      </c>
      <c r="BH4" s="111" t="inlineStr">
        <is>
          <t>Total
(ha)</t>
        </is>
      </c>
      <c r="BI4" s="111" t="inlineStr">
        <is>
          <t>Irrigated
(ha)</t>
        </is>
      </c>
      <c r="BJ4" s="111" t="inlineStr">
        <is>
          <t>Rainfed
(ha)</t>
        </is>
      </c>
      <c r="BK4" s="111" t="inlineStr">
        <is>
          <t>Total
(ha)</t>
        </is>
      </c>
    </row>
    <row r="5" ht="15" customHeight="1" s="101">
      <c r="A5" s="72" t="inlineStr">
        <is>
          <t>Pasileng Norte</t>
        </is>
      </c>
      <c r="B5" s="73" t="n">
        <v>6</v>
      </c>
      <c r="C5" s="73" t="n">
        <v>26.4</v>
      </c>
      <c r="D5" s="73" t="n">
        <v>69</v>
      </c>
      <c r="E5" s="73" t="n">
        <v>9.34</v>
      </c>
      <c r="F5" s="73" t="n">
        <v>26.4</v>
      </c>
      <c r="G5" s="73" t="n">
        <v>74.5</v>
      </c>
      <c r="H5" s="73" t="n">
        <v>2</v>
      </c>
      <c r="I5" s="73" t="n">
        <v>26.4</v>
      </c>
      <c r="J5" s="73" t="n">
        <v>86</v>
      </c>
      <c r="K5" s="73" t="n">
        <v>2</v>
      </c>
      <c r="L5" s="73" t="n">
        <v>26.4</v>
      </c>
      <c r="M5" s="73" t="n">
        <v>74</v>
      </c>
      <c r="N5" s="73" t="n">
        <v>2</v>
      </c>
      <c r="O5" s="73" t="n">
        <v>26.4</v>
      </c>
      <c r="P5" s="73" t="n">
        <v>74</v>
      </c>
      <c r="Q5" s="73" t="n">
        <v>5</v>
      </c>
      <c r="R5" s="73" t="n">
        <v>26.4</v>
      </c>
      <c r="S5" s="73" t="n">
        <v>75</v>
      </c>
      <c r="T5" s="73" t="n">
        <v>2</v>
      </c>
      <c r="U5" s="73" t="n">
        <v>26.4</v>
      </c>
      <c r="V5" s="73" t="n">
        <v>65</v>
      </c>
      <c r="W5" s="73" t="n">
        <v>1.85</v>
      </c>
      <c r="X5" s="73" t="n">
        <v>20.7</v>
      </c>
      <c r="Y5" s="73" t="n">
        <v>65</v>
      </c>
      <c r="Z5" s="73" t="n">
        <v>0.6</v>
      </c>
      <c r="AA5" s="73" t="n">
        <v>26.4</v>
      </c>
      <c r="AB5" s="73" t="n">
        <v>0.6</v>
      </c>
      <c r="AC5" s="73" t="n">
        <v>19.55</v>
      </c>
      <c r="AD5" s="73" t="n">
        <v>20.7</v>
      </c>
      <c r="AE5" s="73" t="n">
        <v>75</v>
      </c>
      <c r="AF5" s="73" t="n">
        <v>35.8</v>
      </c>
      <c r="AG5" s="73" t="n">
        <v>36.55</v>
      </c>
      <c r="AH5" s="73" t="n">
        <v>36.4</v>
      </c>
      <c r="AI5" s="73" t="n">
        <v>42.7</v>
      </c>
      <c r="AJ5" s="73" t="n">
        <v>44.51</v>
      </c>
      <c r="AK5" s="73" t="n">
        <v>2</v>
      </c>
      <c r="AL5" s="73" t="n">
        <v>19.81</v>
      </c>
      <c r="AM5" s="73" t="n">
        <v>81</v>
      </c>
      <c r="AN5" s="73" t="n">
        <v>78.34999999999999</v>
      </c>
      <c r="AO5" s="73" t="n">
        <v>2.65</v>
      </c>
      <c r="AP5" s="73" t="n">
        <v>81</v>
      </c>
      <c r="AQ5" s="73" t="n">
        <v>78.34999999999999</v>
      </c>
      <c r="AR5" s="73" t="n">
        <v>2.65</v>
      </c>
      <c r="AS5" s="73" t="n">
        <v>81</v>
      </c>
      <c r="AT5" s="73" t="n">
        <v>78.34999999999999</v>
      </c>
      <c r="AU5" s="73" t="n">
        <v>2.65</v>
      </c>
      <c r="AV5" s="73" t="n">
        <v>81</v>
      </c>
      <c r="AW5" s="73" t="n">
        <v>78.34999999999999</v>
      </c>
      <c r="AX5" s="73" t="n">
        <v>2.65</v>
      </c>
      <c r="AY5" s="73" t="n">
        <v>81</v>
      </c>
      <c r="AZ5" s="73" t="n">
        <v>78.34999999999999</v>
      </c>
      <c r="BA5" s="73" t="n">
        <v>2.65</v>
      </c>
      <c r="BB5" s="73" t="n">
        <v>81</v>
      </c>
      <c r="BC5" s="73" t="n">
        <v>78.34999999999999</v>
      </c>
      <c r="BD5" s="73" t="n">
        <v>2.65</v>
      </c>
      <c r="BE5" s="73" t="n">
        <v>81</v>
      </c>
      <c r="BF5" s="73" t="n">
        <v>78.34999999999999</v>
      </c>
      <c r="BG5" s="73" t="n">
        <v>2.65</v>
      </c>
      <c r="BH5" s="73" t="n">
        <v>81</v>
      </c>
      <c r="BI5" s="73" t="n">
        <v>65.5</v>
      </c>
      <c r="BJ5" s="73" t="n">
        <v>25.35</v>
      </c>
      <c r="BK5" s="73" t="n">
        <v>2.65</v>
      </c>
    </row>
    <row r="6" ht="15" customHeight="1" s="101">
      <c r="A6" s="74" t="inlineStr">
        <is>
          <t>Tabuyoc</t>
        </is>
      </c>
      <c r="B6" s="75" t="n">
        <v>10</v>
      </c>
      <c r="C6" s="75" t="n">
        <v>81.66</v>
      </c>
      <c r="D6" s="75" t="n">
        <v>59</v>
      </c>
      <c r="E6" s="75" t="n">
        <v>2</v>
      </c>
      <c r="F6" s="75" t="n">
        <v>81.66</v>
      </c>
      <c r="G6" s="75" t="n">
        <v>126.9</v>
      </c>
      <c r="H6" s="75" t="n">
        <v>2</v>
      </c>
      <c r="I6" s="75" t="n">
        <v>81.66</v>
      </c>
      <c r="J6" s="75" t="n">
        <v>2</v>
      </c>
      <c r="K6" s="75" t="n">
        <v>7</v>
      </c>
      <c r="L6" s="75" t="n">
        <v>81.66</v>
      </c>
      <c r="M6" s="75" t="n">
        <v>125</v>
      </c>
      <c r="N6" s="75" t="n">
        <v>1</v>
      </c>
      <c r="O6" s="75" t="n">
        <v>81.66</v>
      </c>
      <c r="P6" s="75" t="n">
        <v>121</v>
      </c>
      <c r="Q6" s="75" t="n">
        <v>2</v>
      </c>
      <c r="R6" s="75" t="n">
        <v>81.66</v>
      </c>
      <c r="S6" s="75" t="n">
        <v>125</v>
      </c>
      <c r="T6" s="75" t="n">
        <v>2</v>
      </c>
      <c r="U6" s="75" t="n">
        <v>61.34</v>
      </c>
      <c r="V6" s="75" t="n">
        <v>110</v>
      </c>
      <c r="W6" s="75" t="n">
        <v>1.55</v>
      </c>
      <c r="X6" s="75" t="n">
        <v>55.64</v>
      </c>
      <c r="Y6" s="75" t="n">
        <v>110</v>
      </c>
      <c r="Z6" s="75" t="n">
        <v>0.8</v>
      </c>
      <c r="AA6" s="75" t="n">
        <v>44.8</v>
      </c>
      <c r="AB6" s="75" t="n">
        <v>0.8</v>
      </c>
      <c r="AC6" s="75" t="n">
        <v>1.36</v>
      </c>
      <c r="AD6" s="75" t="n">
        <v>44.8</v>
      </c>
      <c r="AE6" s="75" t="n">
        <v>130</v>
      </c>
      <c r="AF6" s="75" t="n">
        <v>55.45</v>
      </c>
      <c r="AG6" s="75" t="n">
        <v>56.61</v>
      </c>
      <c r="AH6" s="75" t="n">
        <v>56.37</v>
      </c>
      <c r="AI6" s="75" t="n">
        <v>66.12</v>
      </c>
      <c r="AJ6" s="75" t="n">
        <v>68.93000000000001</v>
      </c>
      <c r="AK6" s="75" t="n">
        <v>130.4</v>
      </c>
      <c r="AL6" s="75" t="n">
        <v>5</v>
      </c>
      <c r="AM6" s="75" t="n">
        <v>139</v>
      </c>
      <c r="AN6" s="75" t="n">
        <v>134</v>
      </c>
      <c r="AO6" s="75" t="n">
        <v>5</v>
      </c>
      <c r="AP6" s="75" t="n">
        <v>139</v>
      </c>
      <c r="AQ6" s="75" t="n">
        <v>134</v>
      </c>
      <c r="AR6" s="75" t="n">
        <v>5</v>
      </c>
      <c r="AS6" s="75" t="n">
        <v>139</v>
      </c>
      <c r="AT6" s="75" t="n">
        <v>134</v>
      </c>
      <c r="AU6" s="75" t="n">
        <v>5</v>
      </c>
      <c r="AV6" s="75" t="n">
        <v>139</v>
      </c>
      <c r="AW6" s="75" t="n">
        <v>134</v>
      </c>
      <c r="AX6" s="75" t="n">
        <v>5</v>
      </c>
      <c r="AY6" s="75" t="n">
        <v>139</v>
      </c>
      <c r="AZ6" s="75" t="n">
        <v>134</v>
      </c>
      <c r="BA6" s="75" t="n">
        <v>5</v>
      </c>
      <c r="BB6" s="75" t="n">
        <v>139</v>
      </c>
      <c r="BC6" s="75" t="n">
        <v>134</v>
      </c>
      <c r="BD6" s="75" t="n">
        <v>5</v>
      </c>
      <c r="BE6" s="75" t="n">
        <v>139</v>
      </c>
      <c r="BF6" s="75" t="n">
        <v>134</v>
      </c>
      <c r="BG6" s="75" t="n">
        <v>5</v>
      </c>
      <c r="BH6" s="75" t="n">
        <v>139</v>
      </c>
      <c r="BI6" s="75" t="n">
        <v>130.4</v>
      </c>
      <c r="BJ6" s="75" t="n">
        <v>80.19</v>
      </c>
      <c r="BK6" s="75" t="n">
        <v>5</v>
      </c>
    </row>
    <row r="7" ht="15" customHeight="1" s="101">
      <c r="A7" s="72" t="inlineStr">
        <is>
          <t>Bued</t>
        </is>
      </c>
      <c r="B7" s="73" t="n">
        <v>2</v>
      </c>
      <c r="C7" s="73" t="n">
        <v>35.32</v>
      </c>
      <c r="D7" s="73" t="n">
        <v>34.1</v>
      </c>
      <c r="E7" s="73" t="n">
        <v>2</v>
      </c>
      <c r="F7" s="73" t="n">
        <v>35.32</v>
      </c>
      <c r="G7" s="73" t="n">
        <v>37.89</v>
      </c>
      <c r="H7" s="73" t="n"/>
      <c r="I7" s="73" t="n"/>
      <c r="J7" s="73" t="n"/>
      <c r="K7" s="73" t="n">
        <v>2</v>
      </c>
      <c r="L7" s="73" t="n">
        <v>35.32</v>
      </c>
      <c r="M7" s="73" t="n">
        <v>105.4</v>
      </c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>
        <v>41.88</v>
      </c>
      <c r="AG7" s="73" t="n">
        <v>42.76</v>
      </c>
      <c r="AH7" s="73" t="n">
        <v>42.58</v>
      </c>
      <c r="AI7" s="73" t="n">
        <v>49.95</v>
      </c>
      <c r="AJ7" s="73" t="n">
        <v>52.07</v>
      </c>
      <c r="AK7" s="73" t="n">
        <v>50.8</v>
      </c>
      <c r="AL7" s="73" t="n">
        <v>20</v>
      </c>
      <c r="AM7" s="73" t="n">
        <v>94</v>
      </c>
      <c r="AN7" s="73" t="n">
        <v>56.5</v>
      </c>
      <c r="AO7" s="73" t="n">
        <v>37.5</v>
      </c>
      <c r="AP7" s="73" t="n">
        <v>94</v>
      </c>
      <c r="AQ7" s="73" t="n">
        <v>56.5</v>
      </c>
      <c r="AR7" s="73" t="n">
        <v>37.5</v>
      </c>
      <c r="AS7" s="73" t="n">
        <v>94</v>
      </c>
      <c r="AT7" s="73" t="n">
        <v>56.5</v>
      </c>
      <c r="AU7" s="73" t="n">
        <v>37.5</v>
      </c>
      <c r="AV7" s="73" t="n">
        <v>94</v>
      </c>
      <c r="AW7" s="73" t="n">
        <v>56.5</v>
      </c>
      <c r="AX7" s="73" t="n">
        <v>37.5</v>
      </c>
      <c r="AY7" s="73" t="n">
        <v>94</v>
      </c>
      <c r="AZ7" s="73" t="n">
        <v>56.5</v>
      </c>
      <c r="BA7" s="73" t="n">
        <v>37.5</v>
      </c>
      <c r="BB7" s="73" t="n">
        <v>94</v>
      </c>
      <c r="BC7" s="73" t="n">
        <v>56.5</v>
      </c>
      <c r="BD7" s="73" t="n">
        <v>37.5</v>
      </c>
      <c r="BE7" s="73" t="n">
        <v>94</v>
      </c>
      <c r="BF7" s="73" t="n">
        <v>56.5</v>
      </c>
      <c r="BG7" s="73" t="n">
        <v>37.5</v>
      </c>
      <c r="BH7" s="73" t="n">
        <v>94</v>
      </c>
      <c r="BI7" s="73" t="n">
        <v>83.58</v>
      </c>
      <c r="BJ7" s="73" t="n">
        <v>41.18</v>
      </c>
      <c r="BK7" s="73" t="n">
        <v>37.5</v>
      </c>
    </row>
    <row r="8" ht="15" customHeight="1" s="101">
      <c r="A8" s="74" t="inlineStr">
        <is>
          <t>Dumayat</t>
        </is>
      </c>
      <c r="B8" s="75" t="n">
        <v>2</v>
      </c>
      <c r="C8" s="75" t="n">
        <v>35.32</v>
      </c>
      <c r="D8" s="75" t="n">
        <v>12.25</v>
      </c>
      <c r="E8" s="75" t="n">
        <v>2</v>
      </c>
      <c r="F8" s="75" t="n">
        <v>35.32</v>
      </c>
      <c r="G8" s="75" t="n">
        <v>12.25</v>
      </c>
      <c r="H8" s="75" t="n"/>
      <c r="I8" s="75" t="n"/>
      <c r="J8" s="75" t="n"/>
      <c r="K8" s="75" t="n">
        <v>2</v>
      </c>
      <c r="L8" s="75" t="n">
        <v>35.32</v>
      </c>
      <c r="M8" s="75" t="n">
        <v>12.25</v>
      </c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>
        <v>32.69</v>
      </c>
      <c r="AG8" s="75" t="n">
        <v>33.38</v>
      </c>
      <c r="AH8" s="75" t="n">
        <v>33.24</v>
      </c>
      <c r="AI8" s="75" t="n">
        <v>38.99</v>
      </c>
      <c r="AJ8" s="75" t="n">
        <v>40.64</v>
      </c>
      <c r="AK8" s="75" t="n">
        <v>42.88</v>
      </c>
      <c r="AL8" s="75" t="n">
        <v>16</v>
      </c>
      <c r="AM8" s="75" t="n">
        <v>86</v>
      </c>
      <c r="AN8" s="75" t="n">
        <v>56</v>
      </c>
      <c r="AO8" s="75" t="n">
        <v>30</v>
      </c>
      <c r="AP8" s="75" t="n">
        <v>86</v>
      </c>
      <c r="AQ8" s="75" t="n">
        <v>56</v>
      </c>
      <c r="AR8" s="75" t="n">
        <v>30</v>
      </c>
      <c r="AS8" s="75" t="n">
        <v>86</v>
      </c>
      <c r="AT8" s="75" t="n">
        <v>56</v>
      </c>
      <c r="AU8" s="75" t="n">
        <v>30</v>
      </c>
      <c r="AV8" s="75" t="n">
        <v>86</v>
      </c>
      <c r="AW8" s="75" t="n">
        <v>56</v>
      </c>
      <c r="AX8" s="75" t="n">
        <v>30</v>
      </c>
      <c r="AY8" s="75" t="n">
        <v>86</v>
      </c>
      <c r="AZ8" s="75" t="n">
        <v>56</v>
      </c>
      <c r="BA8" s="75" t="n">
        <v>30</v>
      </c>
      <c r="BB8" s="75" t="n">
        <v>86</v>
      </c>
      <c r="BC8" s="75" t="n">
        <v>56</v>
      </c>
      <c r="BD8" s="75" t="n">
        <v>30</v>
      </c>
      <c r="BE8" s="75" t="n">
        <v>86</v>
      </c>
      <c r="BF8" s="75" t="n">
        <v>56</v>
      </c>
      <c r="BG8" s="75" t="n">
        <v>30</v>
      </c>
      <c r="BH8" s="75" t="n">
        <v>86</v>
      </c>
      <c r="BI8" s="75" t="n">
        <v>48.74</v>
      </c>
      <c r="BJ8" s="75" t="n">
        <v>42.94</v>
      </c>
      <c r="BK8" s="75" t="n">
        <v>30</v>
      </c>
    </row>
    <row r="9" ht="15" customHeight="1" s="101">
      <c r="A9" s="72" t="inlineStr">
        <is>
          <t>Camanggaan</t>
        </is>
      </c>
      <c r="B9" s="73" t="n">
        <v>5.43</v>
      </c>
      <c r="C9" s="73" t="n">
        <v>52.42</v>
      </c>
      <c r="D9" s="73" t="n">
        <v>38.83</v>
      </c>
      <c r="E9" s="73" t="n">
        <v>2</v>
      </c>
      <c r="F9" s="73" t="n">
        <v>52.42</v>
      </c>
      <c r="G9" s="73" t="n">
        <v>13</v>
      </c>
      <c r="H9" s="73" t="n">
        <v>2</v>
      </c>
      <c r="I9" s="73" t="n">
        <v>52.42</v>
      </c>
      <c r="J9" s="73" t="n">
        <v>4</v>
      </c>
      <c r="K9" s="73" t="n">
        <v>2</v>
      </c>
      <c r="L9" s="73" t="n">
        <v>72.73999999999999</v>
      </c>
      <c r="M9" s="73" t="n">
        <v>10</v>
      </c>
      <c r="N9" s="73" t="n">
        <v>2</v>
      </c>
      <c r="O9" s="73" t="n">
        <v>72.73999999999999</v>
      </c>
      <c r="P9" s="73" t="n">
        <v>10</v>
      </c>
      <c r="Q9" s="73" t="n">
        <v>2</v>
      </c>
      <c r="R9" s="73" t="n">
        <v>72.73999999999999</v>
      </c>
      <c r="S9" s="73" t="n">
        <v>5</v>
      </c>
      <c r="T9" s="73" t="n">
        <v>2</v>
      </c>
      <c r="U9" s="73" t="n">
        <v>87.36</v>
      </c>
      <c r="V9" s="73" t="n">
        <v>22.63</v>
      </c>
      <c r="W9" s="73" t="n">
        <v>4.78</v>
      </c>
      <c r="X9" s="73" t="n">
        <v>87.36</v>
      </c>
      <c r="Y9" s="73" t="n">
        <v>7.25</v>
      </c>
      <c r="Z9" s="73" t="n">
        <v>2.85</v>
      </c>
      <c r="AA9" s="73" t="n">
        <v>101.98</v>
      </c>
      <c r="AB9" s="73" t="n">
        <v>2.85</v>
      </c>
      <c r="AC9" s="73" t="n">
        <v>4.72</v>
      </c>
      <c r="AD9" s="73" t="n">
        <v>116.6</v>
      </c>
      <c r="AE9" s="73" t="n">
        <v>7</v>
      </c>
      <c r="AF9" s="73" t="n">
        <v>24.2</v>
      </c>
      <c r="AG9" s="73" t="n">
        <v>24.71</v>
      </c>
      <c r="AH9" s="73" t="n">
        <v>24.6</v>
      </c>
      <c r="AI9" s="73" t="n">
        <v>28.86</v>
      </c>
      <c r="AJ9" s="73" t="n">
        <v>30.09</v>
      </c>
      <c r="AK9" s="73" t="n">
        <v>24.5</v>
      </c>
      <c r="AL9" s="73" t="n">
        <v>38</v>
      </c>
      <c r="AM9" s="73" t="n">
        <v>87</v>
      </c>
      <c r="AN9" s="73" t="n">
        <v>19</v>
      </c>
      <c r="AO9" s="73" t="n">
        <v>68</v>
      </c>
      <c r="AP9" s="73" t="n">
        <v>87</v>
      </c>
      <c r="AQ9" s="73" t="n">
        <v>19</v>
      </c>
      <c r="AR9" s="73" t="n">
        <v>68</v>
      </c>
      <c r="AS9" s="73" t="n">
        <v>87</v>
      </c>
      <c r="AT9" s="73" t="n">
        <v>19</v>
      </c>
      <c r="AU9" s="73" t="n">
        <v>68</v>
      </c>
      <c r="AV9" s="73" t="n">
        <v>87</v>
      </c>
      <c r="AW9" s="73" t="n">
        <v>19</v>
      </c>
      <c r="AX9" s="73" t="n">
        <v>68</v>
      </c>
      <c r="AY9" s="73" t="n">
        <v>87</v>
      </c>
      <c r="AZ9" s="73" t="n">
        <v>19</v>
      </c>
      <c r="BA9" s="73" t="n">
        <v>68</v>
      </c>
      <c r="BB9" s="73" t="n">
        <v>87</v>
      </c>
      <c r="BC9" s="73" t="n">
        <v>19</v>
      </c>
      <c r="BD9" s="73" t="n">
        <v>68</v>
      </c>
      <c r="BE9" s="73" t="n">
        <v>87</v>
      </c>
      <c r="BF9" s="73" t="n">
        <v>19</v>
      </c>
      <c r="BG9" s="73" t="n">
        <v>68</v>
      </c>
      <c r="BH9" s="73" t="n">
        <v>87</v>
      </c>
      <c r="BI9" s="73" t="n">
        <v>38.85</v>
      </c>
      <c r="BJ9" s="73" t="n">
        <v>134.09</v>
      </c>
      <c r="BK9" s="73" t="n">
        <v>68</v>
      </c>
    </row>
    <row r="10" ht="15" customHeight="1" s="101">
      <c r="A10" s="74" t="inlineStr">
        <is>
          <t>Vacante</t>
        </is>
      </c>
      <c r="B10" s="75" t="n">
        <v>20.06</v>
      </c>
      <c r="C10" s="75" t="n">
        <v>81.66</v>
      </c>
      <c r="D10" s="75" t="n">
        <v>33.83</v>
      </c>
      <c r="E10" s="75" t="n">
        <v>10.95</v>
      </c>
      <c r="F10" s="75" t="n">
        <v>81.66</v>
      </c>
      <c r="G10" s="75" t="n">
        <v>47.18</v>
      </c>
      <c r="H10" s="75" t="n"/>
      <c r="I10" s="75" t="n"/>
      <c r="J10" s="75" t="n"/>
      <c r="K10" s="75" t="n">
        <v>2</v>
      </c>
      <c r="L10" s="75" t="n">
        <v>81.66</v>
      </c>
      <c r="M10" s="75" t="n">
        <v>43.79</v>
      </c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>
        <v>46.69</v>
      </c>
      <c r="AG10" s="75" t="n">
        <v>47.66</v>
      </c>
      <c r="AH10" s="75" t="n">
        <v>47.47</v>
      </c>
      <c r="AI10" s="75" t="n">
        <v>55.68</v>
      </c>
      <c r="AJ10" s="75" t="n">
        <v>58.04</v>
      </c>
      <c r="AK10" s="75" t="n">
        <v>24.5</v>
      </c>
      <c r="AL10" s="75" t="n">
        <v>47</v>
      </c>
      <c r="AM10" s="75" t="n">
        <v>109</v>
      </c>
      <c r="AN10" s="75" t="n">
        <v>28</v>
      </c>
      <c r="AO10" s="75" t="n">
        <v>81</v>
      </c>
      <c r="AP10" s="75" t="n">
        <v>109</v>
      </c>
      <c r="AQ10" s="75" t="n">
        <v>28</v>
      </c>
      <c r="AR10" s="75" t="n">
        <v>81</v>
      </c>
      <c r="AS10" s="75" t="n">
        <v>109</v>
      </c>
      <c r="AT10" s="75" t="n">
        <v>28</v>
      </c>
      <c r="AU10" s="75" t="n">
        <v>81</v>
      </c>
      <c r="AV10" s="75" t="n">
        <v>109</v>
      </c>
      <c r="AW10" s="75" t="n">
        <v>28</v>
      </c>
      <c r="AX10" s="75" t="n">
        <v>81</v>
      </c>
      <c r="AY10" s="75" t="n">
        <v>109</v>
      </c>
      <c r="AZ10" s="75" t="n">
        <v>28</v>
      </c>
      <c r="BA10" s="75" t="n">
        <v>81</v>
      </c>
      <c r="BB10" s="75" t="n">
        <v>109</v>
      </c>
      <c r="BC10" s="75" t="n">
        <v>28</v>
      </c>
      <c r="BD10" s="75" t="n">
        <v>81</v>
      </c>
      <c r="BE10" s="75" t="n">
        <v>109</v>
      </c>
      <c r="BF10" s="75" t="n">
        <v>28</v>
      </c>
      <c r="BG10" s="75" t="n">
        <v>81</v>
      </c>
      <c r="BH10" s="75" t="n">
        <v>109</v>
      </c>
      <c r="BI10" s="75" t="n">
        <v>24.5</v>
      </c>
      <c r="BJ10" s="75" t="n">
        <v>116.6</v>
      </c>
      <c r="BK10" s="75" t="n">
        <v>81</v>
      </c>
    </row>
    <row r="11" ht="15" customHeight="1" s="101">
      <c r="A11" s="72" t="inlineStr">
        <is>
          <t>Sta. Catalina</t>
        </is>
      </c>
      <c r="B11" s="73" t="n">
        <v>2</v>
      </c>
      <c r="C11" s="73" t="n">
        <v>145.04</v>
      </c>
      <c r="D11" s="73" t="n">
        <v>41.37</v>
      </c>
      <c r="E11" s="73" t="n">
        <v>2</v>
      </c>
      <c r="F11" s="73" t="n">
        <v>145.04</v>
      </c>
      <c r="G11" s="73" t="n">
        <v>40.06</v>
      </c>
      <c r="H11" s="73" t="n"/>
      <c r="I11" s="73" t="n"/>
      <c r="J11" s="73" t="n"/>
      <c r="K11" s="73" t="n">
        <v>31.07</v>
      </c>
      <c r="L11" s="73" t="n">
        <v>145.04</v>
      </c>
      <c r="M11" s="73" t="n">
        <v>35.8</v>
      </c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>
        <v>1.3</v>
      </c>
      <c r="AA11" s="73" t="n">
        <v>164</v>
      </c>
      <c r="AB11" s="73" t="n">
        <v>1.3</v>
      </c>
      <c r="AC11" s="73" t="n">
        <v>10.24</v>
      </c>
      <c r="AD11" s="73" t="n">
        <v>164</v>
      </c>
      <c r="AE11" s="73" t="n">
        <v>9</v>
      </c>
      <c r="AF11" s="73" t="n">
        <v>79.44</v>
      </c>
      <c r="AG11" s="73" t="n">
        <v>81.09999999999999</v>
      </c>
      <c r="AH11" s="73" t="n">
        <v>80.76000000000001</v>
      </c>
      <c r="AI11" s="73" t="n">
        <v>94.73</v>
      </c>
      <c r="AJ11" s="73" t="n">
        <v>98.76000000000001</v>
      </c>
      <c r="AK11" s="73" t="n">
        <v>65.5</v>
      </c>
      <c r="AL11" s="73" t="n">
        <v>130</v>
      </c>
      <c r="AM11" s="73" t="n">
        <v>229</v>
      </c>
      <c r="AN11" s="73" t="n">
        <v>49</v>
      </c>
      <c r="AO11" s="73" t="n">
        <v>180</v>
      </c>
      <c r="AP11" s="73" t="n">
        <v>229</v>
      </c>
      <c r="AQ11" s="73" t="n">
        <v>49</v>
      </c>
      <c r="AR11" s="73" t="n">
        <v>180</v>
      </c>
      <c r="AS11" s="73" t="n">
        <v>229</v>
      </c>
      <c r="AT11" s="73" t="n">
        <v>49</v>
      </c>
      <c r="AU11" s="73" t="n">
        <v>180</v>
      </c>
      <c r="AV11" s="73" t="n">
        <v>229</v>
      </c>
      <c r="AW11" s="73" t="n">
        <v>49</v>
      </c>
      <c r="AX11" s="73" t="n">
        <v>180</v>
      </c>
      <c r="AY11" s="73" t="n">
        <v>229</v>
      </c>
      <c r="AZ11" s="73" t="n">
        <v>49</v>
      </c>
      <c r="BA11" s="73" t="n">
        <v>180</v>
      </c>
      <c r="BB11" s="73" t="n">
        <v>229</v>
      </c>
      <c r="BC11" s="73" t="n">
        <v>49</v>
      </c>
      <c r="BD11" s="73" t="n">
        <v>180</v>
      </c>
      <c r="BE11" s="73" t="n">
        <v>229</v>
      </c>
      <c r="BF11" s="73" t="n">
        <v>49</v>
      </c>
      <c r="BG11" s="73" t="n">
        <v>180</v>
      </c>
      <c r="BH11" s="73" t="n">
        <v>229</v>
      </c>
      <c r="BI11" s="73" t="n">
        <v>65.5</v>
      </c>
      <c r="BJ11" s="73" t="n">
        <v>158.1</v>
      </c>
      <c r="BK11" s="73" t="n">
        <v>180</v>
      </c>
    </row>
    <row r="12" ht="15" customHeight="1" s="101">
      <c r="A12" s="74" t="inlineStr">
        <is>
          <t>Moreno</t>
        </is>
      </c>
      <c r="B12" s="75" t="n">
        <v>2</v>
      </c>
      <c r="C12" s="75" t="n">
        <v>135.56</v>
      </c>
      <c r="D12" s="75" t="n">
        <v>28.92</v>
      </c>
      <c r="E12" s="75" t="n">
        <v>2</v>
      </c>
      <c r="F12" s="75" t="n">
        <v>135.56</v>
      </c>
      <c r="G12" s="75" t="n">
        <v>28.18</v>
      </c>
      <c r="H12" s="75" t="n"/>
      <c r="I12" s="75" t="n"/>
      <c r="J12" s="75" t="n"/>
      <c r="K12" s="75" t="n">
        <v>12.14</v>
      </c>
      <c r="L12" s="75" t="n">
        <v>135.56</v>
      </c>
      <c r="M12" s="75" t="n">
        <v>25.69</v>
      </c>
      <c r="N12" s="75" t="n"/>
      <c r="O12" s="75" t="n"/>
      <c r="P12" s="75" t="n"/>
      <c r="Q12" s="75" t="n"/>
      <c r="R12" s="75" t="n"/>
      <c r="S12" s="75" t="n"/>
      <c r="T12" s="75" t="n">
        <v>26.19</v>
      </c>
      <c r="U12" s="75" t="n">
        <v>135.56</v>
      </c>
      <c r="V12" s="75" t="n">
        <v>16.56</v>
      </c>
      <c r="W12" s="75" t="n">
        <v>25.35</v>
      </c>
      <c r="X12" s="75" t="n">
        <v>135.56</v>
      </c>
      <c r="Y12" s="75" t="n">
        <v>4.78</v>
      </c>
      <c r="Z12" s="75" t="n"/>
      <c r="AA12" s="75" t="n"/>
      <c r="AB12" s="75" t="n"/>
      <c r="AC12" s="75" t="n"/>
      <c r="AD12" s="75" t="n"/>
      <c r="AE12" s="75" t="n"/>
      <c r="AF12" s="75" t="n">
        <v>56.91</v>
      </c>
      <c r="AG12" s="75" t="n">
        <v>58.1</v>
      </c>
      <c r="AH12" s="75" t="n">
        <v>57.86</v>
      </c>
      <c r="AI12" s="75" t="n">
        <v>67.87</v>
      </c>
      <c r="AJ12" s="75" t="n">
        <v>70.75</v>
      </c>
      <c r="AK12" s="75" t="n">
        <v>65.5</v>
      </c>
      <c r="AL12" s="75" t="n">
        <v>79</v>
      </c>
      <c r="AM12" s="75" t="n">
        <v>164</v>
      </c>
      <c r="AN12" s="75" t="n">
        <v>47.4</v>
      </c>
      <c r="AO12" s="75" t="n">
        <v>116.6</v>
      </c>
      <c r="AP12" s="75" t="n">
        <v>164</v>
      </c>
      <c r="AQ12" s="75" t="n">
        <v>47.4</v>
      </c>
      <c r="AR12" s="75" t="n">
        <v>116.6</v>
      </c>
      <c r="AS12" s="75" t="n">
        <v>164</v>
      </c>
      <c r="AT12" s="75" t="n">
        <v>47.4</v>
      </c>
      <c r="AU12" s="75" t="n">
        <v>116.6</v>
      </c>
      <c r="AV12" s="75" t="n">
        <v>164</v>
      </c>
      <c r="AW12" s="75" t="n">
        <v>47.4</v>
      </c>
      <c r="AX12" s="75" t="n">
        <v>116.6</v>
      </c>
      <c r="AY12" s="75" t="n">
        <v>164</v>
      </c>
      <c r="AZ12" s="75" t="n">
        <v>47.4</v>
      </c>
      <c r="BA12" s="75" t="n">
        <v>116.6</v>
      </c>
      <c r="BB12" s="75" t="n">
        <v>164</v>
      </c>
      <c r="BC12" s="75" t="n">
        <v>47.4</v>
      </c>
      <c r="BD12" s="75" t="n">
        <v>116.6</v>
      </c>
      <c r="BE12" s="75" t="n">
        <v>164</v>
      </c>
      <c r="BF12" s="75" t="n">
        <v>47.4</v>
      </c>
      <c r="BG12" s="75" t="n">
        <v>116.6</v>
      </c>
      <c r="BH12" s="75" t="n">
        <v>164</v>
      </c>
      <c r="BI12" s="75" t="n">
        <v>65.5</v>
      </c>
      <c r="BJ12" s="75" t="n">
        <v>130.56</v>
      </c>
      <c r="BK12" s="75" t="n">
        <v>116.6</v>
      </c>
    </row>
    <row r="13" ht="15" customHeight="1" s="101">
      <c r="A13" s="72" t="inlineStr">
        <is>
          <t>Cili</t>
        </is>
      </c>
      <c r="B13" s="73" t="n">
        <v>2</v>
      </c>
      <c r="C13" s="73" t="n">
        <v>35.32</v>
      </c>
      <c r="D13" s="73" t="n">
        <v>14</v>
      </c>
      <c r="E13" s="73" t="n">
        <v>2</v>
      </c>
      <c r="F13" s="73" t="n">
        <v>35.32</v>
      </c>
      <c r="G13" s="73" t="n">
        <v>12.5</v>
      </c>
      <c r="H13" s="73" t="n">
        <v>2</v>
      </c>
      <c r="I13" s="73" t="n">
        <v>35.32</v>
      </c>
      <c r="J13" s="73" t="n">
        <v>2</v>
      </c>
      <c r="K13" s="73" t="n">
        <v>2</v>
      </c>
      <c r="L13" s="73" t="n">
        <v>35.32</v>
      </c>
      <c r="M13" s="73" t="n">
        <v>14</v>
      </c>
      <c r="N13" s="73" t="n">
        <v>2</v>
      </c>
      <c r="O13" s="73" t="n">
        <v>35.32</v>
      </c>
      <c r="P13" s="73" t="n">
        <v>14</v>
      </c>
      <c r="Q13" s="73" t="n"/>
      <c r="R13" s="73" t="n"/>
      <c r="S13" s="73" t="n"/>
      <c r="T13" s="73" t="n"/>
      <c r="U13" s="73" t="n"/>
      <c r="V13" s="73" t="n"/>
      <c r="W13" s="73" t="n">
        <v>12.07</v>
      </c>
      <c r="X13" s="73" t="n">
        <v>35.32</v>
      </c>
      <c r="Y13" s="73" t="n">
        <v>4.75</v>
      </c>
      <c r="Z13" s="73" t="n"/>
      <c r="AA13" s="73" t="n"/>
      <c r="AB13" s="73" t="n"/>
      <c r="AC13" s="73" t="n"/>
      <c r="AD13" s="73" t="n"/>
      <c r="AE13" s="73" t="n"/>
      <c r="AF13" s="73" t="n">
        <v>53.13</v>
      </c>
      <c r="AG13" s="73" t="n">
        <v>54.24</v>
      </c>
      <c r="AH13" s="73" t="n">
        <v>54.02</v>
      </c>
      <c r="AI13" s="73" t="n">
        <v>63.36</v>
      </c>
      <c r="AJ13" s="73" t="n">
        <v>66.05</v>
      </c>
      <c r="AK13" s="73" t="n">
        <v>35.21</v>
      </c>
      <c r="AL13" s="73" t="n">
        <v>75</v>
      </c>
      <c r="AM13" s="73" t="n">
        <v>168</v>
      </c>
      <c r="AN13" s="73" t="n">
        <v>40</v>
      </c>
      <c r="AO13" s="73" t="n">
        <v>128</v>
      </c>
      <c r="AP13" s="73" t="n">
        <v>168</v>
      </c>
      <c r="AQ13" s="73" t="n">
        <v>40</v>
      </c>
      <c r="AR13" s="73" t="n">
        <v>128</v>
      </c>
      <c r="AS13" s="73" t="n">
        <v>168</v>
      </c>
      <c r="AT13" s="73" t="n">
        <v>40</v>
      </c>
      <c r="AU13" s="73" t="n">
        <v>128</v>
      </c>
      <c r="AV13" s="73" t="n">
        <v>168</v>
      </c>
      <c r="AW13" s="73" t="n">
        <v>40</v>
      </c>
      <c r="AX13" s="73" t="n">
        <v>128</v>
      </c>
      <c r="AY13" s="73" t="n">
        <v>168</v>
      </c>
      <c r="AZ13" s="73" t="n">
        <v>40</v>
      </c>
      <c r="BA13" s="73" t="n">
        <v>128</v>
      </c>
      <c r="BB13" s="73" t="n">
        <v>168</v>
      </c>
      <c r="BC13" s="73" t="n">
        <v>40</v>
      </c>
      <c r="BD13" s="73" t="n">
        <v>128</v>
      </c>
      <c r="BE13" s="73" t="n">
        <v>168</v>
      </c>
      <c r="BF13" s="73" t="n">
        <v>40</v>
      </c>
      <c r="BG13" s="73" t="n">
        <v>128</v>
      </c>
      <c r="BH13" s="73" t="n">
        <v>168</v>
      </c>
      <c r="BI13" s="73" t="n">
        <v>47.56</v>
      </c>
      <c r="BJ13" s="73" t="n">
        <v>43.56</v>
      </c>
      <c r="BK13" s="73" t="n">
        <v>128</v>
      </c>
    </row>
    <row r="14" ht="15" customHeight="1" s="101">
      <c r="A14" s="74" t="inlineStr">
        <is>
          <t>Linmansangan</t>
        </is>
      </c>
      <c r="B14" s="75" t="n">
        <v>2</v>
      </c>
      <c r="C14" s="75" t="n">
        <v>81.66</v>
      </c>
      <c r="D14" s="75" t="n">
        <v>12.25</v>
      </c>
      <c r="E14" s="75" t="n">
        <v>2</v>
      </c>
      <c r="F14" s="75" t="n">
        <v>81.66</v>
      </c>
      <c r="G14" s="75" t="n">
        <v>12.25</v>
      </c>
      <c r="H14" s="75" t="n"/>
      <c r="I14" s="75" t="n"/>
      <c r="J14" s="75" t="n"/>
      <c r="K14" s="75" t="n">
        <v>2</v>
      </c>
      <c r="L14" s="75" t="n">
        <v>81.66</v>
      </c>
      <c r="M14" s="75" t="n">
        <v>12.25</v>
      </c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>
        <v>79.8</v>
      </c>
      <c r="AG14" s="75" t="n">
        <v>81.47</v>
      </c>
      <c r="AH14" s="75" t="n">
        <v>81.13</v>
      </c>
      <c r="AI14" s="75" t="n">
        <v>95.16</v>
      </c>
      <c r="AJ14" s="75" t="n">
        <v>99.20999999999999</v>
      </c>
      <c r="AK14" s="75" t="n">
        <v>65.5</v>
      </c>
      <c r="AL14" s="75" t="n">
        <v>83</v>
      </c>
      <c r="AM14" s="75" t="n">
        <v>216</v>
      </c>
      <c r="AN14" s="75" t="n">
        <v>65.5</v>
      </c>
      <c r="AO14" s="75" t="n">
        <v>150.5</v>
      </c>
      <c r="AP14" s="75" t="n">
        <v>216</v>
      </c>
      <c r="AQ14" s="75" t="n">
        <v>65.5</v>
      </c>
      <c r="AR14" s="75" t="n">
        <v>150.5</v>
      </c>
      <c r="AS14" s="75" t="n">
        <v>216</v>
      </c>
      <c r="AT14" s="75" t="n">
        <v>65.5</v>
      </c>
      <c r="AU14" s="75" t="n">
        <v>150.5</v>
      </c>
      <c r="AV14" s="75" t="n">
        <v>216</v>
      </c>
      <c r="AW14" s="75" t="n">
        <v>65.5</v>
      </c>
      <c r="AX14" s="75" t="n">
        <v>146</v>
      </c>
      <c r="AY14" s="75" t="n">
        <v>211.5</v>
      </c>
      <c r="AZ14" s="75" t="n">
        <v>65.5</v>
      </c>
      <c r="BA14" s="75" t="n">
        <v>146</v>
      </c>
      <c r="BB14" s="75" t="n">
        <v>211.5</v>
      </c>
      <c r="BC14" s="75" t="n">
        <v>65.5</v>
      </c>
      <c r="BD14" s="75" t="n">
        <v>129</v>
      </c>
      <c r="BE14" s="75" t="n">
        <v>194.5</v>
      </c>
      <c r="BF14" s="75" t="n">
        <v>65.5</v>
      </c>
      <c r="BG14" s="75" t="n">
        <v>129</v>
      </c>
      <c r="BH14" s="75" t="n">
        <v>194.5</v>
      </c>
      <c r="BI14" s="75" t="n">
        <v>65.5</v>
      </c>
      <c r="BJ14" s="75" t="n">
        <v>147.19</v>
      </c>
      <c r="BK14" s="75" t="n">
        <v>129.5</v>
      </c>
    </row>
    <row r="15" ht="15" customHeight="1" s="101">
      <c r="A15" s="72" t="inlineStr">
        <is>
          <t>Sumabnit</t>
        </is>
      </c>
      <c r="B15" s="73" t="n">
        <v>15.72</v>
      </c>
      <c r="C15" s="73" t="n">
        <v>81.66</v>
      </c>
      <c r="D15" s="73" t="n">
        <v>21.13</v>
      </c>
      <c r="E15" s="73" t="n">
        <v>10.68</v>
      </c>
      <c r="F15" s="73" t="n">
        <v>81.66</v>
      </c>
      <c r="G15" s="73" t="n">
        <v>10.5</v>
      </c>
      <c r="H15" s="73" t="n">
        <v>2</v>
      </c>
      <c r="I15" s="73" t="n">
        <v>81.66</v>
      </c>
      <c r="J15" s="73" t="n">
        <v>35.22</v>
      </c>
      <c r="K15" s="73" t="n">
        <v>2</v>
      </c>
      <c r="L15" s="73" t="n">
        <v>81.66</v>
      </c>
      <c r="M15" s="73" t="n">
        <v>63.6</v>
      </c>
      <c r="N15" s="73" t="n">
        <v>1.5</v>
      </c>
      <c r="O15" s="73" t="n">
        <v>81.66</v>
      </c>
      <c r="P15" s="73" t="n">
        <v>63.6</v>
      </c>
      <c r="Q15" s="73" t="n">
        <v>3</v>
      </c>
      <c r="R15" s="73" t="n">
        <v>81.66</v>
      </c>
      <c r="S15" s="73" t="n">
        <v>60</v>
      </c>
      <c r="T15" s="73" t="n">
        <v>2</v>
      </c>
      <c r="U15" s="73" t="n">
        <v>81.66</v>
      </c>
      <c r="V15" s="73" t="n">
        <v>60</v>
      </c>
      <c r="W15" s="73" t="n">
        <v>1.45</v>
      </c>
      <c r="X15" s="73" t="n">
        <v>81.66</v>
      </c>
      <c r="Y15" s="73" t="n">
        <v>60</v>
      </c>
      <c r="Z15" s="73" t="n">
        <v>0.7</v>
      </c>
      <c r="AA15" s="73" t="n">
        <v>116.6</v>
      </c>
      <c r="AB15" s="73" t="n">
        <v>0.7</v>
      </c>
      <c r="AC15" s="73" t="n">
        <v>10.55</v>
      </c>
      <c r="AD15" s="73" t="n">
        <v>116.6</v>
      </c>
      <c r="AE15" s="73" t="n">
        <v>72</v>
      </c>
      <c r="AF15" s="73" t="n">
        <v>71.84999999999999</v>
      </c>
      <c r="AG15" s="73" t="n">
        <v>73.36</v>
      </c>
      <c r="AH15" s="73" t="n">
        <v>73.05</v>
      </c>
      <c r="AI15" s="73" t="n">
        <v>85.69</v>
      </c>
      <c r="AJ15" s="73" t="n">
        <v>89.33</v>
      </c>
      <c r="AK15" s="73" t="n">
        <v>130.4</v>
      </c>
      <c r="AL15" s="73" t="n">
        <v>71</v>
      </c>
      <c r="AM15" s="73" t="n">
        <v>257</v>
      </c>
      <c r="AN15" s="73" t="n">
        <v>133.3</v>
      </c>
      <c r="AO15" s="73" t="n">
        <v>123.7</v>
      </c>
      <c r="AP15" s="73" t="n">
        <v>257</v>
      </c>
      <c r="AQ15" s="73" t="n">
        <v>133.3</v>
      </c>
      <c r="AR15" s="73" t="n">
        <v>123.7</v>
      </c>
      <c r="AS15" s="73" t="n">
        <v>257</v>
      </c>
      <c r="AT15" s="73" t="n">
        <v>133.3</v>
      </c>
      <c r="AU15" s="73" t="n">
        <v>123.7</v>
      </c>
      <c r="AV15" s="73" t="n">
        <v>257</v>
      </c>
      <c r="AW15" s="73" t="n">
        <v>133.3</v>
      </c>
      <c r="AX15" s="73" t="n">
        <v>123.7</v>
      </c>
      <c r="AY15" s="73" t="n">
        <v>257</v>
      </c>
      <c r="AZ15" s="73" t="n">
        <v>133.3</v>
      </c>
      <c r="BA15" s="73" t="n">
        <v>123.7</v>
      </c>
      <c r="BB15" s="73" t="n">
        <v>257</v>
      </c>
      <c r="BC15" s="73" t="n">
        <v>133.3</v>
      </c>
      <c r="BD15" s="73" t="n">
        <v>123.7</v>
      </c>
      <c r="BE15" s="73" t="n">
        <v>257</v>
      </c>
      <c r="BF15" s="73" t="n">
        <v>133.3</v>
      </c>
      <c r="BG15" s="73" t="n">
        <v>123.7</v>
      </c>
      <c r="BH15" s="73" t="n">
        <v>257</v>
      </c>
      <c r="BI15" s="73" t="n">
        <v>130.4</v>
      </c>
      <c r="BJ15" s="73" t="n">
        <v>116.6</v>
      </c>
      <c r="BK15" s="73" t="n">
        <v>123.7</v>
      </c>
    </row>
    <row r="16" ht="15" customHeight="1" s="101">
      <c r="A16" s="74" t="inlineStr">
        <is>
          <t>Capas</t>
        </is>
      </c>
      <c r="B16" s="75" t="n">
        <v>4</v>
      </c>
      <c r="C16" s="75" t="n">
        <v>52.42</v>
      </c>
      <c r="D16" s="75" t="n">
        <v>58</v>
      </c>
      <c r="E16" s="75" t="n">
        <v>3.47</v>
      </c>
      <c r="F16" s="75" t="n">
        <v>52.42</v>
      </c>
      <c r="G16" s="75" t="n">
        <v>179</v>
      </c>
      <c r="H16" s="75" t="n">
        <v>1</v>
      </c>
      <c r="I16" s="75" t="n">
        <v>52.42</v>
      </c>
      <c r="J16" s="75" t="n">
        <v>13</v>
      </c>
      <c r="K16" s="75" t="n">
        <v>2</v>
      </c>
      <c r="L16" s="75" t="n">
        <v>52.42</v>
      </c>
      <c r="M16" s="75" t="n">
        <v>179</v>
      </c>
      <c r="N16" s="75" t="n">
        <v>2</v>
      </c>
      <c r="O16" s="75" t="n">
        <v>52.42</v>
      </c>
      <c r="P16" s="75" t="n">
        <v>179</v>
      </c>
      <c r="Q16" s="75" t="n">
        <v>4</v>
      </c>
      <c r="R16" s="75" t="n">
        <v>67.04000000000001</v>
      </c>
      <c r="S16" s="75" t="n">
        <v>179</v>
      </c>
      <c r="T16" s="75" t="n">
        <v>6.17</v>
      </c>
      <c r="U16" s="75" t="n">
        <v>67.04000000000001</v>
      </c>
      <c r="V16" s="75" t="n">
        <v>105</v>
      </c>
      <c r="W16" s="75" t="n">
        <v>6.28</v>
      </c>
      <c r="X16" s="75" t="n">
        <v>96.84</v>
      </c>
      <c r="Y16" s="75" t="n">
        <v>105</v>
      </c>
      <c r="Z16" s="75" t="n">
        <v>3.8</v>
      </c>
      <c r="AA16" s="75" t="n">
        <v>154.52</v>
      </c>
      <c r="AB16" s="75" t="n">
        <v>3.8</v>
      </c>
      <c r="AC16" s="75" t="n">
        <v>19.4</v>
      </c>
      <c r="AD16" s="75" t="n">
        <v>164</v>
      </c>
      <c r="AE16" s="75" t="n">
        <v>105</v>
      </c>
      <c r="AF16" s="75" t="n">
        <v>101.05</v>
      </c>
      <c r="AG16" s="75" t="n">
        <v>103.17</v>
      </c>
      <c r="AH16" s="75" t="n">
        <v>102.74</v>
      </c>
      <c r="AI16" s="75" t="n">
        <v>120.51</v>
      </c>
      <c r="AJ16" s="75" t="n">
        <v>125.63</v>
      </c>
      <c r="AK16" s="75" t="n">
        <v>3</v>
      </c>
      <c r="AL16" s="75" t="n">
        <v>91</v>
      </c>
      <c r="AM16" s="75" t="n">
        <v>303</v>
      </c>
      <c r="AN16" s="75" t="n">
        <v>139</v>
      </c>
      <c r="AO16" s="75" t="n">
        <v>164</v>
      </c>
      <c r="AP16" s="75" t="n">
        <v>303</v>
      </c>
      <c r="AQ16" s="75" t="n">
        <v>139</v>
      </c>
      <c r="AR16" s="75" t="n">
        <v>164</v>
      </c>
      <c r="AS16" s="75" t="n">
        <v>303</v>
      </c>
      <c r="AT16" s="75" t="n">
        <v>139</v>
      </c>
      <c r="AU16" s="75" t="n">
        <v>164</v>
      </c>
      <c r="AV16" s="75" t="n">
        <v>303</v>
      </c>
      <c r="AW16" s="75" t="n">
        <v>139</v>
      </c>
      <c r="AX16" s="75" t="n">
        <v>164</v>
      </c>
      <c r="AY16" s="75" t="n">
        <v>303</v>
      </c>
      <c r="AZ16" s="75" t="n">
        <v>139</v>
      </c>
      <c r="BA16" s="75" t="n">
        <v>164</v>
      </c>
      <c r="BB16" s="75" t="n">
        <v>303</v>
      </c>
      <c r="BC16" s="75" t="n">
        <v>139</v>
      </c>
      <c r="BD16" s="75" t="n">
        <v>164</v>
      </c>
      <c r="BE16" s="75" t="n">
        <v>303</v>
      </c>
      <c r="BF16" s="75" t="n">
        <v>139</v>
      </c>
      <c r="BG16" s="75" t="n">
        <v>164</v>
      </c>
      <c r="BH16" s="75" t="n">
        <v>303</v>
      </c>
      <c r="BI16" s="75" t="n">
        <v>117.69</v>
      </c>
      <c r="BJ16" s="75" t="n">
        <v>156.07</v>
      </c>
      <c r="BK16" s="75" t="n">
        <v>164</v>
      </c>
    </row>
    <row r="17" ht="15" customHeight="1" s="101">
      <c r="A17" s="72" t="inlineStr">
        <is>
          <t>Mangkasuy</t>
        </is>
      </c>
      <c r="B17" s="73" t="n">
        <v>2</v>
      </c>
      <c r="C17" s="73" t="n">
        <v>70.81999999999999</v>
      </c>
      <c r="D17" s="73" t="n">
        <v>12.25</v>
      </c>
      <c r="E17" s="73" t="n">
        <v>2</v>
      </c>
      <c r="F17" s="73" t="n">
        <v>70.81999999999999</v>
      </c>
      <c r="G17" s="73" t="n">
        <v>18</v>
      </c>
      <c r="H17" s="73" t="n">
        <v>2</v>
      </c>
      <c r="I17" s="73" t="n">
        <v>70.81999999999999</v>
      </c>
      <c r="J17" s="73" t="n">
        <v>12.25</v>
      </c>
      <c r="K17" s="73" t="n">
        <v>2</v>
      </c>
      <c r="L17" s="73" t="n">
        <v>80.3</v>
      </c>
      <c r="M17" s="73" t="n">
        <v>16.9</v>
      </c>
      <c r="N17" s="73" t="n">
        <v>0.5</v>
      </c>
      <c r="O17" s="73" t="n">
        <v>80.3</v>
      </c>
      <c r="P17" s="73" t="n">
        <v>16.9</v>
      </c>
      <c r="Q17" s="73" t="n">
        <v>1</v>
      </c>
      <c r="R17" s="73" t="n">
        <v>110.1</v>
      </c>
      <c r="S17" s="73" t="n">
        <v>14</v>
      </c>
      <c r="T17" s="73" t="n">
        <v>2</v>
      </c>
      <c r="U17" s="73" t="n">
        <v>134.2</v>
      </c>
      <c r="V17" s="73" t="n">
        <v>50</v>
      </c>
      <c r="W17" s="73" t="n">
        <v>1.4</v>
      </c>
      <c r="X17" s="73" t="n">
        <v>164</v>
      </c>
      <c r="Y17" s="73" t="n">
        <v>50</v>
      </c>
      <c r="Z17" s="73" t="n">
        <v>2.95</v>
      </c>
      <c r="AA17" s="73" t="n">
        <v>164</v>
      </c>
      <c r="AB17" s="73" t="n">
        <v>2.95</v>
      </c>
      <c r="AC17" s="73" t="n">
        <v>3</v>
      </c>
      <c r="AD17" s="73" t="n">
        <v>164</v>
      </c>
      <c r="AE17" s="73" t="n">
        <v>50</v>
      </c>
      <c r="AF17" s="73" t="n">
        <v>90.86</v>
      </c>
      <c r="AG17" s="73" t="n">
        <v>92.76000000000001</v>
      </c>
      <c r="AH17" s="73" t="n">
        <v>92.38</v>
      </c>
      <c r="AI17" s="73" t="n">
        <v>108.36</v>
      </c>
      <c r="AJ17" s="73" t="n">
        <v>112.96</v>
      </c>
      <c r="AK17" s="73" t="n">
        <v>5</v>
      </c>
      <c r="AL17" s="73" t="n">
        <v>158</v>
      </c>
      <c r="AM17" s="73" t="n">
        <v>352</v>
      </c>
      <c r="AN17" s="73" t="n">
        <v>90</v>
      </c>
      <c r="AO17" s="73" t="n">
        <v>262</v>
      </c>
      <c r="AP17" s="73" t="n">
        <v>352</v>
      </c>
      <c r="AQ17" s="73" t="n">
        <v>90</v>
      </c>
      <c r="AR17" s="73" t="n">
        <v>262</v>
      </c>
      <c r="AS17" s="73" t="n">
        <v>352</v>
      </c>
      <c r="AT17" s="73" t="n">
        <v>90</v>
      </c>
      <c r="AU17" s="73" t="n">
        <v>262</v>
      </c>
      <c r="AV17" s="73" t="n">
        <v>352</v>
      </c>
      <c r="AW17" s="73" t="n">
        <v>90</v>
      </c>
      <c r="AX17" s="73" t="n">
        <v>262</v>
      </c>
      <c r="AY17" s="73" t="n">
        <v>352</v>
      </c>
      <c r="AZ17" s="73" t="n">
        <v>90</v>
      </c>
      <c r="BA17" s="73" t="n">
        <v>262</v>
      </c>
      <c r="BB17" s="73" t="n">
        <v>352</v>
      </c>
      <c r="BC17" s="73" t="n">
        <v>90</v>
      </c>
      <c r="BD17" s="73" t="n">
        <v>262</v>
      </c>
      <c r="BE17" s="73" t="n">
        <v>352</v>
      </c>
      <c r="BF17" s="73" t="n">
        <v>90</v>
      </c>
      <c r="BG17" s="73" t="n">
        <v>262</v>
      </c>
      <c r="BH17" s="73" t="n">
        <v>352</v>
      </c>
      <c r="BI17" s="73" t="n">
        <v>65.5</v>
      </c>
      <c r="BJ17" s="73" t="n">
        <v>164</v>
      </c>
      <c r="BK17" s="73" t="n">
        <v>262</v>
      </c>
    </row>
    <row r="18" ht="15" customHeight="1" s="101">
      <c r="A18" s="74" t="inlineStr">
        <is>
          <t>San Pablo</t>
        </is>
      </c>
      <c r="B18" s="75" t="n">
        <v>5</v>
      </c>
      <c r="C18" s="75" t="n">
        <v>20.7</v>
      </c>
      <c r="D18" s="75" t="n">
        <v>39</v>
      </c>
      <c r="E18" s="75" t="n">
        <v>4.37</v>
      </c>
      <c r="F18" s="75" t="n">
        <v>20.7</v>
      </c>
      <c r="G18" s="75" t="n">
        <v>134</v>
      </c>
      <c r="H18" s="75" t="n">
        <v>1</v>
      </c>
      <c r="I18" s="75" t="n">
        <v>20.7</v>
      </c>
      <c r="J18" s="75" t="n">
        <v>5</v>
      </c>
      <c r="K18" s="75" t="n">
        <v>2</v>
      </c>
      <c r="L18" s="75" t="n">
        <v>20.7</v>
      </c>
      <c r="M18" s="75" t="n">
        <v>115</v>
      </c>
      <c r="N18" s="75" t="n">
        <v>0.5</v>
      </c>
      <c r="O18" s="75" t="n">
        <v>26.4</v>
      </c>
      <c r="P18" s="75" t="n">
        <v>115</v>
      </c>
      <c r="Q18" s="75" t="n">
        <v>10.5</v>
      </c>
      <c r="R18" s="75" t="n">
        <v>26.4</v>
      </c>
      <c r="S18" s="75" t="n">
        <v>120</v>
      </c>
      <c r="T18" s="75" t="n">
        <v>2</v>
      </c>
      <c r="U18" s="75" t="n">
        <v>26.4</v>
      </c>
      <c r="V18" s="75" t="n">
        <v>90</v>
      </c>
      <c r="W18" s="75" t="n">
        <v>2</v>
      </c>
      <c r="X18" s="75" t="n">
        <v>32.1</v>
      </c>
      <c r="Y18" s="75" t="n">
        <v>90</v>
      </c>
      <c r="Z18" s="75" t="n">
        <v>0.1</v>
      </c>
      <c r="AA18" s="75" t="n">
        <v>37.8</v>
      </c>
      <c r="AB18" s="75" t="n">
        <v>0.1</v>
      </c>
      <c r="AC18" s="75" t="n">
        <v>8.800000000000001</v>
      </c>
      <c r="AD18" s="75" t="n">
        <v>43.5</v>
      </c>
      <c r="AE18" s="75" t="n">
        <v>103</v>
      </c>
      <c r="AF18" s="75" t="n">
        <v>52.35</v>
      </c>
      <c r="AG18" s="75" t="n">
        <v>53.45</v>
      </c>
      <c r="AH18" s="75" t="n">
        <v>53.23</v>
      </c>
      <c r="AI18" s="75" t="n">
        <v>62.43</v>
      </c>
      <c r="AJ18" s="75" t="n">
        <v>65.08</v>
      </c>
      <c r="AK18" s="75" t="n">
        <v>5</v>
      </c>
      <c r="AL18" s="75" t="n">
        <v>19</v>
      </c>
      <c r="AM18" s="75" t="n">
        <v>134</v>
      </c>
      <c r="AN18" s="75" t="n">
        <v>103.5</v>
      </c>
      <c r="AO18" s="75" t="n">
        <v>30.5</v>
      </c>
      <c r="AP18" s="75" t="n">
        <v>134</v>
      </c>
      <c r="AQ18" s="75" t="n">
        <v>103.5</v>
      </c>
      <c r="AR18" s="75" t="n">
        <v>30.5</v>
      </c>
      <c r="AS18" s="75" t="n">
        <v>134</v>
      </c>
      <c r="AT18" s="75" t="n">
        <v>103.5</v>
      </c>
      <c r="AU18" s="75" t="n">
        <v>30.5</v>
      </c>
      <c r="AV18" s="75" t="n">
        <v>134</v>
      </c>
      <c r="AW18" s="75" t="n">
        <v>103.5</v>
      </c>
      <c r="AX18" s="75" t="n">
        <v>30.5</v>
      </c>
      <c r="AY18" s="75" t="n">
        <v>134</v>
      </c>
      <c r="AZ18" s="75" t="n">
        <v>103.5</v>
      </c>
      <c r="BA18" s="75" t="n">
        <v>30.5</v>
      </c>
      <c r="BB18" s="75" t="n">
        <v>134</v>
      </c>
      <c r="BC18" s="75" t="n">
        <v>103.5</v>
      </c>
      <c r="BD18" s="75" t="n">
        <v>30.5</v>
      </c>
      <c r="BE18" s="75" t="n">
        <v>134</v>
      </c>
      <c r="BF18" s="75" t="n">
        <v>103.5</v>
      </c>
      <c r="BG18" s="75" t="n">
        <v>30.5</v>
      </c>
      <c r="BH18" s="75" t="n">
        <v>134</v>
      </c>
      <c r="BI18" s="75" t="n">
        <v>53.09</v>
      </c>
      <c r="BJ18" s="75" t="n">
        <v>38.17</v>
      </c>
      <c r="BK18" s="75" t="n">
        <v>30.5</v>
      </c>
    </row>
    <row r="19" ht="15" customHeight="1" s="101">
      <c r="A19" s="72" t="inlineStr">
        <is>
          <t>Balangobong</t>
        </is>
      </c>
      <c r="B19" s="73" t="n">
        <v>4</v>
      </c>
      <c r="C19" s="73" t="n">
        <v>35.32</v>
      </c>
      <c r="D19" s="73" t="n">
        <v>24</v>
      </c>
      <c r="E19" s="73" t="n">
        <v>1</v>
      </c>
      <c r="F19" s="73" t="n">
        <v>35.32</v>
      </c>
      <c r="G19" s="73" t="n">
        <v>122</v>
      </c>
      <c r="H19" s="73" t="n">
        <v>5</v>
      </c>
      <c r="I19" s="73" t="n">
        <v>35.32</v>
      </c>
      <c r="J19" s="73" t="n">
        <v>2</v>
      </c>
      <c r="K19" s="73" t="n">
        <v>2</v>
      </c>
      <c r="L19" s="73" t="n">
        <v>35.32</v>
      </c>
      <c r="M19" s="73" t="n">
        <v>120</v>
      </c>
      <c r="N19" s="73" t="n">
        <v>2</v>
      </c>
      <c r="O19" s="73" t="n">
        <v>35.32</v>
      </c>
      <c r="P19" s="73" t="n">
        <v>100</v>
      </c>
      <c r="Q19" s="73" t="n">
        <v>2</v>
      </c>
      <c r="R19" s="73" t="n">
        <v>35.32</v>
      </c>
      <c r="S19" s="73" t="n">
        <v>120</v>
      </c>
      <c r="T19" s="73" t="n">
        <v>7.44</v>
      </c>
      <c r="U19" s="73" t="n">
        <v>35.32</v>
      </c>
      <c r="V19" s="73" t="n">
        <v>110</v>
      </c>
      <c r="W19" s="73" t="n">
        <v>1</v>
      </c>
      <c r="X19" s="73" t="n">
        <v>15</v>
      </c>
      <c r="Y19" s="73" t="n">
        <v>110</v>
      </c>
      <c r="Z19" s="73" t="n">
        <v>1.6</v>
      </c>
      <c r="AA19" s="73" t="n">
        <v>26.4</v>
      </c>
      <c r="AB19" s="73" t="n">
        <v>1.6</v>
      </c>
      <c r="AC19" s="73" t="n">
        <v>75.5</v>
      </c>
      <c r="AD19" s="73" t="n">
        <v>32.1</v>
      </c>
      <c r="AE19" s="73" t="n">
        <v>110</v>
      </c>
      <c r="AF19" s="73" t="n">
        <v>52.38</v>
      </c>
      <c r="AG19" s="73" t="n">
        <v>53.48</v>
      </c>
      <c r="AH19" s="73" t="n">
        <v>53.25</v>
      </c>
      <c r="AI19" s="73" t="n">
        <v>62.46</v>
      </c>
      <c r="AJ19" s="73" t="n">
        <v>65.12</v>
      </c>
      <c r="AK19" s="73" t="n">
        <v>10</v>
      </c>
      <c r="AL19" s="73" t="n">
        <v>10</v>
      </c>
      <c r="AM19" s="73" t="n">
        <v>135</v>
      </c>
      <c r="AN19" s="73" t="n">
        <v>120</v>
      </c>
      <c r="AO19" s="73" t="n">
        <v>15</v>
      </c>
      <c r="AP19" s="73" t="n">
        <v>135</v>
      </c>
      <c r="AQ19" s="73" t="n">
        <v>120</v>
      </c>
      <c r="AR19" s="73" t="n">
        <v>15</v>
      </c>
      <c r="AS19" s="73" t="n">
        <v>135</v>
      </c>
      <c r="AT19" s="73" t="n">
        <v>120</v>
      </c>
      <c r="AU19" s="73" t="n">
        <v>15</v>
      </c>
      <c r="AV19" s="73" t="n">
        <v>135</v>
      </c>
      <c r="AW19" s="73" t="n">
        <v>120</v>
      </c>
      <c r="AX19" s="73" t="n">
        <v>15</v>
      </c>
      <c r="AY19" s="73" t="n">
        <v>135</v>
      </c>
      <c r="AZ19" s="73" t="n">
        <v>120</v>
      </c>
      <c r="BA19" s="73" t="n">
        <v>15</v>
      </c>
      <c r="BB19" s="73" t="n">
        <v>135</v>
      </c>
      <c r="BC19" s="73" t="n">
        <v>120</v>
      </c>
      <c r="BD19" s="73" t="n">
        <v>15</v>
      </c>
      <c r="BE19" s="73" t="n">
        <v>135</v>
      </c>
      <c r="BF19" s="73" t="n">
        <v>120</v>
      </c>
      <c r="BG19" s="73" t="n">
        <v>15</v>
      </c>
      <c r="BH19" s="73" t="n">
        <v>135</v>
      </c>
      <c r="BI19" s="73" t="n">
        <v>110.61</v>
      </c>
      <c r="BJ19" s="73" t="n">
        <v>43.84</v>
      </c>
      <c r="BK19" s="73" t="n">
        <v>15</v>
      </c>
    </row>
    <row r="20" ht="15" customHeight="1" s="101">
      <c r="A20" s="74" t="inlineStr">
        <is>
          <t>San Felipe Central</t>
        </is>
      </c>
      <c r="B20" s="75" t="n">
        <v>12</v>
      </c>
      <c r="C20" s="75" t="n">
        <v>41.02</v>
      </c>
      <c r="D20" s="75" t="n">
        <v>36</v>
      </c>
      <c r="E20" s="75" t="n">
        <v>10.77</v>
      </c>
      <c r="F20" s="75" t="n">
        <v>41.02</v>
      </c>
      <c r="G20" s="75" t="n">
        <v>169.2</v>
      </c>
      <c r="H20" s="75" t="n">
        <v>5</v>
      </c>
      <c r="I20" s="75" t="n">
        <v>41.02</v>
      </c>
      <c r="J20" s="75" t="n">
        <v>4</v>
      </c>
      <c r="K20" s="75" t="n">
        <v>6</v>
      </c>
      <c r="L20" s="75" t="n">
        <v>26.4</v>
      </c>
      <c r="M20" s="75" t="n">
        <v>129</v>
      </c>
      <c r="N20" s="75" t="n">
        <v>1.5</v>
      </c>
      <c r="O20" s="75" t="n">
        <v>26.4</v>
      </c>
      <c r="P20" s="75" t="n">
        <v>129</v>
      </c>
      <c r="Q20" s="75" t="n"/>
      <c r="R20" s="75" t="n"/>
      <c r="S20" s="75" t="n"/>
      <c r="T20" s="75" t="n">
        <v>2</v>
      </c>
      <c r="U20" s="75" t="n">
        <v>32.1</v>
      </c>
      <c r="V20" s="75" t="n">
        <v>98</v>
      </c>
      <c r="W20" s="75" t="n">
        <v>2</v>
      </c>
      <c r="X20" s="75" t="n">
        <v>32.1</v>
      </c>
      <c r="Y20" s="75" t="n">
        <v>98</v>
      </c>
      <c r="Z20" s="75" t="n">
        <v>4.15</v>
      </c>
      <c r="AA20" s="75" t="n">
        <v>32.1</v>
      </c>
      <c r="AB20" s="75" t="n">
        <v>4.15</v>
      </c>
      <c r="AC20" s="75" t="n">
        <v>10</v>
      </c>
      <c r="AD20" s="75" t="n">
        <v>32.1</v>
      </c>
      <c r="AE20" s="75" t="n">
        <v>100</v>
      </c>
      <c r="AF20" s="75" t="n">
        <v>65.3</v>
      </c>
      <c r="AG20" s="75" t="n">
        <v>66.67</v>
      </c>
      <c r="AH20" s="75" t="n">
        <v>66.39</v>
      </c>
      <c r="AI20" s="75" t="n">
        <v>77.88</v>
      </c>
      <c r="AJ20" s="75" t="n">
        <v>81.19</v>
      </c>
      <c r="AK20" s="75" t="n">
        <v>5</v>
      </c>
      <c r="AL20" s="75" t="n">
        <v>39</v>
      </c>
      <c r="AM20" s="75" t="n">
        <v>179</v>
      </c>
      <c r="AN20" s="75" t="n">
        <v>117</v>
      </c>
      <c r="AO20" s="75" t="n">
        <v>62</v>
      </c>
      <c r="AP20" s="75" t="n">
        <v>179</v>
      </c>
      <c r="AQ20" s="75" t="n">
        <v>117</v>
      </c>
      <c r="AR20" s="75" t="n">
        <v>62</v>
      </c>
      <c r="AS20" s="75" t="n">
        <v>179</v>
      </c>
      <c r="AT20" s="75" t="n">
        <v>117</v>
      </c>
      <c r="AU20" s="75" t="n">
        <v>62</v>
      </c>
      <c r="AV20" s="75" t="n">
        <v>179</v>
      </c>
      <c r="AW20" s="75" t="n">
        <v>117</v>
      </c>
      <c r="AX20" s="75" t="n">
        <v>62</v>
      </c>
      <c r="AY20" s="75" t="n">
        <v>179</v>
      </c>
      <c r="AZ20" s="75" t="n">
        <v>117</v>
      </c>
      <c r="BA20" s="75" t="n">
        <v>62</v>
      </c>
      <c r="BB20" s="75" t="n">
        <v>179</v>
      </c>
      <c r="BC20" s="75" t="n">
        <v>117</v>
      </c>
      <c r="BD20" s="75" t="n">
        <v>62</v>
      </c>
      <c r="BE20" s="75" t="n">
        <v>179</v>
      </c>
      <c r="BF20" s="75" t="n">
        <v>117</v>
      </c>
      <c r="BG20" s="75" t="n">
        <v>62</v>
      </c>
      <c r="BH20" s="75" t="n">
        <v>179</v>
      </c>
      <c r="BI20" s="75" t="n">
        <v>130.4</v>
      </c>
      <c r="BJ20" s="75" t="n">
        <v>37.71</v>
      </c>
      <c r="BK20" s="75" t="n">
        <v>62</v>
      </c>
    </row>
    <row r="21" ht="15" customHeight="1" s="101">
      <c r="A21" s="72" t="inlineStr">
        <is>
          <t>San Felipe Sur</t>
        </is>
      </c>
      <c r="B21" s="73" t="n">
        <v>2</v>
      </c>
      <c r="C21" s="73" t="n">
        <v>26.4</v>
      </c>
      <c r="D21" s="73" t="n">
        <v>56</v>
      </c>
      <c r="E21" s="73" t="n">
        <v>2</v>
      </c>
      <c r="F21" s="73" t="n">
        <v>26.4</v>
      </c>
      <c r="G21" s="73" t="n">
        <v>168</v>
      </c>
      <c r="H21" s="73" t="n">
        <v>3</v>
      </c>
      <c r="I21" s="73" t="n">
        <v>26.4</v>
      </c>
      <c r="J21" s="73" t="n">
        <v>3</v>
      </c>
      <c r="K21" s="73" t="n">
        <v>7.28</v>
      </c>
      <c r="L21" s="73" t="n">
        <v>32.1</v>
      </c>
      <c r="M21" s="73" t="n">
        <v>150</v>
      </c>
      <c r="N21" s="73" t="n">
        <v>1</v>
      </c>
      <c r="O21" s="73" t="n">
        <v>32.1</v>
      </c>
      <c r="P21" s="73" t="n">
        <v>150</v>
      </c>
      <c r="Q21" s="73" t="n">
        <v>1.5</v>
      </c>
      <c r="R21" s="73" t="n">
        <v>32.1</v>
      </c>
      <c r="S21" s="73" t="n">
        <v>125</v>
      </c>
      <c r="T21" s="73" t="n">
        <v>2</v>
      </c>
      <c r="U21" s="73" t="n">
        <v>32.1</v>
      </c>
      <c r="V21" s="73" t="n">
        <v>115</v>
      </c>
      <c r="W21" s="73" t="n">
        <v>3.4</v>
      </c>
      <c r="X21" s="73" t="n">
        <v>32.1</v>
      </c>
      <c r="Y21" s="73" t="n">
        <v>115</v>
      </c>
      <c r="Z21" s="73" t="n">
        <v>3.2</v>
      </c>
      <c r="AA21" s="73" t="n">
        <v>32.1</v>
      </c>
      <c r="AB21" s="73" t="n">
        <v>3.2</v>
      </c>
      <c r="AC21" s="73" t="n">
        <v>6.8</v>
      </c>
      <c r="AD21" s="73" t="n">
        <v>37.8</v>
      </c>
      <c r="AE21" s="73" t="n">
        <v>115</v>
      </c>
      <c r="AF21" s="73" t="n">
        <v>67.7</v>
      </c>
      <c r="AG21" s="73" t="n">
        <v>69.12</v>
      </c>
      <c r="AH21" s="73" t="n">
        <v>68.83</v>
      </c>
      <c r="AI21" s="73" t="n">
        <v>80.73999999999999</v>
      </c>
      <c r="AJ21" s="73" t="n">
        <v>84.17</v>
      </c>
      <c r="AK21" s="73" t="n">
        <v>5</v>
      </c>
      <c r="AL21" s="73" t="n">
        <v>27</v>
      </c>
      <c r="AM21" s="73" t="n">
        <v>178</v>
      </c>
      <c r="AN21" s="73" t="n">
        <v>127.5</v>
      </c>
      <c r="AO21" s="73" t="n">
        <v>50.5</v>
      </c>
      <c r="AP21" s="73" t="n">
        <v>178</v>
      </c>
      <c r="AQ21" s="73" t="n">
        <v>127.5</v>
      </c>
      <c r="AR21" s="73" t="n">
        <v>50.5</v>
      </c>
      <c r="AS21" s="73" t="n">
        <v>178</v>
      </c>
      <c r="AT21" s="73" t="n">
        <v>127.5</v>
      </c>
      <c r="AU21" s="73" t="n">
        <v>50.5</v>
      </c>
      <c r="AV21" s="73" t="n">
        <v>178</v>
      </c>
      <c r="AW21" s="73" t="n">
        <v>127.5</v>
      </c>
      <c r="AX21" s="73" t="n">
        <v>50.5</v>
      </c>
      <c r="AY21" s="73" t="n">
        <v>178</v>
      </c>
      <c r="AZ21" s="73" t="n">
        <v>127.5</v>
      </c>
      <c r="BA21" s="73" t="n">
        <v>50.5</v>
      </c>
      <c r="BB21" s="73" t="n">
        <v>178</v>
      </c>
      <c r="BC21" s="73" t="n">
        <v>127.5</v>
      </c>
      <c r="BD21" s="73" t="n">
        <v>50.5</v>
      </c>
      <c r="BE21" s="73" t="n">
        <v>178</v>
      </c>
      <c r="BF21" s="73" t="n">
        <v>127.5</v>
      </c>
      <c r="BG21" s="73" t="n">
        <v>50.5</v>
      </c>
      <c r="BH21" s="73" t="n">
        <v>178</v>
      </c>
      <c r="BI21" s="73" t="n">
        <v>130.4</v>
      </c>
      <c r="BJ21" s="73" t="n">
        <v>38.87</v>
      </c>
      <c r="BK21" s="73" t="n">
        <v>50.5</v>
      </c>
    </row>
    <row r="22" ht="15" customHeight="1" s="101">
      <c r="A22" s="74" t="inlineStr">
        <is>
          <t>Pasileng Sur</t>
        </is>
      </c>
      <c r="B22" s="75" t="n">
        <v>41</v>
      </c>
      <c r="C22" s="75" t="n">
        <v>41.02</v>
      </c>
      <c r="D22" s="75" t="n">
        <v>95</v>
      </c>
      <c r="E22" s="75" t="n">
        <v>15.52</v>
      </c>
      <c r="F22" s="75" t="n">
        <v>41.02</v>
      </c>
      <c r="G22" s="75" t="n">
        <v>102</v>
      </c>
      <c r="H22" s="75" t="n">
        <v>3</v>
      </c>
      <c r="I22" s="75" t="n">
        <v>41.02</v>
      </c>
      <c r="J22" s="75" t="n">
        <v>5</v>
      </c>
      <c r="K22" s="75" t="n">
        <v>7.89</v>
      </c>
      <c r="L22" s="75" t="n">
        <v>41.02</v>
      </c>
      <c r="M22" s="75" t="n">
        <v>160</v>
      </c>
      <c r="N22" s="75" t="n">
        <v>2</v>
      </c>
      <c r="O22" s="75" t="n">
        <v>41.02</v>
      </c>
      <c r="P22" s="75" t="n">
        <v>160</v>
      </c>
      <c r="Q22" s="75" t="n">
        <v>1.5</v>
      </c>
      <c r="R22" s="75" t="n">
        <v>26.4</v>
      </c>
      <c r="S22" s="75" t="n">
        <v>160</v>
      </c>
      <c r="T22" s="75" t="n">
        <v>2</v>
      </c>
      <c r="U22" s="75" t="n">
        <v>32.1</v>
      </c>
      <c r="V22" s="75" t="n">
        <v>119</v>
      </c>
      <c r="W22" s="75" t="n">
        <v>3</v>
      </c>
      <c r="X22" s="75" t="n">
        <v>32.1</v>
      </c>
      <c r="Y22" s="75" t="n">
        <v>119</v>
      </c>
      <c r="Z22" s="75" t="n">
        <v>1.2</v>
      </c>
      <c r="AA22" s="75" t="n">
        <v>26.4</v>
      </c>
      <c r="AB22" s="75" t="n">
        <v>1.2</v>
      </c>
      <c r="AC22" s="75" t="n">
        <v>31.77</v>
      </c>
      <c r="AD22" s="75" t="n">
        <v>26.4</v>
      </c>
      <c r="AE22" s="75" t="n">
        <v>120</v>
      </c>
      <c r="AF22" s="75" t="n">
        <v>68.68000000000001</v>
      </c>
      <c r="AG22" s="75" t="n">
        <v>70.11</v>
      </c>
      <c r="AH22" s="75" t="n">
        <v>69.81999999999999</v>
      </c>
      <c r="AI22" s="75" t="n">
        <v>81.90000000000001</v>
      </c>
      <c r="AJ22" s="75" t="n">
        <v>85.38</v>
      </c>
      <c r="AK22" s="75" t="n">
        <v>10</v>
      </c>
      <c r="AL22" s="75" t="n">
        <v>15</v>
      </c>
      <c r="AM22" s="75" t="n">
        <v>180</v>
      </c>
      <c r="AN22" s="75" t="n">
        <v>150.9</v>
      </c>
      <c r="AO22" s="75" t="n">
        <v>29.1</v>
      </c>
      <c r="AP22" s="75" t="n">
        <v>180</v>
      </c>
      <c r="AQ22" s="75" t="n">
        <v>150.9</v>
      </c>
      <c r="AR22" s="75" t="n">
        <v>29.1</v>
      </c>
      <c r="AS22" s="75" t="n">
        <v>180</v>
      </c>
      <c r="AT22" s="75" t="n">
        <v>150.9</v>
      </c>
      <c r="AU22" s="75" t="n">
        <v>29.1</v>
      </c>
      <c r="AV22" s="75" t="n">
        <v>180</v>
      </c>
      <c r="AW22" s="75" t="n">
        <v>150.9</v>
      </c>
      <c r="AX22" s="75" t="n">
        <v>29.1</v>
      </c>
      <c r="AY22" s="75" t="n">
        <v>180</v>
      </c>
      <c r="AZ22" s="75" t="n">
        <v>150.9</v>
      </c>
      <c r="BA22" s="75" t="n">
        <v>29.1</v>
      </c>
      <c r="BB22" s="75" t="n">
        <v>180</v>
      </c>
      <c r="BC22" s="75" t="n">
        <v>150.9</v>
      </c>
      <c r="BD22" s="75" t="n">
        <v>29.1</v>
      </c>
      <c r="BE22" s="75" t="n">
        <v>180</v>
      </c>
      <c r="BF22" s="75" t="n">
        <v>150.9</v>
      </c>
      <c r="BG22" s="75" t="n">
        <v>29.1</v>
      </c>
      <c r="BH22" s="75" t="n">
        <v>180</v>
      </c>
      <c r="BI22" s="75" t="n">
        <v>130.4</v>
      </c>
      <c r="BJ22" s="75" t="n">
        <v>36.61</v>
      </c>
      <c r="BK22" s="75" t="n">
        <v>29.1</v>
      </c>
    </row>
    <row r="23" ht="15" customHeight="1" s="101">
      <c r="A23" s="72" t="inlineStr">
        <is>
          <t>Sta. Maria Norte</t>
        </is>
      </c>
      <c r="B23" s="73" t="n">
        <v>5.61</v>
      </c>
      <c r="C23" s="73" t="n">
        <v>20.7</v>
      </c>
      <c r="D23" s="73" t="n">
        <v>30.73</v>
      </c>
      <c r="E23" s="73" t="n">
        <v>2</v>
      </c>
      <c r="F23" s="73" t="n">
        <v>20.7</v>
      </c>
      <c r="G23" s="73" t="n">
        <v>25.5</v>
      </c>
      <c r="H23" s="73" t="n">
        <v>2</v>
      </c>
      <c r="I23" s="73" t="n">
        <v>20.7</v>
      </c>
      <c r="J23" s="73" t="n">
        <v>12.25</v>
      </c>
      <c r="K23" s="73" t="n">
        <v>2</v>
      </c>
      <c r="L23" s="73" t="n">
        <v>26.4</v>
      </c>
      <c r="M23" s="73" t="n">
        <v>25.5</v>
      </c>
      <c r="N23" s="73" t="n">
        <v>6.97</v>
      </c>
      <c r="O23" s="73" t="n">
        <v>26.4</v>
      </c>
      <c r="P23" s="73" t="n">
        <v>25.5</v>
      </c>
      <c r="Q23" s="73" t="n">
        <v>8.19</v>
      </c>
      <c r="R23" s="73" t="n">
        <v>26.4</v>
      </c>
      <c r="S23" s="73" t="n">
        <v>12</v>
      </c>
      <c r="T23" s="73" t="n">
        <v>2</v>
      </c>
      <c r="U23" s="73" t="n">
        <v>32.1</v>
      </c>
      <c r="V23" s="73" t="n">
        <v>40.47</v>
      </c>
      <c r="W23" s="73" t="n">
        <v>2</v>
      </c>
      <c r="X23" s="73" t="n">
        <v>32.1</v>
      </c>
      <c r="Y23" s="73" t="n">
        <v>2.57</v>
      </c>
      <c r="Z23" s="73" t="n"/>
      <c r="AA23" s="73" t="n"/>
      <c r="AB23" s="73" t="n"/>
      <c r="AC23" s="73" t="n"/>
      <c r="AD23" s="73" t="n"/>
      <c r="AE23" s="73" t="n"/>
      <c r="AF23" s="73" t="n">
        <v>23.3</v>
      </c>
      <c r="AG23" s="73" t="n">
        <v>23.79</v>
      </c>
      <c r="AH23" s="73" t="n">
        <v>23.69</v>
      </c>
      <c r="AI23" s="73" t="n">
        <v>27.79</v>
      </c>
      <c r="AJ23" s="73" t="n">
        <v>28.97</v>
      </c>
      <c r="AK23" s="73" t="n">
        <v>26.92</v>
      </c>
      <c r="AL23" s="73" t="n">
        <v>28</v>
      </c>
      <c r="AM23" s="73" t="n">
        <v>68</v>
      </c>
      <c r="AN23" s="73" t="n">
        <v>24.5</v>
      </c>
      <c r="AO23" s="73" t="n">
        <v>43.5</v>
      </c>
      <c r="AP23" s="73" t="n">
        <v>68</v>
      </c>
      <c r="AQ23" s="73" t="n">
        <v>24.5</v>
      </c>
      <c r="AR23" s="73" t="n">
        <v>43.5</v>
      </c>
      <c r="AS23" s="73" t="n">
        <v>68</v>
      </c>
      <c r="AT23" s="73" t="n">
        <v>24.5</v>
      </c>
      <c r="AU23" s="73" t="n">
        <v>43.5</v>
      </c>
      <c r="AV23" s="73" t="n">
        <v>68</v>
      </c>
      <c r="AW23" s="73" t="n">
        <v>24.5</v>
      </c>
      <c r="AX23" s="73" t="n">
        <v>43.5</v>
      </c>
      <c r="AY23" s="73" t="n">
        <v>68</v>
      </c>
      <c r="AZ23" s="73" t="n">
        <v>24.5</v>
      </c>
      <c r="BA23" s="73" t="n">
        <v>43.5</v>
      </c>
      <c r="BB23" s="73" t="n">
        <v>68</v>
      </c>
      <c r="BC23" s="73" t="n">
        <v>24.5</v>
      </c>
      <c r="BD23" s="73" t="n">
        <v>43.5</v>
      </c>
      <c r="BE23" s="73" t="n">
        <v>68</v>
      </c>
      <c r="BF23" s="73" t="n">
        <v>24.5</v>
      </c>
      <c r="BG23" s="73" t="n">
        <v>43.5</v>
      </c>
      <c r="BH23" s="73" t="n">
        <v>68</v>
      </c>
      <c r="BI23" s="73" t="n">
        <v>30.49</v>
      </c>
      <c r="BJ23" s="73" t="n">
        <v>39.11</v>
      </c>
      <c r="BK23" s="73" t="n">
        <v>43.5</v>
      </c>
    </row>
    <row r="24" ht="15" customHeight="1" s="101">
      <c r="A24" s="74" t="inlineStr">
        <is>
          <t>Bugayong</t>
        </is>
      </c>
      <c r="B24" s="75" t="n">
        <v>2</v>
      </c>
      <c r="C24" s="75" t="n">
        <v>41.02</v>
      </c>
      <c r="D24" s="75" t="n">
        <v>20</v>
      </c>
      <c r="E24" s="75" t="n">
        <v>2</v>
      </c>
      <c r="F24" s="75" t="n">
        <v>41.02</v>
      </c>
      <c r="G24" s="75" t="n">
        <v>10.5</v>
      </c>
      <c r="H24" s="75" t="n">
        <v>2</v>
      </c>
      <c r="I24" s="75" t="n">
        <v>41.02</v>
      </c>
      <c r="J24" s="75" t="n">
        <v>3</v>
      </c>
      <c r="K24" s="75" t="n">
        <v>2</v>
      </c>
      <c r="L24" s="75" t="n">
        <v>41.02</v>
      </c>
      <c r="M24" s="75" t="n">
        <v>16.6</v>
      </c>
      <c r="N24" s="75" t="n">
        <v>2</v>
      </c>
      <c r="O24" s="75" t="n">
        <v>41.02</v>
      </c>
      <c r="P24" s="75" t="n">
        <v>16</v>
      </c>
      <c r="Q24" s="75" t="n">
        <v>2</v>
      </c>
      <c r="R24" s="75" t="n">
        <v>41.02</v>
      </c>
      <c r="S24" s="75" t="n">
        <v>7</v>
      </c>
      <c r="T24" s="75" t="n">
        <v>2</v>
      </c>
      <c r="U24" s="75" t="n">
        <v>41.02</v>
      </c>
      <c r="V24" s="75" t="n">
        <v>12.25</v>
      </c>
      <c r="W24" s="75" t="n">
        <v>10.81</v>
      </c>
      <c r="X24" s="75" t="n">
        <v>41.02</v>
      </c>
      <c r="Y24" s="75" t="n">
        <v>1.36</v>
      </c>
      <c r="Z24" s="75" t="n">
        <v>1</v>
      </c>
      <c r="AA24" s="75" t="n">
        <v>37.8</v>
      </c>
      <c r="AB24" s="75" t="n">
        <v>1</v>
      </c>
      <c r="AC24" s="75" t="n">
        <v>21.9</v>
      </c>
      <c r="AD24" s="75" t="n">
        <v>43.5</v>
      </c>
      <c r="AE24" s="75" t="n">
        <v>2</v>
      </c>
      <c r="AF24" s="75" t="n">
        <v>20.95</v>
      </c>
      <c r="AG24" s="75" t="n">
        <v>21.39</v>
      </c>
      <c r="AH24" s="75" t="n">
        <v>21.3</v>
      </c>
      <c r="AI24" s="75" t="n">
        <v>24.98</v>
      </c>
      <c r="AJ24" s="75" t="n">
        <v>26.04</v>
      </c>
      <c r="AK24" s="75" t="n">
        <v>24.5</v>
      </c>
      <c r="AL24" s="75" t="n">
        <v>31</v>
      </c>
      <c r="AM24" s="75" t="n">
        <v>78</v>
      </c>
      <c r="AN24" s="75" t="n">
        <v>25.95</v>
      </c>
      <c r="AO24" s="75" t="n">
        <v>52.05</v>
      </c>
      <c r="AP24" s="75" t="n">
        <v>78</v>
      </c>
      <c r="AQ24" s="75" t="n">
        <v>25.95</v>
      </c>
      <c r="AR24" s="75" t="n">
        <v>52.05</v>
      </c>
      <c r="AS24" s="75" t="n">
        <v>78</v>
      </c>
      <c r="AT24" s="75" t="n">
        <v>25.95</v>
      </c>
      <c r="AU24" s="75" t="n">
        <v>52.05</v>
      </c>
      <c r="AV24" s="75" t="n">
        <v>78</v>
      </c>
      <c r="AW24" s="75" t="n">
        <v>25.95</v>
      </c>
      <c r="AX24" s="75" t="n">
        <v>52.05</v>
      </c>
      <c r="AY24" s="75" t="n">
        <v>78</v>
      </c>
      <c r="AZ24" s="75" t="n">
        <v>25.95</v>
      </c>
      <c r="BA24" s="75" t="n">
        <v>52.05</v>
      </c>
      <c r="BB24" s="75" t="n">
        <v>78</v>
      </c>
      <c r="BC24" s="75" t="n">
        <v>25.95</v>
      </c>
      <c r="BD24" s="75" t="n">
        <v>52.05</v>
      </c>
      <c r="BE24" s="75" t="n">
        <v>78</v>
      </c>
      <c r="BF24" s="75" t="n">
        <v>25.95</v>
      </c>
      <c r="BG24" s="75" t="n">
        <v>52.05</v>
      </c>
      <c r="BH24" s="75" t="n">
        <v>78</v>
      </c>
      <c r="BI24" s="75" t="n">
        <v>24.5</v>
      </c>
      <c r="BJ24" s="75" t="n">
        <v>41.45</v>
      </c>
      <c r="BK24" s="75" t="n">
        <v>52.05</v>
      </c>
    </row>
    <row r="25" ht="15" customHeight="1" s="101">
      <c r="A25" s="72" t="inlineStr">
        <is>
          <t>Santiago</t>
        </is>
      </c>
      <c r="B25" s="73" t="n">
        <v>20.16</v>
      </c>
      <c r="C25" s="73" t="n">
        <v>81.66</v>
      </c>
      <c r="D25" s="73" t="n">
        <v>81.13</v>
      </c>
      <c r="E25" s="73" t="n">
        <v>15.54</v>
      </c>
      <c r="F25" s="73" t="n">
        <v>81.66</v>
      </c>
      <c r="G25" s="73" t="n">
        <v>85.18000000000001</v>
      </c>
      <c r="H25" s="73" t="n"/>
      <c r="I25" s="73" t="n"/>
      <c r="J25" s="73" t="n"/>
      <c r="K25" s="73" t="n">
        <v>5.3</v>
      </c>
      <c r="L25" s="73" t="n">
        <v>81.66</v>
      </c>
      <c r="M25" s="73" t="n">
        <v>12</v>
      </c>
      <c r="N25" s="73" t="n">
        <v>0.5</v>
      </c>
      <c r="O25" s="73" t="n">
        <v>81.66</v>
      </c>
      <c r="P25" s="73" t="n">
        <v>14</v>
      </c>
      <c r="Q25" s="73" t="n">
        <v>2</v>
      </c>
      <c r="R25" s="73" t="n">
        <v>81.66</v>
      </c>
      <c r="S25" s="73" t="n">
        <v>13</v>
      </c>
      <c r="T25" s="73" t="n">
        <v>2</v>
      </c>
      <c r="U25" s="73" t="n">
        <v>105.76</v>
      </c>
      <c r="V25" s="73" t="n">
        <v>18</v>
      </c>
      <c r="W25" s="73" t="n">
        <v>2</v>
      </c>
      <c r="X25" s="73" t="n">
        <v>85.44</v>
      </c>
      <c r="Y25" s="73" t="n">
        <v>18</v>
      </c>
      <c r="Z25" s="73" t="n">
        <v>1.5</v>
      </c>
      <c r="AA25" s="73" t="n">
        <v>94.92</v>
      </c>
      <c r="AB25" s="73" t="n">
        <v>1.5</v>
      </c>
      <c r="AC25" s="73" t="n">
        <v>7.8</v>
      </c>
      <c r="AD25" s="73" t="n">
        <v>134.2</v>
      </c>
      <c r="AE25" s="73" t="n">
        <v>18</v>
      </c>
      <c r="AF25" s="73" t="n">
        <v>69.48</v>
      </c>
      <c r="AG25" s="73" t="n">
        <v>70.93000000000001</v>
      </c>
      <c r="AH25" s="73" t="n">
        <v>70.65000000000001</v>
      </c>
      <c r="AI25" s="73" t="n">
        <v>82.84</v>
      </c>
      <c r="AJ25" s="73" t="n">
        <v>86.38</v>
      </c>
      <c r="AK25" s="73" t="n">
        <v>130.4</v>
      </c>
      <c r="AL25" s="73" t="n">
        <v>84</v>
      </c>
      <c r="AM25" s="73" t="n">
        <v>251</v>
      </c>
      <c r="AN25" s="73" t="n">
        <v>103.6</v>
      </c>
      <c r="AO25" s="73" t="n">
        <v>147.4</v>
      </c>
      <c r="AP25" s="73" t="n">
        <v>251</v>
      </c>
      <c r="AQ25" s="73" t="n">
        <v>103.6</v>
      </c>
      <c r="AR25" s="73" t="n">
        <v>147.4</v>
      </c>
      <c r="AS25" s="73" t="n">
        <v>251</v>
      </c>
      <c r="AT25" s="73" t="n">
        <v>103.6</v>
      </c>
      <c r="AU25" s="73" t="n">
        <v>147.4</v>
      </c>
      <c r="AV25" s="73" t="n">
        <v>251</v>
      </c>
      <c r="AW25" s="73" t="n">
        <v>103.6</v>
      </c>
      <c r="AX25" s="73" t="n">
        <v>145.4</v>
      </c>
      <c r="AY25" s="73" t="n">
        <v>249</v>
      </c>
      <c r="AZ25" s="73" t="n">
        <v>103.6</v>
      </c>
      <c r="BA25" s="73" t="n">
        <v>145.4</v>
      </c>
      <c r="BB25" s="73" t="n">
        <v>249</v>
      </c>
      <c r="BC25" s="73" t="n">
        <v>103.6</v>
      </c>
      <c r="BD25" s="73" t="n">
        <v>145.4</v>
      </c>
      <c r="BE25" s="73" t="n">
        <v>249</v>
      </c>
      <c r="BF25" s="73" t="n">
        <v>103.6</v>
      </c>
      <c r="BG25" s="73" t="n">
        <v>145.4</v>
      </c>
      <c r="BH25" s="73" t="n">
        <v>249</v>
      </c>
      <c r="BI25" s="73" t="n">
        <v>130.4</v>
      </c>
      <c r="BJ25" s="73" t="n">
        <v>116.29</v>
      </c>
      <c r="BK25" s="73" t="n">
        <v>144.9</v>
      </c>
    </row>
    <row r="26" ht="15" customHeight="1" s="101">
      <c r="A26" s="76" t="inlineStr">
        <is>
          <t>TOTAL</t>
        </is>
      </c>
      <c r="B26" s="77">
        <f>SUM(B5:B25)</f>
        <v/>
      </c>
      <c r="C26" s="77">
        <f>SUM(C5:C25)</f>
        <v/>
      </c>
      <c r="D26" s="77">
        <f>SUM(D5:D25)</f>
        <v/>
      </c>
      <c r="E26" s="77">
        <f>SUM(E5:E25)</f>
        <v/>
      </c>
      <c r="F26" s="77">
        <f>SUM(F5:F25)</f>
        <v/>
      </c>
      <c r="G26" s="77">
        <f>SUM(G5:G25)</f>
        <v/>
      </c>
      <c r="H26" s="77">
        <f>SUM(H5:H25)</f>
        <v/>
      </c>
      <c r="I26" s="77">
        <f>SUM(I5:I25)</f>
        <v/>
      </c>
      <c r="J26" s="77">
        <f>SUM(J5:J25)</f>
        <v/>
      </c>
      <c r="K26" s="77">
        <f>SUM(K5:K25)</f>
        <v/>
      </c>
      <c r="L26" s="77">
        <f>SUM(L5:L25)</f>
        <v/>
      </c>
      <c r="M26" s="77">
        <f>SUM(M5:M25)</f>
        <v/>
      </c>
      <c r="N26" s="77">
        <f>SUM(N5:N25)</f>
        <v/>
      </c>
      <c r="O26" s="77">
        <f>SUM(O5:O25)</f>
        <v/>
      </c>
      <c r="P26" s="77">
        <f>SUM(P5:P25)</f>
        <v/>
      </c>
      <c r="Q26" s="77">
        <f>SUM(Q5:Q25)</f>
        <v/>
      </c>
      <c r="R26" s="77">
        <f>SUM(R5:R25)</f>
        <v/>
      </c>
      <c r="S26" s="77">
        <f>SUM(S5:S25)</f>
        <v/>
      </c>
      <c r="T26" s="77">
        <f>SUM(T5:T25)</f>
        <v/>
      </c>
      <c r="U26" s="77">
        <f>SUM(U5:U25)</f>
        <v/>
      </c>
      <c r="V26" s="77">
        <f>SUM(V5:V25)</f>
        <v/>
      </c>
      <c r="W26" s="77">
        <f>SUM(W5:W25)</f>
        <v/>
      </c>
      <c r="X26" s="77">
        <f>SUM(X5:X25)</f>
        <v/>
      </c>
      <c r="Y26" s="77">
        <f>SUM(Y5:Y25)</f>
        <v/>
      </c>
      <c r="Z26" s="77">
        <f>SUM(Z5:Z25)</f>
        <v/>
      </c>
      <c r="AA26" s="77">
        <f>SUM(AA5:AA25)</f>
        <v/>
      </c>
      <c r="AB26" s="77">
        <f>SUM(AB5:AB25)</f>
        <v/>
      </c>
      <c r="AC26" s="77">
        <f>SUM(AC5:AC25)</f>
        <v/>
      </c>
      <c r="AD26" s="77">
        <f>SUM(AD5:AD25)</f>
        <v/>
      </c>
      <c r="AE26" s="77">
        <f>SUM(AE5:AE25)</f>
        <v/>
      </c>
      <c r="AF26" s="77">
        <f>SUM(AF5:AF25)</f>
        <v/>
      </c>
      <c r="AG26" s="77">
        <f>SUM(AG5:AG25)</f>
        <v/>
      </c>
      <c r="AH26" s="77">
        <f>SUM(AH5:AH25)</f>
        <v/>
      </c>
      <c r="AI26" s="77">
        <f>SUM(AI5:AI25)</f>
        <v/>
      </c>
      <c r="AJ26" s="77">
        <f>SUM(AJ5:AJ25)</f>
        <v/>
      </c>
      <c r="AK26" s="77">
        <f>SUM(AK5:AK25)</f>
        <v/>
      </c>
      <c r="AL26" s="77">
        <f>SUM(AL5:AL25)</f>
        <v/>
      </c>
      <c r="AM26" s="77">
        <f>SUM(AM5:AM25)</f>
        <v/>
      </c>
      <c r="AN26" s="77">
        <f>SUM(AN5:AN25)</f>
        <v/>
      </c>
      <c r="AO26" s="77">
        <f>SUM(AO5:AO25)</f>
        <v/>
      </c>
      <c r="AP26" s="77">
        <f>SUM(AP5:AP25)</f>
        <v/>
      </c>
      <c r="AQ26" s="77">
        <f>SUM(AQ5:AQ25)</f>
        <v/>
      </c>
      <c r="AR26" s="77">
        <f>SUM(AR5:AR25)</f>
        <v/>
      </c>
      <c r="AS26" s="77">
        <f>SUM(AS5:AS25)</f>
        <v/>
      </c>
      <c r="AT26" s="77">
        <f>SUM(AT5:AT25)</f>
        <v/>
      </c>
      <c r="AU26" s="77">
        <f>SUM(AU5:AU25)</f>
        <v/>
      </c>
      <c r="AV26" s="77">
        <f>SUM(AV5:AV25)</f>
        <v/>
      </c>
      <c r="AW26" s="77">
        <f>SUM(AW5:AW25)</f>
        <v/>
      </c>
      <c r="AX26" s="77">
        <f>SUM(AX5:AX25)</f>
        <v/>
      </c>
      <c r="AY26" s="77">
        <f>SUM(AY5:AY25)</f>
        <v/>
      </c>
      <c r="AZ26" s="77">
        <f>SUM(AZ5:AZ25)</f>
        <v/>
      </c>
      <c r="BA26" s="77">
        <f>SUM(BA5:BA25)</f>
        <v/>
      </c>
      <c r="BB26" s="77">
        <f>SUM(BB5:BB25)</f>
        <v/>
      </c>
      <c r="BC26" s="77">
        <f>SUM(BC5:BC25)</f>
        <v/>
      </c>
      <c r="BD26" s="77">
        <f>SUM(BD5:BD25)</f>
        <v/>
      </c>
      <c r="BE26" s="77">
        <f>SUM(BE5:BE25)</f>
        <v/>
      </c>
      <c r="BF26" s="77">
        <f>SUM(BF5:BF25)</f>
        <v/>
      </c>
      <c r="BG26" s="77">
        <f>SUM(BG5:BG25)</f>
        <v/>
      </c>
      <c r="BH26" s="77">
        <f>SUM(BH5:BH25)</f>
        <v/>
      </c>
      <c r="BI26" s="77">
        <f>SUM(BI5:BI25)</f>
        <v/>
      </c>
      <c r="BJ26" s="77">
        <f>SUM(BJ5:BJ25)</f>
        <v/>
      </c>
      <c r="BK26" s="77">
        <f>SUM(BK5:BK25)</f>
        <v/>
      </c>
    </row>
  </sheetData>
  <mergeCells count="40">
    <mergeCell ref="AW3:AY3"/>
    <mergeCell ref="N2:P2"/>
    <mergeCell ref="A2:A4"/>
    <mergeCell ref="W3:Y3"/>
    <mergeCell ref="A1:BK1"/>
    <mergeCell ref="H2:J2"/>
    <mergeCell ref="Z3:AB3"/>
    <mergeCell ref="AQ2:AS2"/>
    <mergeCell ref="BC3:BE3"/>
    <mergeCell ref="BI3:BK3"/>
    <mergeCell ref="T2:V2"/>
    <mergeCell ref="Z2:AB2"/>
    <mergeCell ref="E2:G2"/>
    <mergeCell ref="K2:M2"/>
    <mergeCell ref="AN2:AP2"/>
    <mergeCell ref="N3:P3"/>
    <mergeCell ref="AZ3:BB3"/>
    <mergeCell ref="H3:J3"/>
    <mergeCell ref="Q2:S2"/>
    <mergeCell ref="W2:Y2"/>
    <mergeCell ref="AT2:AV2"/>
    <mergeCell ref="AZ2:BB2"/>
    <mergeCell ref="AK2:AM2"/>
    <mergeCell ref="AC2:AE2"/>
    <mergeCell ref="BF2:BH2"/>
    <mergeCell ref="T3:V3"/>
    <mergeCell ref="E3:G3"/>
    <mergeCell ref="K3:M3"/>
    <mergeCell ref="AN3:AP3"/>
    <mergeCell ref="Q3:S3"/>
    <mergeCell ref="AW2:AY2"/>
    <mergeCell ref="B3:D3"/>
    <mergeCell ref="BC2:BE2"/>
    <mergeCell ref="BI2:BK2"/>
    <mergeCell ref="AC3:AE3"/>
    <mergeCell ref="AT3:AV3"/>
    <mergeCell ref="AK3:AM3"/>
    <mergeCell ref="BF3:BH3"/>
    <mergeCell ref="B2:D2"/>
    <mergeCell ref="AQ3:AS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2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" sqref="A1:BO1"/>
    </sheetView>
  </sheetViews>
  <sheetFormatPr baseColWidth="8" defaultColWidth="8.6640625" defaultRowHeight="14.4"/>
  <cols>
    <col width="22" customWidth="1" style="101" min="1" max="1"/>
    <col width="13" customWidth="1" style="101" min="2" max="67"/>
  </cols>
  <sheetData>
    <row r="1" ht="25.5" customHeight="1" s="101">
      <c r="A1" s="123" t="inlineStr">
        <is>
          <t>Binalonan, Pangasinan – Rice &amp; Corn Area Harvested, Production &amp; Yield by Barangay, Season and Year</t>
        </is>
      </c>
    </row>
    <row r="2" ht="18" customHeight="1" s="101">
      <c r="A2" s="115" t="inlineStr">
        <is>
          <t>Barangay</t>
        </is>
      </c>
      <c r="B2" s="114" t="inlineStr">
        <is>
          <t>DS 2007-2008</t>
        </is>
      </c>
      <c r="C2" s="112" t="n"/>
      <c r="D2" s="113" t="n"/>
      <c r="E2" s="114" t="inlineStr">
        <is>
          <t>DS 2008-2009</t>
        </is>
      </c>
      <c r="F2" s="112" t="n"/>
      <c r="G2" s="113" t="n"/>
      <c r="H2" s="114" t="inlineStr">
        <is>
          <t>DS 2011-2012</t>
        </is>
      </c>
      <c r="I2" s="112" t="n"/>
      <c r="J2" s="113" t="n"/>
      <c r="K2" s="114" t="inlineStr">
        <is>
          <t>DS 2012-2013</t>
        </is>
      </c>
      <c r="L2" s="112" t="n"/>
      <c r="M2" s="113" t="n"/>
      <c r="N2" s="114" t="inlineStr">
        <is>
          <t>DS 2013-2014</t>
        </is>
      </c>
      <c r="O2" s="112" t="n"/>
      <c r="P2" s="113" t="n"/>
      <c r="Q2" s="114" t="inlineStr">
        <is>
          <t>DS 2019-2020</t>
        </is>
      </c>
      <c r="R2" s="112" t="n"/>
      <c r="S2" s="113" t="n"/>
      <c r="T2" s="114" t="inlineStr">
        <is>
          <t>DS 2020-2021</t>
        </is>
      </c>
      <c r="U2" s="112" t="n"/>
      <c r="V2" s="113" t="n"/>
      <c r="W2" s="114" t="inlineStr">
        <is>
          <t>DS 2021-2022</t>
        </is>
      </c>
      <c r="X2" s="112" t="n"/>
      <c r="Y2" s="113" t="n"/>
      <c r="Z2" s="114" t="inlineStr">
        <is>
          <t>DS 2022-2023</t>
        </is>
      </c>
      <c r="AA2" s="112" t="n"/>
      <c r="AB2" s="113" t="n"/>
      <c r="AC2" s="122" t="inlineStr">
        <is>
          <t>DS 2020-2021</t>
        </is>
      </c>
      <c r="AD2" s="112" t="n"/>
      <c r="AE2" s="113" t="n"/>
      <c r="AF2" s="122" t="inlineStr">
        <is>
          <t>DS 2021-2022</t>
        </is>
      </c>
      <c r="AG2" s="112" t="n"/>
      <c r="AH2" s="113" t="n"/>
      <c r="AI2" s="122" t="inlineStr">
        <is>
          <t>DS 2022-2023</t>
        </is>
      </c>
      <c r="AJ2" s="112" t="n"/>
      <c r="AK2" s="113" t="n"/>
      <c r="AL2" s="122" t="inlineStr">
        <is>
          <t>DS 2023-2024</t>
        </is>
      </c>
      <c r="AM2" s="112" t="n"/>
      <c r="AN2" s="113" t="n"/>
      <c r="AO2" s="122" t="inlineStr">
        <is>
          <t>DS 2024-2025</t>
        </is>
      </c>
      <c r="AP2" s="112" t="n"/>
      <c r="AQ2" s="113" t="n"/>
      <c r="AR2" s="120" t="inlineStr">
        <is>
          <t>WS 2016</t>
        </is>
      </c>
      <c r="AS2" s="112" t="n"/>
      <c r="AT2" s="113" t="n"/>
      <c r="AU2" s="120" t="inlineStr">
        <is>
          <t>WS 2017</t>
        </is>
      </c>
      <c r="AV2" s="112" t="n"/>
      <c r="AW2" s="113" t="n"/>
      <c r="AX2" s="120" t="inlineStr">
        <is>
          <t>WS 2018</t>
        </is>
      </c>
      <c r="AY2" s="112" t="n"/>
      <c r="AZ2" s="113" t="n"/>
      <c r="BA2" s="120" t="inlineStr">
        <is>
          <t>WS 2019</t>
        </is>
      </c>
      <c r="BB2" s="112" t="n"/>
      <c r="BC2" s="113" t="n"/>
      <c r="BD2" s="120" t="inlineStr">
        <is>
          <t>WS 2020</t>
        </is>
      </c>
      <c r="BE2" s="112" t="n"/>
      <c r="BF2" s="113" t="n"/>
      <c r="BG2" s="120" t="inlineStr">
        <is>
          <t>WS 2021</t>
        </is>
      </c>
      <c r="BH2" s="112" t="n"/>
      <c r="BI2" s="113" t="n"/>
      <c r="BJ2" s="120" t="inlineStr">
        <is>
          <t>WS 2022</t>
        </is>
      </c>
      <c r="BK2" s="112" t="n"/>
      <c r="BL2" s="113" t="n"/>
      <c r="BM2" s="120" t="inlineStr">
        <is>
          <t>WS 2023</t>
        </is>
      </c>
      <c r="BN2" s="112" t="n"/>
      <c r="BO2" s="113" t="n"/>
    </row>
    <row r="3" ht="18" customHeight="1" s="101">
      <c r="A3" s="116" t="n"/>
      <c r="B3" s="118" t="inlineStr">
        <is>
          <t>Palay</t>
        </is>
      </c>
      <c r="C3" s="112" t="n"/>
      <c r="D3" s="113" t="n"/>
      <c r="E3" s="118" t="inlineStr">
        <is>
          <t>Palay</t>
        </is>
      </c>
      <c r="F3" s="112" t="n"/>
      <c r="G3" s="113" t="n"/>
      <c r="H3" s="118" t="inlineStr">
        <is>
          <t>Palay</t>
        </is>
      </c>
      <c r="I3" s="112" t="n"/>
      <c r="J3" s="113" t="n"/>
      <c r="K3" s="118" t="inlineStr">
        <is>
          <t>Palay</t>
        </is>
      </c>
      <c r="L3" s="112" t="n"/>
      <c r="M3" s="113" t="n"/>
      <c r="N3" s="118" t="inlineStr">
        <is>
          <t>Palay</t>
        </is>
      </c>
      <c r="O3" s="112" t="n"/>
      <c r="P3" s="113" t="n"/>
      <c r="Q3" s="118" t="inlineStr">
        <is>
          <t>Palay</t>
        </is>
      </c>
      <c r="R3" s="112" t="n"/>
      <c r="S3" s="113" t="n"/>
      <c r="T3" s="118" t="inlineStr">
        <is>
          <t>Palay</t>
        </is>
      </c>
      <c r="U3" s="112" t="n"/>
      <c r="V3" s="113" t="n"/>
      <c r="W3" s="118" t="inlineStr">
        <is>
          <t>Palay</t>
        </is>
      </c>
      <c r="X3" s="112" t="n"/>
      <c r="Y3" s="113" t="n"/>
      <c r="Z3" s="118" t="inlineStr">
        <is>
          <t>Palay</t>
        </is>
      </c>
      <c r="AA3" s="112" t="n"/>
      <c r="AB3" s="113" t="n"/>
      <c r="AC3" s="121" t="inlineStr">
        <is>
          <t>Corn</t>
        </is>
      </c>
      <c r="AD3" s="112" t="n"/>
      <c r="AE3" s="113" t="n"/>
      <c r="AF3" s="121" t="inlineStr">
        <is>
          <t>Corn</t>
        </is>
      </c>
      <c r="AG3" s="112" t="n"/>
      <c r="AH3" s="113" t="n"/>
      <c r="AI3" s="121" t="inlineStr">
        <is>
          <t>Corn</t>
        </is>
      </c>
      <c r="AJ3" s="112" t="n"/>
      <c r="AK3" s="113" t="n"/>
      <c r="AL3" s="121" t="inlineStr">
        <is>
          <t>Corn</t>
        </is>
      </c>
      <c r="AM3" s="112" t="n"/>
      <c r="AN3" s="113" t="n"/>
      <c r="AO3" s="121" t="inlineStr">
        <is>
          <t>Corn</t>
        </is>
      </c>
      <c r="AP3" s="112" t="n"/>
      <c r="AQ3" s="113" t="n"/>
      <c r="AR3" s="111" t="inlineStr">
        <is>
          <t>Palay</t>
        </is>
      </c>
      <c r="AS3" s="112" t="n"/>
      <c r="AT3" s="113" t="n"/>
      <c r="AU3" s="111" t="inlineStr">
        <is>
          <t>Palay</t>
        </is>
      </c>
      <c r="AV3" s="112" t="n"/>
      <c r="AW3" s="113" t="n"/>
      <c r="AX3" s="111" t="inlineStr">
        <is>
          <t>Palay</t>
        </is>
      </c>
      <c r="AY3" s="112" t="n"/>
      <c r="AZ3" s="113" t="n"/>
      <c r="BA3" s="111" t="inlineStr">
        <is>
          <t>Palay</t>
        </is>
      </c>
      <c r="BB3" s="112" t="n"/>
      <c r="BC3" s="113" t="n"/>
      <c r="BD3" s="111" t="inlineStr">
        <is>
          <t>Palay</t>
        </is>
      </c>
      <c r="BE3" s="112" t="n"/>
      <c r="BF3" s="113" t="n"/>
      <c r="BG3" s="111" t="inlineStr">
        <is>
          <t>Palay</t>
        </is>
      </c>
      <c r="BH3" s="112" t="n"/>
      <c r="BI3" s="113" t="n"/>
      <c r="BJ3" s="111" t="inlineStr">
        <is>
          <t>Palay</t>
        </is>
      </c>
      <c r="BK3" s="112" t="n"/>
      <c r="BL3" s="113" t="n"/>
      <c r="BM3" s="111" t="inlineStr">
        <is>
          <t>Palay</t>
        </is>
      </c>
      <c r="BN3" s="112" t="n"/>
      <c r="BO3" s="113" t="n"/>
    </row>
    <row r="4" ht="30" customHeight="1" s="101">
      <c r="A4" s="117" t="n"/>
      <c r="B4" s="118" t="inlineStr">
        <is>
          <t>Area Harv.
(ha)</t>
        </is>
      </c>
      <c r="C4" s="118" t="inlineStr">
        <is>
          <t>Production
(MT)</t>
        </is>
      </c>
      <c r="D4" s="118" t="inlineStr">
        <is>
          <t>Yield
(MT/ha)</t>
        </is>
      </c>
      <c r="E4" s="118" t="inlineStr">
        <is>
          <t>Area Harv.
(ha)</t>
        </is>
      </c>
      <c r="F4" s="118" t="inlineStr">
        <is>
          <t>Production
(MT)</t>
        </is>
      </c>
      <c r="G4" s="118" t="inlineStr">
        <is>
          <t>Yield
(MT/ha)</t>
        </is>
      </c>
      <c r="H4" s="118" t="inlineStr">
        <is>
          <t>Area Harv.
(ha)</t>
        </is>
      </c>
      <c r="I4" s="118" t="inlineStr">
        <is>
          <t>Production
(MT)</t>
        </is>
      </c>
      <c r="J4" s="118" t="inlineStr">
        <is>
          <t>Yield
(MT/ha)</t>
        </is>
      </c>
      <c r="K4" s="118" t="inlineStr">
        <is>
          <t>Area Harv.
(ha)</t>
        </is>
      </c>
      <c r="L4" s="118" t="inlineStr">
        <is>
          <t>Production
(MT)</t>
        </is>
      </c>
      <c r="M4" s="118" t="inlineStr">
        <is>
          <t>Yield
(MT/ha)</t>
        </is>
      </c>
      <c r="N4" s="118" t="inlineStr">
        <is>
          <t>Area Harv.
(ha)</t>
        </is>
      </c>
      <c r="O4" s="118" t="inlineStr">
        <is>
          <t>Production
(MT)</t>
        </is>
      </c>
      <c r="P4" s="118" t="inlineStr">
        <is>
          <t>Yield
(MT/ha)</t>
        </is>
      </c>
      <c r="Q4" s="118" t="inlineStr">
        <is>
          <t>Area Harv.
(ha)</t>
        </is>
      </c>
      <c r="R4" s="118" t="inlineStr">
        <is>
          <t>Production
(MT)</t>
        </is>
      </c>
      <c r="S4" s="118" t="inlineStr">
        <is>
          <t>Yield
(MT/ha)</t>
        </is>
      </c>
      <c r="T4" s="118" t="inlineStr">
        <is>
          <t>Area Harv.
(ha)</t>
        </is>
      </c>
      <c r="U4" s="118" t="inlineStr">
        <is>
          <t>Production
(MT)</t>
        </is>
      </c>
      <c r="V4" s="118" t="inlineStr">
        <is>
          <t>Yield
(MT/ha)</t>
        </is>
      </c>
      <c r="W4" s="118" t="inlineStr">
        <is>
          <t>Area Harv.
(ha)</t>
        </is>
      </c>
      <c r="X4" s="118" t="inlineStr">
        <is>
          <t>Production
(MT)</t>
        </is>
      </c>
      <c r="Y4" s="118" t="inlineStr">
        <is>
          <t>Yield
(MT/ha)</t>
        </is>
      </c>
      <c r="Z4" s="118" t="inlineStr">
        <is>
          <t>Area Harv.
(ha)</t>
        </is>
      </c>
      <c r="AA4" s="118" t="inlineStr">
        <is>
          <t>Production
(MT)</t>
        </is>
      </c>
      <c r="AB4" s="118" t="inlineStr">
        <is>
          <t>Yield
(MT/ha)</t>
        </is>
      </c>
      <c r="AC4" s="121" t="inlineStr">
        <is>
          <t>Area Harv.
(ha)</t>
        </is>
      </c>
      <c r="AD4" s="121" t="inlineStr">
        <is>
          <t>Production
(MT)</t>
        </is>
      </c>
      <c r="AE4" s="121" t="inlineStr">
        <is>
          <t>Yield
(MT/ha)</t>
        </is>
      </c>
      <c r="AF4" s="121" t="inlineStr">
        <is>
          <t>Area Harv.
(ha)</t>
        </is>
      </c>
      <c r="AG4" s="121" t="inlineStr">
        <is>
          <t>Production
(MT)</t>
        </is>
      </c>
      <c r="AH4" s="121" t="inlineStr">
        <is>
          <t>Yield
(MT/ha)</t>
        </is>
      </c>
      <c r="AI4" s="121" t="inlineStr">
        <is>
          <t>Area Harv.
(ha)</t>
        </is>
      </c>
      <c r="AJ4" s="121" t="inlineStr">
        <is>
          <t>Production
(MT)</t>
        </is>
      </c>
      <c r="AK4" s="121" t="inlineStr">
        <is>
          <t>Yield
(MT/ha)</t>
        </is>
      </c>
      <c r="AL4" s="121" t="inlineStr">
        <is>
          <t>Area Harv.
(ha)</t>
        </is>
      </c>
      <c r="AM4" s="121" t="inlineStr">
        <is>
          <t>Production
(MT)</t>
        </is>
      </c>
      <c r="AN4" s="121" t="inlineStr">
        <is>
          <t>Yield
(MT/ha)</t>
        </is>
      </c>
      <c r="AO4" s="121" t="inlineStr">
        <is>
          <t>Area Harv.
(ha)</t>
        </is>
      </c>
      <c r="AP4" s="121" t="inlineStr">
        <is>
          <t>Production
(MT)</t>
        </is>
      </c>
      <c r="AQ4" s="121" t="inlineStr">
        <is>
          <t>Yield
(MT/ha)</t>
        </is>
      </c>
      <c r="AR4" s="111" t="inlineStr">
        <is>
          <t>Area Harv.
(ha)</t>
        </is>
      </c>
      <c r="AS4" s="111" t="inlineStr">
        <is>
          <t>Production
(MT)</t>
        </is>
      </c>
      <c r="AT4" s="111" t="inlineStr">
        <is>
          <t>Yield
(MT/ha)</t>
        </is>
      </c>
      <c r="AU4" s="111" t="inlineStr">
        <is>
          <t>Area Harv.
(ha)</t>
        </is>
      </c>
      <c r="AV4" s="111" t="inlineStr">
        <is>
          <t>Production
(MT)</t>
        </is>
      </c>
      <c r="AW4" s="111" t="inlineStr">
        <is>
          <t>Yield
(MT/ha)</t>
        </is>
      </c>
      <c r="AX4" s="111" t="inlineStr">
        <is>
          <t>Area Harv.
(ha)</t>
        </is>
      </c>
      <c r="AY4" s="111" t="inlineStr">
        <is>
          <t>Production
(MT)</t>
        </is>
      </c>
      <c r="AZ4" s="111" t="inlineStr">
        <is>
          <t>Yield
(MT/ha)</t>
        </is>
      </c>
      <c r="BA4" s="111" t="inlineStr">
        <is>
          <t>Area Harv.
(ha)</t>
        </is>
      </c>
      <c r="BB4" s="111" t="inlineStr">
        <is>
          <t>Production
(MT)</t>
        </is>
      </c>
      <c r="BC4" s="111" t="inlineStr">
        <is>
          <t>Yield
(MT/ha)</t>
        </is>
      </c>
      <c r="BD4" s="111" t="inlineStr">
        <is>
          <t>Area Harv.
(ha)</t>
        </is>
      </c>
      <c r="BE4" s="111" t="inlineStr">
        <is>
          <t>Production
(MT)</t>
        </is>
      </c>
      <c r="BF4" s="111" t="inlineStr">
        <is>
          <t>Yield
(MT/ha)</t>
        </is>
      </c>
      <c r="BG4" s="111" t="inlineStr">
        <is>
          <t>Area Harv.
(ha)</t>
        </is>
      </c>
      <c r="BH4" s="111" t="inlineStr">
        <is>
          <t>Production
(MT)</t>
        </is>
      </c>
      <c r="BI4" s="111" t="inlineStr">
        <is>
          <t>Yield
(MT/ha)</t>
        </is>
      </c>
      <c r="BJ4" s="111" t="inlineStr">
        <is>
          <t>Area Harv.
(ha)</t>
        </is>
      </c>
      <c r="BK4" s="111" t="inlineStr">
        <is>
          <t>Production
(MT)</t>
        </is>
      </c>
      <c r="BL4" s="111" t="inlineStr">
        <is>
          <t>Yield
(MT/ha)</t>
        </is>
      </c>
      <c r="BM4" s="111" t="inlineStr">
        <is>
          <t>Area Harv.
(ha)</t>
        </is>
      </c>
      <c r="BN4" s="111" t="inlineStr">
        <is>
          <t>Production
(MT)</t>
        </is>
      </c>
      <c r="BO4" s="111" t="inlineStr">
        <is>
          <t>Yield
(MT/ha)</t>
        </is>
      </c>
    </row>
    <row r="5" ht="15" customHeight="1" s="101">
      <c r="A5" s="72" t="inlineStr">
        <is>
          <t>Pasileng Norte</t>
        </is>
      </c>
      <c r="B5" s="73" t="n">
        <v>1</v>
      </c>
      <c r="C5" s="73" t="n">
        <v>6</v>
      </c>
      <c r="D5" s="78" t="n">
        <v>6</v>
      </c>
      <c r="E5" s="73" t="n">
        <v>3.83</v>
      </c>
      <c r="F5" s="73" t="n">
        <v>15.85</v>
      </c>
      <c r="G5" s="78" t="n">
        <v>4.14</v>
      </c>
      <c r="H5" s="73" t="n">
        <v>5.51</v>
      </c>
      <c r="I5" s="73" t="n">
        <v>22.63</v>
      </c>
      <c r="J5" s="78" t="n">
        <v>4.11</v>
      </c>
      <c r="K5" s="73" t="n">
        <v>2.77</v>
      </c>
      <c r="L5" s="73" t="n">
        <v>22.16</v>
      </c>
      <c r="M5" s="78" t="n">
        <v>8</v>
      </c>
      <c r="N5" s="73" t="n">
        <v>6.85</v>
      </c>
      <c r="O5" s="73" t="n">
        <v>36.02</v>
      </c>
      <c r="P5" s="78" t="n">
        <v>5.26</v>
      </c>
      <c r="Q5" s="73" t="n">
        <v>4.85</v>
      </c>
      <c r="R5" s="73" t="n">
        <v>29.41</v>
      </c>
      <c r="S5" s="78" t="n">
        <v>6.06</v>
      </c>
      <c r="T5" s="73" t="n">
        <v>1.1</v>
      </c>
      <c r="U5" s="73" t="n">
        <v>5.23</v>
      </c>
      <c r="V5" s="78" t="n">
        <v>4.75</v>
      </c>
      <c r="W5" s="73" t="n">
        <v>0.6</v>
      </c>
      <c r="X5" s="73" t="n">
        <v>3.06</v>
      </c>
      <c r="Y5" s="78" t="n">
        <v>5.1</v>
      </c>
      <c r="Z5" s="73" t="n">
        <v>75</v>
      </c>
      <c r="AA5" s="73" t="n">
        <v>397.92</v>
      </c>
      <c r="AB5" s="78" t="n">
        <v>5.31</v>
      </c>
      <c r="AC5" s="73" t="n">
        <v>35.8</v>
      </c>
      <c r="AD5" s="73" t="n">
        <v>293.9</v>
      </c>
      <c r="AE5" s="78" t="n">
        <v>8.210000000000001</v>
      </c>
      <c r="AF5" s="73" t="n">
        <v>36.55</v>
      </c>
      <c r="AG5" s="73" t="n">
        <v>272.06</v>
      </c>
      <c r="AH5" s="78" t="n">
        <v>7.44</v>
      </c>
      <c r="AI5" s="73" t="n">
        <v>36.4</v>
      </c>
      <c r="AJ5" s="73" t="n">
        <v>274.17</v>
      </c>
      <c r="AK5" s="78" t="n">
        <v>7.53</v>
      </c>
      <c r="AL5" s="73" t="n">
        <v>41.22</v>
      </c>
      <c r="AM5" s="73" t="n">
        <v>297.46</v>
      </c>
      <c r="AN5" s="78" t="n">
        <v>7.22</v>
      </c>
      <c r="AO5" s="73" t="n">
        <v>44.51</v>
      </c>
      <c r="AP5" s="73" t="n">
        <v>347.2</v>
      </c>
      <c r="AQ5" s="78" t="n">
        <v>7.8</v>
      </c>
      <c r="AR5" s="73" t="n">
        <v>2.17</v>
      </c>
      <c r="AS5" s="73" t="n">
        <v>17.36</v>
      </c>
      <c r="AT5" s="78" t="n">
        <v>8</v>
      </c>
      <c r="AU5" s="73" t="n">
        <v>2.25</v>
      </c>
      <c r="AV5" s="73" t="n">
        <v>18</v>
      </c>
      <c r="AW5" s="78" t="n">
        <v>8</v>
      </c>
      <c r="AX5" s="73" t="n">
        <v>2.44</v>
      </c>
      <c r="AY5" s="73" t="n">
        <v>19.52</v>
      </c>
      <c r="AZ5" s="78" t="n">
        <v>8</v>
      </c>
      <c r="BA5" s="73" t="n">
        <v>3.19</v>
      </c>
      <c r="BB5" s="73" t="n">
        <v>25.52</v>
      </c>
      <c r="BC5" s="78" t="n">
        <v>8</v>
      </c>
      <c r="BD5" s="73" t="n">
        <v>4.5</v>
      </c>
      <c r="BE5" s="73" t="n">
        <v>24.75</v>
      </c>
      <c r="BF5" s="78" t="n">
        <v>5.5</v>
      </c>
      <c r="BG5" s="73" t="n">
        <v>18.07</v>
      </c>
      <c r="BH5" s="73" t="n">
        <v>92.89</v>
      </c>
      <c r="BI5" s="78" t="n">
        <v>5.14</v>
      </c>
      <c r="BJ5" s="73" t="n">
        <v>68.01000000000001</v>
      </c>
      <c r="BK5" s="73" t="n">
        <v>0</v>
      </c>
      <c r="BL5" s="78" t="n">
        <v>0</v>
      </c>
      <c r="BM5" s="73" t="n">
        <v>78.34999999999999</v>
      </c>
      <c r="BN5" s="73" t="n">
        <v>423.46</v>
      </c>
      <c r="BO5" s="78" t="n">
        <v>5.4</v>
      </c>
    </row>
    <row r="6" ht="15" customHeight="1" s="101">
      <c r="A6" s="74" t="inlineStr">
        <is>
          <t>Tabuyoc</t>
        </is>
      </c>
      <c r="B6" s="75" t="n">
        <v>1</v>
      </c>
      <c r="C6" s="75" t="n">
        <v>6.1</v>
      </c>
      <c r="D6" s="79" t="n">
        <v>6.1</v>
      </c>
      <c r="E6" s="75" t="n">
        <v>1.29</v>
      </c>
      <c r="F6" s="75" t="n">
        <v>10.32</v>
      </c>
      <c r="G6" s="79" t="n">
        <v>8</v>
      </c>
      <c r="H6" s="75" t="n">
        <v>3.56</v>
      </c>
      <c r="I6" s="75" t="n">
        <v>28.48</v>
      </c>
      <c r="J6" s="79" t="n">
        <v>8</v>
      </c>
      <c r="K6" s="75" t="n">
        <v>6.19</v>
      </c>
      <c r="L6" s="75" t="n">
        <v>33.89</v>
      </c>
      <c r="M6" s="79" t="n">
        <v>5.47</v>
      </c>
      <c r="N6" s="75" t="n">
        <v>6.75</v>
      </c>
      <c r="O6" s="75" t="n">
        <v>35.53</v>
      </c>
      <c r="P6" s="79" t="n">
        <v>5.26</v>
      </c>
      <c r="Q6" s="75" t="n">
        <v>12.55</v>
      </c>
      <c r="R6" s="75" t="n">
        <v>68.22</v>
      </c>
      <c r="S6" s="79" t="n">
        <v>5.44</v>
      </c>
      <c r="T6" s="75" t="n">
        <v>12.56</v>
      </c>
      <c r="U6" s="75" t="n">
        <v>40.76</v>
      </c>
      <c r="V6" s="79" t="n">
        <v>3.25</v>
      </c>
      <c r="W6" s="75" t="n">
        <v>0.8</v>
      </c>
      <c r="X6" s="75" t="n">
        <v>3.66</v>
      </c>
      <c r="Y6" s="79" t="n">
        <v>4.58</v>
      </c>
      <c r="Z6" s="75" t="n">
        <v>130</v>
      </c>
      <c r="AA6" s="75" t="n">
        <v>724.9400000000001</v>
      </c>
      <c r="AB6" s="79" t="n">
        <v>5.58</v>
      </c>
      <c r="AC6" s="75" t="n">
        <v>55.45</v>
      </c>
      <c r="AD6" s="75" t="n">
        <v>455.12</v>
      </c>
      <c r="AE6" s="79" t="n">
        <v>8.210000000000001</v>
      </c>
      <c r="AF6" s="75" t="n">
        <v>56.61</v>
      </c>
      <c r="AG6" s="75" t="n">
        <v>421.31</v>
      </c>
      <c r="AH6" s="79" t="n">
        <v>7.44</v>
      </c>
      <c r="AI6" s="75" t="n">
        <v>56.37</v>
      </c>
      <c r="AJ6" s="75" t="n">
        <v>424.58</v>
      </c>
      <c r="AK6" s="79" t="n">
        <v>7.53</v>
      </c>
      <c r="AL6" s="75" t="n">
        <v>63.83</v>
      </c>
      <c r="AM6" s="75" t="n">
        <v>460.63</v>
      </c>
      <c r="AN6" s="79" t="n">
        <v>7.22</v>
      </c>
      <c r="AO6" s="75" t="n">
        <v>68.93000000000001</v>
      </c>
      <c r="AP6" s="75" t="n">
        <v>537.67</v>
      </c>
      <c r="AQ6" s="79" t="n">
        <v>7.8</v>
      </c>
      <c r="AR6" s="75" t="n">
        <v>4</v>
      </c>
      <c r="AS6" s="75" t="n">
        <v>10.87</v>
      </c>
      <c r="AT6" s="79" t="n">
        <v>2.72</v>
      </c>
      <c r="AU6" s="75" t="n">
        <v>4</v>
      </c>
      <c r="AV6" s="75" t="n">
        <v>11.07</v>
      </c>
      <c r="AW6" s="79" t="n">
        <v>2.77</v>
      </c>
      <c r="AX6" s="75" t="n">
        <v>4</v>
      </c>
      <c r="AY6" s="75" t="n">
        <v>11.46</v>
      </c>
      <c r="AZ6" s="79" t="n">
        <v>2.86</v>
      </c>
      <c r="BA6" s="75" t="n">
        <v>4</v>
      </c>
      <c r="BB6" s="75" t="n">
        <v>10.55</v>
      </c>
      <c r="BC6" s="79" t="n">
        <v>2.64</v>
      </c>
      <c r="BD6" s="75" t="n">
        <v>4</v>
      </c>
      <c r="BE6" s="75" t="n">
        <v>21.36</v>
      </c>
      <c r="BF6" s="79" t="n">
        <v>5.34</v>
      </c>
      <c r="BG6" s="75" t="n">
        <v>16.06</v>
      </c>
      <c r="BH6" s="75" t="n">
        <v>5.84</v>
      </c>
      <c r="BI6" s="79" t="n">
        <v>0.36</v>
      </c>
      <c r="BJ6" s="75" t="n">
        <v>3.64</v>
      </c>
      <c r="BK6" s="75" t="n">
        <v>0</v>
      </c>
      <c r="BL6" s="79" t="n">
        <v>0</v>
      </c>
      <c r="BM6" s="75" t="n">
        <v>134</v>
      </c>
      <c r="BN6" s="75" t="n">
        <v>691.25</v>
      </c>
      <c r="BO6" s="79" t="n">
        <v>5.16</v>
      </c>
    </row>
    <row r="7" ht="15" customHeight="1" s="101">
      <c r="A7" s="72" t="inlineStr">
        <is>
          <t>Bued</t>
        </is>
      </c>
      <c r="B7" s="73" t="n">
        <v>1.05</v>
      </c>
      <c r="C7" s="73" t="n">
        <v>8.4</v>
      </c>
      <c r="D7" s="78" t="n">
        <v>8</v>
      </c>
      <c r="E7" s="73" t="n">
        <v>1.05</v>
      </c>
      <c r="F7" s="73" t="n">
        <v>8.4</v>
      </c>
      <c r="G7" s="78" t="n">
        <v>8</v>
      </c>
      <c r="H7" s="73" t="n"/>
      <c r="I7" s="73" t="n"/>
      <c r="J7" s="78" t="n"/>
      <c r="K7" s="73" t="n"/>
      <c r="L7" s="73" t="n"/>
      <c r="M7" s="78" t="n"/>
      <c r="N7" s="73" t="n"/>
      <c r="O7" s="73" t="n"/>
      <c r="P7" s="78" t="n"/>
      <c r="Q7" s="73" t="n"/>
      <c r="R7" s="73" t="n"/>
      <c r="S7" s="78" t="n"/>
      <c r="T7" s="73" t="n"/>
      <c r="U7" s="73" t="n"/>
      <c r="V7" s="78" t="n"/>
      <c r="W7" s="73" t="n"/>
      <c r="X7" s="73" t="n"/>
      <c r="Y7" s="78" t="n"/>
      <c r="Z7" s="73" t="n"/>
      <c r="AA7" s="73" t="n"/>
      <c r="AB7" s="78" t="n"/>
      <c r="AC7" s="73" t="n">
        <v>41.88</v>
      </c>
      <c r="AD7" s="73" t="n">
        <v>343.79</v>
      </c>
      <c r="AE7" s="78" t="n">
        <v>8.210000000000001</v>
      </c>
      <c r="AF7" s="73" t="n">
        <v>42.76</v>
      </c>
      <c r="AG7" s="73" t="n">
        <v>318.24</v>
      </c>
      <c r="AH7" s="78" t="n">
        <v>7.44</v>
      </c>
      <c r="AI7" s="73" t="n">
        <v>42.58</v>
      </c>
      <c r="AJ7" s="73" t="n">
        <v>320.71</v>
      </c>
      <c r="AK7" s="78" t="n">
        <v>7.53</v>
      </c>
      <c r="AL7" s="73" t="n">
        <v>48.22</v>
      </c>
      <c r="AM7" s="73" t="n">
        <v>347.95</v>
      </c>
      <c r="AN7" s="78" t="n">
        <v>7.22</v>
      </c>
      <c r="AO7" s="73" t="n">
        <v>52.07</v>
      </c>
      <c r="AP7" s="73" t="n">
        <v>406.14</v>
      </c>
      <c r="AQ7" s="78" t="n">
        <v>7.8</v>
      </c>
      <c r="AR7" s="73" t="n">
        <v>24.01</v>
      </c>
      <c r="AS7" s="73" t="n">
        <v>106.3</v>
      </c>
      <c r="AT7" s="78" t="n">
        <v>4.43</v>
      </c>
      <c r="AU7" s="73" t="n">
        <v>24.54</v>
      </c>
      <c r="AV7" s="73" t="n">
        <v>109.51</v>
      </c>
      <c r="AW7" s="78" t="n">
        <v>4.46</v>
      </c>
      <c r="AX7" s="73" t="n">
        <v>38.97</v>
      </c>
      <c r="AY7" s="73" t="n">
        <v>182.36</v>
      </c>
      <c r="AZ7" s="78" t="n">
        <v>4.68</v>
      </c>
      <c r="BA7" s="73" t="n">
        <v>46.57</v>
      </c>
      <c r="BB7" s="73" t="n">
        <v>172.96</v>
      </c>
      <c r="BC7" s="78" t="n">
        <v>3.71</v>
      </c>
      <c r="BD7" s="73" t="n">
        <v>2.8</v>
      </c>
      <c r="BE7" s="73" t="n">
        <v>8</v>
      </c>
      <c r="BF7" s="78" t="n">
        <v>2.86</v>
      </c>
      <c r="BG7" s="73" t="n">
        <v>73.3</v>
      </c>
      <c r="BH7" s="73" t="n">
        <v>157.91</v>
      </c>
      <c r="BI7" s="78" t="n">
        <v>2.15</v>
      </c>
      <c r="BJ7" s="73" t="n">
        <v>103.25</v>
      </c>
      <c r="BK7" s="73" t="n">
        <v>0</v>
      </c>
      <c r="BL7" s="78" t="n">
        <v>0</v>
      </c>
      <c r="BM7" s="73" t="n">
        <v>56.5</v>
      </c>
      <c r="BN7" s="73" t="n">
        <v>248.22</v>
      </c>
      <c r="BO7" s="78" t="n">
        <v>4.39</v>
      </c>
    </row>
    <row r="8" ht="15" customHeight="1" s="101">
      <c r="A8" s="74" t="inlineStr">
        <is>
          <t>Dumayat</t>
        </is>
      </c>
      <c r="B8" s="75" t="n">
        <v>1.05</v>
      </c>
      <c r="C8" s="75" t="n">
        <v>8.4</v>
      </c>
      <c r="D8" s="79" t="n">
        <v>8</v>
      </c>
      <c r="E8" s="75" t="n">
        <v>1.05</v>
      </c>
      <c r="F8" s="75" t="n">
        <v>8.4</v>
      </c>
      <c r="G8" s="79" t="n">
        <v>8</v>
      </c>
      <c r="H8" s="75" t="n"/>
      <c r="I8" s="75" t="n"/>
      <c r="J8" s="79" t="n"/>
      <c r="K8" s="75" t="n"/>
      <c r="L8" s="75" t="n"/>
      <c r="M8" s="79" t="n"/>
      <c r="N8" s="75" t="n"/>
      <c r="O8" s="75" t="n"/>
      <c r="P8" s="79" t="n"/>
      <c r="Q8" s="75" t="n"/>
      <c r="R8" s="75" t="n"/>
      <c r="S8" s="79" t="n"/>
      <c r="T8" s="75" t="n"/>
      <c r="U8" s="75" t="n"/>
      <c r="V8" s="79" t="n"/>
      <c r="W8" s="75" t="n"/>
      <c r="X8" s="75" t="n"/>
      <c r="Y8" s="79" t="n"/>
      <c r="Z8" s="75" t="n"/>
      <c r="AA8" s="75" t="n"/>
      <c r="AB8" s="79" t="n"/>
      <c r="AC8" s="75" t="n">
        <v>32.69</v>
      </c>
      <c r="AD8" s="75" t="n">
        <v>268.36</v>
      </c>
      <c r="AE8" s="79" t="n">
        <v>8.210000000000001</v>
      </c>
      <c r="AF8" s="75" t="n">
        <v>33.38</v>
      </c>
      <c r="AG8" s="75" t="n">
        <v>248.42</v>
      </c>
      <c r="AH8" s="79" t="n">
        <v>7.44</v>
      </c>
      <c r="AI8" s="75" t="n">
        <v>33.24</v>
      </c>
      <c r="AJ8" s="75" t="n">
        <v>250.35</v>
      </c>
      <c r="AK8" s="79" t="n">
        <v>7.53</v>
      </c>
      <c r="AL8" s="75" t="n">
        <v>37.64</v>
      </c>
      <c r="AM8" s="75" t="n">
        <v>271.61</v>
      </c>
      <c r="AN8" s="79" t="n">
        <v>7.22</v>
      </c>
      <c r="AO8" s="75" t="n">
        <v>40.64</v>
      </c>
      <c r="AP8" s="75" t="n">
        <v>317.03</v>
      </c>
      <c r="AQ8" s="79" t="n">
        <v>7.8</v>
      </c>
      <c r="AR8" s="75" t="n">
        <v>8</v>
      </c>
      <c r="AS8" s="75" t="n">
        <v>30.24</v>
      </c>
      <c r="AT8" s="79" t="n">
        <v>3.78</v>
      </c>
      <c r="AU8" s="75" t="n">
        <v>19.09</v>
      </c>
      <c r="AV8" s="75" t="n">
        <v>25.11</v>
      </c>
      <c r="AW8" s="79" t="n">
        <v>1.32</v>
      </c>
      <c r="AX8" s="75" t="n">
        <v>20.32</v>
      </c>
      <c r="AY8" s="75" t="n">
        <v>19.01</v>
      </c>
      <c r="AZ8" s="79" t="n">
        <v>0.9399999999999999</v>
      </c>
      <c r="BA8" s="75" t="n">
        <v>18.8</v>
      </c>
      <c r="BB8" s="75" t="n">
        <v>13.5</v>
      </c>
      <c r="BC8" s="79" t="n">
        <v>0.72</v>
      </c>
      <c r="BD8" s="75" t="n">
        <v>3.15</v>
      </c>
      <c r="BE8" s="75" t="n">
        <v>9.77</v>
      </c>
      <c r="BF8" s="79" t="n">
        <v>3.1</v>
      </c>
      <c r="BG8" s="75" t="n">
        <v>70.11</v>
      </c>
      <c r="BH8" s="75" t="n">
        <v>8</v>
      </c>
      <c r="BI8" s="79" t="n">
        <v>0.11</v>
      </c>
      <c r="BJ8" s="75" t="n">
        <v>90.31</v>
      </c>
      <c r="BK8" s="75" t="n">
        <v>0</v>
      </c>
      <c r="BL8" s="79" t="n">
        <v>0</v>
      </c>
      <c r="BM8" s="75" t="n">
        <v>56</v>
      </c>
      <c r="BN8" s="75" t="n">
        <v>287.84</v>
      </c>
      <c r="BO8" s="79" t="n">
        <v>5.14</v>
      </c>
    </row>
    <row r="9" ht="15" customHeight="1" s="101">
      <c r="A9" s="72" t="inlineStr">
        <is>
          <t>Camanggaan</t>
        </is>
      </c>
      <c r="B9" s="73" t="n">
        <v>1.05</v>
      </c>
      <c r="C9" s="73" t="n">
        <v>8.4</v>
      </c>
      <c r="D9" s="78" t="n">
        <v>8</v>
      </c>
      <c r="E9" s="73" t="n">
        <v>1.05</v>
      </c>
      <c r="F9" s="73" t="n">
        <v>8.4</v>
      </c>
      <c r="G9" s="78" t="n">
        <v>8</v>
      </c>
      <c r="H9" s="73" t="n">
        <v>1.05</v>
      </c>
      <c r="I9" s="73" t="n">
        <v>8.4</v>
      </c>
      <c r="J9" s="78" t="n">
        <v>8</v>
      </c>
      <c r="K9" s="73" t="n">
        <v>3.19</v>
      </c>
      <c r="L9" s="73" t="n">
        <v>23.39</v>
      </c>
      <c r="M9" s="78" t="n">
        <v>7.33</v>
      </c>
      <c r="N9" s="73" t="n">
        <v>6.15</v>
      </c>
      <c r="O9" s="73" t="n">
        <v>29.9</v>
      </c>
      <c r="P9" s="78" t="n">
        <v>4.86</v>
      </c>
      <c r="Q9" s="73" t="n">
        <v>7.15</v>
      </c>
      <c r="R9" s="73" t="n">
        <v>18.64</v>
      </c>
      <c r="S9" s="78" t="n">
        <v>2.61</v>
      </c>
      <c r="T9" s="73" t="n">
        <v>5.46</v>
      </c>
      <c r="U9" s="73" t="n">
        <v>13.5</v>
      </c>
      <c r="V9" s="78" t="n">
        <v>2.47</v>
      </c>
      <c r="W9" s="73" t="n">
        <v>2.85</v>
      </c>
      <c r="X9" s="73" t="n">
        <v>16.13</v>
      </c>
      <c r="Y9" s="78" t="n">
        <v>5.66</v>
      </c>
      <c r="Z9" s="73" t="n">
        <v>9.66</v>
      </c>
      <c r="AA9" s="73" t="n">
        <v>23.18</v>
      </c>
      <c r="AB9" s="78" t="n">
        <v>2.4</v>
      </c>
      <c r="AC9" s="73" t="n">
        <v>24.2</v>
      </c>
      <c r="AD9" s="73" t="n">
        <v>198.64</v>
      </c>
      <c r="AE9" s="78" t="n">
        <v>8.210000000000001</v>
      </c>
      <c r="AF9" s="73" t="n">
        <v>24.71</v>
      </c>
      <c r="AG9" s="73" t="n">
        <v>183.88</v>
      </c>
      <c r="AH9" s="78" t="n">
        <v>7.44</v>
      </c>
      <c r="AI9" s="73" t="n">
        <v>24.6</v>
      </c>
      <c r="AJ9" s="73" t="n">
        <v>185.31</v>
      </c>
      <c r="AK9" s="78" t="n">
        <v>7.53</v>
      </c>
      <c r="AL9" s="73" t="n">
        <v>27.86</v>
      </c>
      <c r="AM9" s="73" t="n">
        <v>201.05</v>
      </c>
      <c r="AN9" s="78" t="n">
        <v>7.22</v>
      </c>
      <c r="AO9" s="73" t="n">
        <v>30.09</v>
      </c>
      <c r="AP9" s="73" t="n">
        <v>234.67</v>
      </c>
      <c r="AQ9" s="78" t="n">
        <v>7.8</v>
      </c>
      <c r="AR9" s="73" t="n">
        <v>16</v>
      </c>
      <c r="AS9" s="73" t="n">
        <v>60</v>
      </c>
      <c r="AT9" s="78" t="n">
        <v>3.75</v>
      </c>
      <c r="AU9" s="73" t="n">
        <v>2.5</v>
      </c>
      <c r="AV9" s="73" t="n">
        <v>20</v>
      </c>
      <c r="AW9" s="78" t="n">
        <v>8</v>
      </c>
      <c r="AX9" s="73" t="n">
        <v>0.8</v>
      </c>
      <c r="AY9" s="73" t="n">
        <v>3.04</v>
      </c>
      <c r="AZ9" s="78" t="n">
        <v>3.8</v>
      </c>
      <c r="BA9" s="73" t="n">
        <v>3.02</v>
      </c>
      <c r="BB9" s="73" t="n">
        <v>17.18</v>
      </c>
      <c r="BC9" s="78" t="n">
        <v>5.69</v>
      </c>
      <c r="BD9" s="73" t="n">
        <v>4.23</v>
      </c>
      <c r="BE9" s="73" t="n">
        <v>14.4</v>
      </c>
      <c r="BF9" s="78" t="n">
        <v>3.4</v>
      </c>
      <c r="BG9" s="73" t="n">
        <v>6.85</v>
      </c>
      <c r="BH9" s="73" t="n">
        <v>19.27</v>
      </c>
      <c r="BI9" s="78" t="n">
        <v>2.81</v>
      </c>
      <c r="BJ9" s="73" t="n">
        <v>4.62</v>
      </c>
      <c r="BK9" s="73" t="n">
        <v>0</v>
      </c>
      <c r="BL9" s="78" t="n">
        <v>0</v>
      </c>
      <c r="BM9" s="73" t="n">
        <v>19</v>
      </c>
      <c r="BN9" s="73" t="n">
        <v>81.73999999999999</v>
      </c>
      <c r="BO9" s="78" t="n">
        <v>4.3</v>
      </c>
    </row>
    <row r="10" ht="15" customHeight="1" s="101">
      <c r="A10" s="74" t="inlineStr">
        <is>
          <t>Vacante</t>
        </is>
      </c>
      <c r="B10" s="75" t="n">
        <v>2.01</v>
      </c>
      <c r="C10" s="75" t="n">
        <v>16.08</v>
      </c>
      <c r="D10" s="79" t="n">
        <v>8</v>
      </c>
      <c r="E10" s="75" t="n">
        <v>2.02</v>
      </c>
      <c r="F10" s="75" t="n">
        <v>16.16</v>
      </c>
      <c r="G10" s="79" t="n">
        <v>8</v>
      </c>
      <c r="H10" s="75" t="n"/>
      <c r="I10" s="75" t="n"/>
      <c r="J10" s="79" t="n"/>
      <c r="K10" s="75" t="n"/>
      <c r="L10" s="75" t="n"/>
      <c r="M10" s="79" t="n"/>
      <c r="N10" s="75" t="n"/>
      <c r="O10" s="75" t="n"/>
      <c r="P10" s="79" t="n"/>
      <c r="Q10" s="75" t="n"/>
      <c r="R10" s="75" t="n"/>
      <c r="S10" s="79" t="n"/>
      <c r="T10" s="75" t="n"/>
      <c r="U10" s="75" t="n"/>
      <c r="V10" s="79" t="n"/>
      <c r="W10" s="75" t="n"/>
      <c r="X10" s="75" t="n"/>
      <c r="Y10" s="79" t="n"/>
      <c r="Z10" s="75" t="n"/>
      <c r="AA10" s="75" t="n"/>
      <c r="AB10" s="79" t="n"/>
      <c r="AC10" s="75" t="n">
        <v>46.69</v>
      </c>
      <c r="AD10" s="75" t="n">
        <v>383.22</v>
      </c>
      <c r="AE10" s="79" t="n">
        <v>8.210000000000001</v>
      </c>
      <c r="AF10" s="75" t="n">
        <v>47.66</v>
      </c>
      <c r="AG10" s="75" t="n">
        <v>354.75</v>
      </c>
      <c r="AH10" s="79" t="n">
        <v>7.44</v>
      </c>
      <c r="AI10" s="75" t="n">
        <v>47.47</v>
      </c>
      <c r="AJ10" s="75" t="n">
        <v>357.5</v>
      </c>
      <c r="AK10" s="79" t="n">
        <v>7.53</v>
      </c>
      <c r="AL10" s="75" t="n">
        <v>53.75</v>
      </c>
      <c r="AM10" s="75" t="n">
        <v>387.86</v>
      </c>
      <c r="AN10" s="79" t="n">
        <v>7.22</v>
      </c>
      <c r="AO10" s="75" t="n">
        <v>58.04</v>
      </c>
      <c r="AP10" s="75" t="n">
        <v>452.73</v>
      </c>
      <c r="AQ10" s="79" t="n">
        <v>7.8</v>
      </c>
      <c r="AR10" s="75" t="n">
        <v>2.68</v>
      </c>
      <c r="AS10" s="75" t="n">
        <v>7.77</v>
      </c>
      <c r="AT10" s="79" t="n">
        <v>2.9</v>
      </c>
      <c r="AU10" s="75" t="n">
        <v>2.63</v>
      </c>
      <c r="AV10" s="75" t="n">
        <v>5.27</v>
      </c>
      <c r="AW10" s="79" t="n">
        <v>2</v>
      </c>
      <c r="AX10" s="75" t="n">
        <v>2.53</v>
      </c>
      <c r="AY10" s="75" t="n">
        <v>5.13</v>
      </c>
      <c r="AZ10" s="79" t="n">
        <v>2.03</v>
      </c>
      <c r="BA10" s="75" t="n">
        <v>2.27</v>
      </c>
      <c r="BB10" s="75" t="n">
        <v>9.25</v>
      </c>
      <c r="BC10" s="79" t="n">
        <v>4.07</v>
      </c>
      <c r="BD10" s="75" t="n">
        <v>2.5</v>
      </c>
      <c r="BE10" s="75" t="n">
        <v>9.23</v>
      </c>
      <c r="BF10" s="79" t="n">
        <v>3.69</v>
      </c>
      <c r="BG10" s="75" t="n">
        <v>6.37</v>
      </c>
      <c r="BH10" s="75" t="n">
        <v>8.34</v>
      </c>
      <c r="BI10" s="79" t="n">
        <v>1.31</v>
      </c>
      <c r="BJ10" s="75" t="n">
        <v>29.89</v>
      </c>
      <c r="BK10" s="75" t="n">
        <v>0</v>
      </c>
      <c r="BL10" s="79" t="n">
        <v>0</v>
      </c>
      <c r="BM10" s="75" t="n">
        <v>28</v>
      </c>
      <c r="BN10" s="75" t="n">
        <v>109.2</v>
      </c>
      <c r="BO10" s="79" t="n">
        <v>3.9</v>
      </c>
    </row>
    <row r="11" ht="15" customHeight="1" s="101">
      <c r="A11" s="72" t="inlineStr">
        <is>
          <t>Sta. Catalina</t>
        </is>
      </c>
      <c r="B11" s="73" t="n">
        <v>3.39</v>
      </c>
      <c r="C11" s="73" t="n">
        <v>27.12</v>
      </c>
      <c r="D11" s="78" t="n">
        <v>8</v>
      </c>
      <c r="E11" s="73" t="n">
        <v>3.4</v>
      </c>
      <c r="F11" s="73" t="n">
        <v>27.2</v>
      </c>
      <c r="G11" s="78" t="n">
        <v>8</v>
      </c>
      <c r="H11" s="73" t="n"/>
      <c r="I11" s="73" t="n"/>
      <c r="J11" s="78" t="n"/>
      <c r="K11" s="73" t="n"/>
      <c r="L11" s="73" t="n"/>
      <c r="M11" s="78" t="n"/>
      <c r="N11" s="73" t="n"/>
      <c r="O11" s="73" t="n"/>
      <c r="P11" s="78" t="n"/>
      <c r="Q11" s="73" t="n"/>
      <c r="R11" s="73" t="n"/>
      <c r="S11" s="78" t="n"/>
      <c r="T11" s="73" t="n">
        <v>3.19</v>
      </c>
      <c r="U11" s="73" t="n">
        <v>25.52</v>
      </c>
      <c r="V11" s="78" t="n">
        <v>8</v>
      </c>
      <c r="W11" s="73" t="n">
        <v>1.3</v>
      </c>
      <c r="X11" s="73" t="n">
        <v>6.4</v>
      </c>
      <c r="Y11" s="78" t="n">
        <v>4.92</v>
      </c>
      <c r="Z11" s="73" t="n">
        <v>9</v>
      </c>
      <c r="AA11" s="73" t="n">
        <v>33.61</v>
      </c>
      <c r="AB11" s="78" t="n">
        <v>3.73</v>
      </c>
      <c r="AC11" s="73" t="n">
        <v>79.44</v>
      </c>
      <c r="AD11" s="73" t="n">
        <v>652.05</v>
      </c>
      <c r="AE11" s="78" t="n">
        <v>8.210000000000001</v>
      </c>
      <c r="AF11" s="73" t="n">
        <v>81.09999999999999</v>
      </c>
      <c r="AG11" s="73" t="n">
        <v>603.61</v>
      </c>
      <c r="AH11" s="78" t="n">
        <v>7.44</v>
      </c>
      <c r="AI11" s="73" t="n">
        <v>80.77</v>
      </c>
      <c r="AJ11" s="73" t="n">
        <v>608.29</v>
      </c>
      <c r="AK11" s="78" t="n">
        <v>7.53</v>
      </c>
      <c r="AL11" s="73" t="n">
        <v>91.45</v>
      </c>
      <c r="AM11" s="73" t="n">
        <v>659.95</v>
      </c>
      <c r="AN11" s="78" t="n">
        <v>7.22</v>
      </c>
      <c r="AO11" s="73" t="n">
        <v>98.76000000000001</v>
      </c>
      <c r="AP11" s="73" t="n">
        <v>770.3099999999999</v>
      </c>
      <c r="AQ11" s="78" t="n">
        <v>7.8</v>
      </c>
      <c r="AR11" s="73" t="n">
        <v>21</v>
      </c>
      <c r="AS11" s="73" t="n">
        <v>83.58</v>
      </c>
      <c r="AT11" s="78" t="n">
        <v>3.98</v>
      </c>
      <c r="AU11" s="73" t="n">
        <v>13</v>
      </c>
      <c r="AV11" s="73" t="n">
        <v>32.23</v>
      </c>
      <c r="AW11" s="78" t="n">
        <v>2.48</v>
      </c>
      <c r="AX11" s="73" t="n">
        <v>11.49</v>
      </c>
      <c r="AY11" s="73" t="n">
        <v>26.73</v>
      </c>
      <c r="AZ11" s="78" t="n">
        <v>2.33</v>
      </c>
      <c r="BA11" s="73" t="n">
        <v>7.88</v>
      </c>
      <c r="BB11" s="73" t="n">
        <v>63.04</v>
      </c>
      <c r="BC11" s="78" t="n">
        <v>8</v>
      </c>
      <c r="BD11" s="73" t="n">
        <v>2.8</v>
      </c>
      <c r="BE11" s="73" t="n">
        <v>8.4</v>
      </c>
      <c r="BF11" s="78" t="n">
        <v>3</v>
      </c>
      <c r="BG11" s="73" t="n">
        <v>13.47</v>
      </c>
      <c r="BH11" s="73" t="n">
        <v>94.73999999999999</v>
      </c>
      <c r="BI11" s="78" t="n">
        <v>7.03</v>
      </c>
      <c r="BJ11" s="73" t="n">
        <v>4.5</v>
      </c>
      <c r="BK11" s="73" t="n">
        <v>0</v>
      </c>
      <c r="BL11" s="78" t="n">
        <v>0</v>
      </c>
      <c r="BM11" s="73" t="n">
        <v>49</v>
      </c>
      <c r="BN11" s="73" t="n">
        <v>237.31</v>
      </c>
      <c r="BO11" s="78" t="n">
        <v>4.84</v>
      </c>
    </row>
    <row r="12" ht="15" customHeight="1" s="101">
      <c r="A12" s="74" t="inlineStr">
        <is>
          <t>Moreno</t>
        </is>
      </c>
      <c r="B12" s="75" t="n">
        <v>3.37</v>
      </c>
      <c r="C12" s="75" t="n">
        <v>26.96</v>
      </c>
      <c r="D12" s="79" t="n">
        <v>8</v>
      </c>
      <c r="E12" s="75" t="n">
        <v>3.37</v>
      </c>
      <c r="F12" s="75" t="n">
        <v>26.96</v>
      </c>
      <c r="G12" s="79" t="n">
        <v>8</v>
      </c>
      <c r="H12" s="75" t="n"/>
      <c r="I12" s="75" t="n"/>
      <c r="J12" s="79" t="n"/>
      <c r="K12" s="75" t="n"/>
      <c r="L12" s="75" t="n"/>
      <c r="M12" s="79" t="n"/>
      <c r="N12" s="75" t="n"/>
      <c r="O12" s="75" t="n"/>
      <c r="P12" s="79" t="n"/>
      <c r="Q12" s="75" t="n">
        <v>3.55</v>
      </c>
      <c r="R12" s="75" t="n">
        <v>28.4</v>
      </c>
      <c r="S12" s="79" t="n">
        <v>8</v>
      </c>
      <c r="T12" s="75" t="n"/>
      <c r="U12" s="75" t="n"/>
      <c r="V12" s="79" t="n"/>
      <c r="W12" s="75" t="n"/>
      <c r="X12" s="75" t="n"/>
      <c r="Y12" s="79" t="n"/>
      <c r="Z12" s="75" t="n"/>
      <c r="AA12" s="75" t="n"/>
      <c r="AB12" s="79" t="n"/>
      <c r="AC12" s="75" t="n">
        <v>56.91</v>
      </c>
      <c r="AD12" s="75" t="n">
        <v>467.12</v>
      </c>
      <c r="AE12" s="79" t="n">
        <v>8.210000000000001</v>
      </c>
      <c r="AF12" s="75" t="n">
        <v>58.1</v>
      </c>
      <c r="AG12" s="75" t="n">
        <v>432.42</v>
      </c>
      <c r="AH12" s="79" t="n">
        <v>7.44</v>
      </c>
      <c r="AI12" s="75" t="n">
        <v>57.86</v>
      </c>
      <c r="AJ12" s="75" t="n">
        <v>435.77</v>
      </c>
      <c r="AK12" s="79" t="n">
        <v>7.53</v>
      </c>
      <c r="AL12" s="75" t="n">
        <v>65.51000000000001</v>
      </c>
      <c r="AM12" s="75" t="n">
        <v>472.78</v>
      </c>
      <c r="AN12" s="79" t="n">
        <v>7.22</v>
      </c>
      <c r="AO12" s="75" t="n">
        <v>70.75</v>
      </c>
      <c r="AP12" s="75" t="n">
        <v>551.84</v>
      </c>
      <c r="AQ12" s="79" t="n">
        <v>7.8</v>
      </c>
      <c r="AR12" s="75" t="n">
        <v>19</v>
      </c>
      <c r="AS12" s="75" t="n">
        <v>76.19</v>
      </c>
      <c r="AT12" s="79" t="n">
        <v>4.01</v>
      </c>
      <c r="AU12" s="75" t="n">
        <v>11.5</v>
      </c>
      <c r="AV12" s="75" t="n">
        <v>33.43</v>
      </c>
      <c r="AW12" s="79" t="n">
        <v>2.91</v>
      </c>
      <c r="AX12" s="75" t="n">
        <v>21.11</v>
      </c>
      <c r="AY12" s="75" t="n">
        <v>99.84999999999999</v>
      </c>
      <c r="AZ12" s="79" t="n">
        <v>4.73</v>
      </c>
      <c r="BA12" s="75" t="n">
        <v>27.65</v>
      </c>
      <c r="BB12" s="75" t="n">
        <v>116.86</v>
      </c>
      <c r="BC12" s="79" t="n">
        <v>4.23</v>
      </c>
      <c r="BD12" s="75" t="n">
        <v>34.35</v>
      </c>
      <c r="BE12" s="75" t="n">
        <v>123.96</v>
      </c>
      <c r="BF12" s="79" t="n">
        <v>3.61</v>
      </c>
      <c r="BG12" s="75" t="n">
        <v>45.72</v>
      </c>
      <c r="BH12" s="75" t="n">
        <v>126.27</v>
      </c>
      <c r="BI12" s="79" t="n">
        <v>2.76</v>
      </c>
      <c r="BJ12" s="75" t="n">
        <v>72.02</v>
      </c>
      <c r="BK12" s="75" t="n">
        <v>0</v>
      </c>
      <c r="BL12" s="79" t="n">
        <v>0</v>
      </c>
      <c r="BM12" s="75" t="n">
        <v>47.4</v>
      </c>
      <c r="BN12" s="75" t="n">
        <v>250.3</v>
      </c>
      <c r="BO12" s="79" t="n">
        <v>5.28</v>
      </c>
    </row>
    <row r="13" ht="15" customHeight="1" s="101">
      <c r="A13" s="72" t="inlineStr">
        <is>
          <t>Cili</t>
        </is>
      </c>
      <c r="B13" s="73" t="n">
        <v>1.05</v>
      </c>
      <c r="C13" s="73" t="n">
        <v>8.4</v>
      </c>
      <c r="D13" s="78" t="n">
        <v>8</v>
      </c>
      <c r="E13" s="73" t="n">
        <v>1.05</v>
      </c>
      <c r="F13" s="73" t="n">
        <v>8.4</v>
      </c>
      <c r="G13" s="78" t="n">
        <v>8</v>
      </c>
      <c r="H13" s="73" t="n">
        <v>1.05</v>
      </c>
      <c r="I13" s="73" t="n">
        <v>8.4</v>
      </c>
      <c r="J13" s="78" t="n">
        <v>8</v>
      </c>
      <c r="K13" s="73" t="n">
        <v>1.05</v>
      </c>
      <c r="L13" s="73" t="n">
        <v>8.4</v>
      </c>
      <c r="M13" s="78" t="n">
        <v>8</v>
      </c>
      <c r="N13" s="73" t="n"/>
      <c r="O13" s="73" t="n"/>
      <c r="P13" s="78" t="n"/>
      <c r="Q13" s="73" t="n">
        <v>8.81</v>
      </c>
      <c r="R13" s="73" t="n">
        <v>23.95</v>
      </c>
      <c r="S13" s="78" t="n">
        <v>2.72</v>
      </c>
      <c r="T13" s="73" t="n"/>
      <c r="U13" s="73" t="n"/>
      <c r="V13" s="78" t="n"/>
      <c r="W13" s="73" t="n"/>
      <c r="X13" s="73" t="n"/>
      <c r="Y13" s="78" t="n"/>
      <c r="Z13" s="73" t="n"/>
      <c r="AA13" s="73" t="n"/>
      <c r="AB13" s="78" t="n"/>
      <c r="AC13" s="73" t="n">
        <v>53.13</v>
      </c>
      <c r="AD13" s="73" t="n">
        <v>436.13</v>
      </c>
      <c r="AE13" s="78" t="n">
        <v>8.210000000000001</v>
      </c>
      <c r="AF13" s="73" t="n">
        <v>54.24</v>
      </c>
      <c r="AG13" s="73" t="n">
        <v>403.73</v>
      </c>
      <c r="AH13" s="78" t="n">
        <v>7.44</v>
      </c>
      <c r="AI13" s="73" t="n">
        <v>54.02</v>
      </c>
      <c r="AJ13" s="73" t="n">
        <v>406.86</v>
      </c>
      <c r="AK13" s="78" t="n">
        <v>7.53</v>
      </c>
      <c r="AL13" s="73" t="n">
        <v>61.17</v>
      </c>
      <c r="AM13" s="73" t="n">
        <v>441.41</v>
      </c>
      <c r="AN13" s="78" t="n">
        <v>7.22</v>
      </c>
      <c r="AO13" s="73" t="n">
        <v>66.05</v>
      </c>
      <c r="AP13" s="73" t="n">
        <v>515.23</v>
      </c>
      <c r="AQ13" s="78" t="n">
        <v>7.8</v>
      </c>
      <c r="AR13" s="73" t="n">
        <v>17.54</v>
      </c>
      <c r="AS13" s="73" t="n">
        <v>31.06</v>
      </c>
      <c r="AT13" s="78" t="n">
        <v>1.77</v>
      </c>
      <c r="AU13" s="73" t="n">
        <v>20.04</v>
      </c>
      <c r="AV13" s="73" t="n">
        <v>24.44</v>
      </c>
      <c r="AW13" s="78" t="n">
        <v>1.22</v>
      </c>
      <c r="AX13" s="73" t="n">
        <v>21.32</v>
      </c>
      <c r="AY13" s="73" t="n">
        <v>19.08</v>
      </c>
      <c r="AZ13" s="78" t="n">
        <v>0.89</v>
      </c>
      <c r="BA13" s="73" t="n">
        <v>33.1</v>
      </c>
      <c r="BB13" s="73" t="n">
        <v>13.5</v>
      </c>
      <c r="BC13" s="78" t="n">
        <v>0.41</v>
      </c>
      <c r="BD13" s="73" t="n">
        <v>38.6</v>
      </c>
      <c r="BE13" s="73" t="n">
        <v>12.07</v>
      </c>
      <c r="BF13" s="78" t="n">
        <v>0.31</v>
      </c>
      <c r="BG13" s="73" t="n">
        <v>75.14</v>
      </c>
      <c r="BH13" s="73" t="n">
        <v>5.28</v>
      </c>
      <c r="BI13" s="78" t="n">
        <v>0.07000000000000001</v>
      </c>
      <c r="BJ13" s="73" t="n">
        <v>103.25</v>
      </c>
      <c r="BK13" s="73" t="n">
        <v>0</v>
      </c>
      <c r="BL13" s="78" t="n">
        <v>0</v>
      </c>
      <c r="BM13" s="73" t="n">
        <v>40</v>
      </c>
      <c r="BN13" s="73" t="n">
        <v>185.2</v>
      </c>
      <c r="BO13" s="78" t="n">
        <v>4.63</v>
      </c>
    </row>
    <row r="14" ht="15" customHeight="1" s="101">
      <c r="A14" s="74" t="inlineStr">
        <is>
          <t>Linmansangan</t>
        </is>
      </c>
      <c r="B14" s="75" t="n">
        <v>6</v>
      </c>
      <c r="C14" s="75" t="n">
        <v>33</v>
      </c>
      <c r="D14" s="79" t="n">
        <v>5.5</v>
      </c>
      <c r="E14" s="75" t="n">
        <v>2.64</v>
      </c>
      <c r="F14" s="75" t="n">
        <v>21.12</v>
      </c>
      <c r="G14" s="79" t="n">
        <v>8</v>
      </c>
      <c r="H14" s="75" t="n"/>
      <c r="I14" s="75" t="n"/>
      <c r="J14" s="79" t="n"/>
      <c r="K14" s="75" t="n"/>
      <c r="L14" s="75" t="n"/>
      <c r="M14" s="79" t="n"/>
      <c r="N14" s="75" t="n"/>
      <c r="O14" s="75" t="n"/>
      <c r="P14" s="79" t="n"/>
      <c r="Q14" s="75" t="n"/>
      <c r="R14" s="75" t="n"/>
      <c r="S14" s="79" t="n"/>
      <c r="T14" s="75" t="n"/>
      <c r="U14" s="75" t="n"/>
      <c r="V14" s="79" t="n"/>
      <c r="W14" s="75" t="n"/>
      <c r="X14" s="75" t="n"/>
      <c r="Y14" s="79" t="n"/>
      <c r="Z14" s="75" t="n"/>
      <c r="AA14" s="75" t="n"/>
      <c r="AB14" s="79" t="n"/>
      <c r="AC14" s="75" t="n">
        <v>79.8</v>
      </c>
      <c r="AD14" s="75" t="n">
        <v>655.03</v>
      </c>
      <c r="AE14" s="79" t="n">
        <v>8.210000000000001</v>
      </c>
      <c r="AF14" s="75" t="n">
        <v>81.47</v>
      </c>
      <c r="AG14" s="75" t="n">
        <v>606.36</v>
      </c>
      <c r="AH14" s="79" t="n">
        <v>7.44</v>
      </c>
      <c r="AI14" s="75" t="n">
        <v>81.13</v>
      </c>
      <c r="AJ14" s="75" t="n">
        <v>611.0700000000001</v>
      </c>
      <c r="AK14" s="79" t="n">
        <v>7.53</v>
      </c>
      <c r="AL14" s="75" t="n">
        <v>91.87</v>
      </c>
      <c r="AM14" s="75" t="n">
        <v>662.96</v>
      </c>
      <c r="AN14" s="79" t="n">
        <v>7.22</v>
      </c>
      <c r="AO14" s="75" t="n">
        <v>99.20999999999999</v>
      </c>
      <c r="AP14" s="75" t="n">
        <v>773.83</v>
      </c>
      <c r="AQ14" s="79" t="n">
        <v>7.8</v>
      </c>
      <c r="AR14" s="75" t="n">
        <v>40.86</v>
      </c>
      <c r="AS14" s="75" t="n">
        <v>20.23</v>
      </c>
      <c r="AT14" s="79" t="n">
        <v>0.5</v>
      </c>
      <c r="AU14" s="75" t="n">
        <v>42.7</v>
      </c>
      <c r="AV14" s="75" t="n">
        <v>16.79</v>
      </c>
      <c r="AW14" s="79" t="n">
        <v>0.39</v>
      </c>
      <c r="AX14" s="75" t="n">
        <v>45.98</v>
      </c>
      <c r="AY14" s="75" t="n">
        <v>5.25</v>
      </c>
      <c r="AZ14" s="79" t="n">
        <v>0.11</v>
      </c>
      <c r="BA14" s="75" t="n">
        <v>67.18000000000001</v>
      </c>
      <c r="BB14" s="75" t="n">
        <v>97.11</v>
      </c>
      <c r="BC14" s="79" t="n">
        <v>1.45</v>
      </c>
      <c r="BD14" s="75" t="n">
        <v>85.18000000000001</v>
      </c>
      <c r="BE14" s="75" t="n">
        <v>171.55</v>
      </c>
      <c r="BF14" s="79" t="n">
        <v>2.01</v>
      </c>
      <c r="BG14" s="75" t="n">
        <v>88.77</v>
      </c>
      <c r="BH14" s="75" t="n">
        <v>157.93</v>
      </c>
      <c r="BI14" s="79" t="n">
        <v>1.78</v>
      </c>
      <c r="BJ14" s="75" t="n">
        <v>94.2</v>
      </c>
      <c r="BK14" s="75" t="n">
        <v>0</v>
      </c>
      <c r="BL14" s="79" t="n">
        <v>0</v>
      </c>
      <c r="BM14" s="75" t="n">
        <v>65.5</v>
      </c>
      <c r="BN14" s="75" t="n">
        <v>302.43</v>
      </c>
      <c r="BO14" s="79" t="n">
        <v>4.62</v>
      </c>
    </row>
    <row r="15" ht="15" customHeight="1" s="101">
      <c r="A15" s="72" t="inlineStr">
        <is>
          <t>Sumabnit</t>
        </is>
      </c>
      <c r="B15" s="73" t="n">
        <v>1.89</v>
      </c>
      <c r="C15" s="73" t="n">
        <v>15.12</v>
      </c>
      <c r="D15" s="78" t="n">
        <v>8</v>
      </c>
      <c r="E15" s="73" t="n">
        <v>1.9</v>
      </c>
      <c r="F15" s="73" t="n">
        <v>15.2</v>
      </c>
      <c r="G15" s="78" t="n">
        <v>8</v>
      </c>
      <c r="H15" s="73" t="n">
        <v>3.7</v>
      </c>
      <c r="I15" s="73" t="n">
        <v>29.6</v>
      </c>
      <c r="J15" s="78" t="n">
        <v>8</v>
      </c>
      <c r="K15" s="73" t="n">
        <v>6.13</v>
      </c>
      <c r="L15" s="73" t="n">
        <v>34.61</v>
      </c>
      <c r="M15" s="78" t="n">
        <v>5.65</v>
      </c>
      <c r="N15" s="73" t="n">
        <v>6.37</v>
      </c>
      <c r="O15" s="73" t="n">
        <v>35.79</v>
      </c>
      <c r="P15" s="78" t="n">
        <v>5.62</v>
      </c>
      <c r="Q15" s="73" t="n">
        <v>5.45</v>
      </c>
      <c r="R15" s="73" t="n">
        <v>28.38</v>
      </c>
      <c r="S15" s="78" t="n">
        <v>5.21</v>
      </c>
      <c r="T15" s="73" t="n">
        <v>19.73</v>
      </c>
      <c r="U15" s="73" t="n">
        <v>102.68</v>
      </c>
      <c r="V15" s="78" t="n">
        <v>5.2</v>
      </c>
      <c r="W15" s="73" t="n">
        <v>0.7</v>
      </c>
      <c r="X15" s="73" t="n">
        <v>3.66</v>
      </c>
      <c r="Y15" s="78" t="n">
        <v>5.23</v>
      </c>
      <c r="Z15" s="73" t="n">
        <v>72</v>
      </c>
      <c r="AA15" s="73" t="n">
        <v>358.04</v>
      </c>
      <c r="AB15" s="78" t="n">
        <v>4.97</v>
      </c>
      <c r="AC15" s="73" t="n">
        <v>71.84999999999999</v>
      </c>
      <c r="AD15" s="73" t="n">
        <v>589.8099999999999</v>
      </c>
      <c r="AE15" s="78" t="n">
        <v>8.210000000000001</v>
      </c>
      <c r="AF15" s="73" t="n">
        <v>73.36</v>
      </c>
      <c r="AG15" s="73" t="n">
        <v>545.98</v>
      </c>
      <c r="AH15" s="78" t="n">
        <v>7.44</v>
      </c>
      <c r="AI15" s="73" t="n">
        <v>73.06</v>
      </c>
      <c r="AJ15" s="73" t="n">
        <v>550.22</v>
      </c>
      <c r="AK15" s="78" t="n">
        <v>7.53</v>
      </c>
      <c r="AL15" s="73" t="n">
        <v>82.72</v>
      </c>
      <c r="AM15" s="73" t="n">
        <v>596.95</v>
      </c>
      <c r="AN15" s="78" t="n">
        <v>7.22</v>
      </c>
      <c r="AO15" s="73" t="n">
        <v>89.33</v>
      </c>
      <c r="AP15" s="73" t="n">
        <v>696.78</v>
      </c>
      <c r="AQ15" s="78" t="n">
        <v>7.8</v>
      </c>
      <c r="AR15" s="73" t="n">
        <v>3.23</v>
      </c>
      <c r="AS15" s="73" t="n">
        <v>9.57</v>
      </c>
      <c r="AT15" s="78" t="n">
        <v>2.96</v>
      </c>
      <c r="AU15" s="73" t="n">
        <v>3.14</v>
      </c>
      <c r="AV15" s="73" t="n">
        <v>8.94</v>
      </c>
      <c r="AW15" s="78" t="n">
        <v>2.85</v>
      </c>
      <c r="AX15" s="73" t="n">
        <v>2.91</v>
      </c>
      <c r="AY15" s="73" t="n">
        <v>5.99</v>
      </c>
      <c r="AZ15" s="78" t="n">
        <v>2.06</v>
      </c>
      <c r="BA15" s="73" t="n">
        <v>0.4</v>
      </c>
      <c r="BB15" s="73" t="n">
        <v>2.02</v>
      </c>
      <c r="BC15" s="78" t="n">
        <v>5.05</v>
      </c>
      <c r="BD15" s="73" t="n">
        <v>3.5</v>
      </c>
      <c r="BE15" s="73" t="n">
        <v>18.03</v>
      </c>
      <c r="BF15" s="78" t="n">
        <v>5.15</v>
      </c>
      <c r="BG15" s="73" t="n">
        <v>17.44</v>
      </c>
      <c r="BH15" s="73" t="n">
        <v>79.06</v>
      </c>
      <c r="BI15" s="78" t="n">
        <v>4.53</v>
      </c>
      <c r="BJ15" s="73" t="n">
        <v>61.91</v>
      </c>
      <c r="BK15" s="73" t="n">
        <v>0</v>
      </c>
      <c r="BL15" s="78" t="n">
        <v>0</v>
      </c>
      <c r="BM15" s="73" t="n">
        <v>133.3</v>
      </c>
      <c r="BN15" s="73" t="n">
        <v>669.95</v>
      </c>
      <c r="BO15" s="78" t="n">
        <v>5.03</v>
      </c>
    </row>
    <row r="16" ht="15" customHeight="1" s="101">
      <c r="A16" s="74" t="inlineStr">
        <is>
          <t>Capas</t>
        </is>
      </c>
      <c r="B16" s="75" t="n">
        <v>1</v>
      </c>
      <c r="C16" s="75" t="n">
        <v>5.5</v>
      </c>
      <c r="D16" s="79" t="n">
        <v>5.5</v>
      </c>
      <c r="E16" s="75" t="n">
        <v>2.01</v>
      </c>
      <c r="F16" s="75" t="n">
        <v>15.84</v>
      </c>
      <c r="G16" s="79" t="n">
        <v>7.88</v>
      </c>
      <c r="H16" s="75" t="n">
        <v>1.05</v>
      </c>
      <c r="I16" s="75" t="n">
        <v>8.4</v>
      </c>
      <c r="J16" s="79" t="n">
        <v>8</v>
      </c>
      <c r="K16" s="75" t="n">
        <v>3.12</v>
      </c>
      <c r="L16" s="75" t="n">
        <v>23.2</v>
      </c>
      <c r="M16" s="79" t="n">
        <v>7.44</v>
      </c>
      <c r="N16" s="75" t="n">
        <v>6.2</v>
      </c>
      <c r="O16" s="75" t="n">
        <v>30.22</v>
      </c>
      <c r="P16" s="79" t="n">
        <v>4.87</v>
      </c>
      <c r="Q16" s="75" t="n">
        <v>15</v>
      </c>
      <c r="R16" s="75" t="n">
        <v>74.25</v>
      </c>
      <c r="S16" s="79" t="n">
        <v>4.95</v>
      </c>
      <c r="T16" s="75" t="n">
        <v>7.87</v>
      </c>
      <c r="U16" s="75" t="n">
        <v>62.96</v>
      </c>
      <c r="V16" s="79" t="n">
        <v>8</v>
      </c>
      <c r="W16" s="75" t="n">
        <v>3.8</v>
      </c>
      <c r="X16" s="75" t="n">
        <v>19.77</v>
      </c>
      <c r="Y16" s="79" t="n">
        <v>5.2</v>
      </c>
      <c r="Z16" s="75" t="n">
        <v>105</v>
      </c>
      <c r="AA16" s="75" t="n">
        <v>576.4400000000001</v>
      </c>
      <c r="AB16" s="79" t="n">
        <v>5.49</v>
      </c>
      <c r="AC16" s="75" t="n">
        <v>101.05</v>
      </c>
      <c r="AD16" s="75" t="n">
        <v>829.49</v>
      </c>
      <c r="AE16" s="79" t="n">
        <v>8.210000000000001</v>
      </c>
      <c r="AF16" s="75" t="n">
        <v>103.17</v>
      </c>
      <c r="AG16" s="75" t="n">
        <v>767.86</v>
      </c>
      <c r="AH16" s="79" t="n">
        <v>7.44</v>
      </c>
      <c r="AI16" s="75" t="n">
        <v>102.74</v>
      </c>
      <c r="AJ16" s="75" t="n">
        <v>773.8200000000001</v>
      </c>
      <c r="AK16" s="79" t="n">
        <v>7.53</v>
      </c>
      <c r="AL16" s="75" t="n">
        <v>116.34</v>
      </c>
      <c r="AM16" s="75" t="n">
        <v>839.54</v>
      </c>
      <c r="AN16" s="79" t="n">
        <v>7.22</v>
      </c>
      <c r="AO16" s="75" t="n">
        <v>125.63</v>
      </c>
      <c r="AP16" s="75" t="n">
        <v>979.9400000000001</v>
      </c>
      <c r="AQ16" s="79" t="n">
        <v>7.8</v>
      </c>
      <c r="AR16" s="75" t="n">
        <v>9</v>
      </c>
      <c r="AS16" s="75" t="n">
        <v>27.09</v>
      </c>
      <c r="AT16" s="79" t="n">
        <v>3.01</v>
      </c>
      <c r="AU16" s="75" t="n">
        <v>2</v>
      </c>
      <c r="AV16" s="75" t="n">
        <v>16</v>
      </c>
      <c r="AW16" s="79" t="n">
        <v>8</v>
      </c>
      <c r="AX16" s="75" t="n">
        <v>4.82</v>
      </c>
      <c r="AY16" s="75" t="n">
        <v>26.21</v>
      </c>
      <c r="AZ16" s="79" t="n">
        <v>5.44</v>
      </c>
      <c r="BA16" s="75" t="n">
        <v>3.49</v>
      </c>
      <c r="BB16" s="75" t="n">
        <v>27.92</v>
      </c>
      <c r="BC16" s="79" t="n">
        <v>8</v>
      </c>
      <c r="BD16" s="75" t="n">
        <v>7.5</v>
      </c>
      <c r="BE16" s="75" t="n">
        <v>37.58</v>
      </c>
      <c r="BF16" s="79" t="n">
        <v>5.01</v>
      </c>
      <c r="BG16" s="75" t="n">
        <v>2.73</v>
      </c>
      <c r="BH16" s="75" t="n">
        <v>21.84</v>
      </c>
      <c r="BI16" s="79" t="n">
        <v>8</v>
      </c>
      <c r="BJ16" s="75" t="n">
        <v>4.87</v>
      </c>
      <c r="BK16" s="75" t="n">
        <v>0</v>
      </c>
      <c r="BL16" s="79" t="n">
        <v>0</v>
      </c>
      <c r="BM16" s="75" t="n">
        <v>139</v>
      </c>
      <c r="BN16" s="75" t="n">
        <v>766.55</v>
      </c>
      <c r="BO16" s="79" t="n">
        <v>5.51</v>
      </c>
    </row>
    <row r="17" ht="15" customHeight="1" s="101">
      <c r="A17" s="72" t="inlineStr">
        <is>
          <t>Mangkasuy</t>
        </is>
      </c>
      <c r="B17" s="73" t="n">
        <v>5.11</v>
      </c>
      <c r="C17" s="73" t="n">
        <v>29.92</v>
      </c>
      <c r="D17" s="78" t="n">
        <v>5.86</v>
      </c>
      <c r="E17" s="73" t="n">
        <v>5.1</v>
      </c>
      <c r="F17" s="73" t="n">
        <v>29.92</v>
      </c>
      <c r="G17" s="78" t="n">
        <v>5.87</v>
      </c>
      <c r="H17" s="73" t="n">
        <v>5.37</v>
      </c>
      <c r="I17" s="73" t="n">
        <v>35.25</v>
      </c>
      <c r="J17" s="78" t="n">
        <v>6.56</v>
      </c>
      <c r="K17" s="73" t="n">
        <v>6.14</v>
      </c>
      <c r="L17" s="73" t="n">
        <v>30.76</v>
      </c>
      <c r="M17" s="78" t="n">
        <v>5.01</v>
      </c>
      <c r="N17" s="73" t="n">
        <v>22.9</v>
      </c>
      <c r="O17" s="73" t="n">
        <v>113.01</v>
      </c>
      <c r="P17" s="78" t="n">
        <v>4.93</v>
      </c>
      <c r="Q17" s="73" t="n">
        <v>6.4</v>
      </c>
      <c r="R17" s="73" t="n">
        <v>34.79</v>
      </c>
      <c r="S17" s="78" t="n">
        <v>5.44</v>
      </c>
      <c r="T17" s="73" t="n">
        <v>43.32</v>
      </c>
      <c r="U17" s="73" t="n">
        <v>110.05</v>
      </c>
      <c r="V17" s="78" t="n">
        <v>2.54</v>
      </c>
      <c r="W17" s="73" t="n">
        <v>2.95</v>
      </c>
      <c r="X17" s="73" t="n">
        <v>19.38</v>
      </c>
      <c r="Y17" s="78" t="n">
        <v>6.57</v>
      </c>
      <c r="Z17" s="73" t="n">
        <v>50</v>
      </c>
      <c r="AA17" s="73" t="n">
        <v>279.34</v>
      </c>
      <c r="AB17" s="78" t="n">
        <v>5.59</v>
      </c>
      <c r="AC17" s="73" t="n">
        <v>90.86</v>
      </c>
      <c r="AD17" s="73" t="n">
        <v>745.83</v>
      </c>
      <c r="AE17" s="78" t="n">
        <v>8.210000000000001</v>
      </c>
      <c r="AF17" s="73" t="n">
        <v>92.76000000000001</v>
      </c>
      <c r="AG17" s="73" t="n">
        <v>690.42</v>
      </c>
      <c r="AH17" s="78" t="n">
        <v>7.44</v>
      </c>
      <c r="AI17" s="73" t="n">
        <v>92.38</v>
      </c>
      <c r="AJ17" s="73" t="n">
        <v>695.78</v>
      </c>
      <c r="AK17" s="78" t="n">
        <v>7.53</v>
      </c>
      <c r="AL17" s="73" t="n">
        <v>104.6</v>
      </c>
      <c r="AM17" s="73" t="n">
        <v>754.86</v>
      </c>
      <c r="AN17" s="78" t="n">
        <v>7.22</v>
      </c>
      <c r="AO17" s="73" t="n">
        <v>112.96</v>
      </c>
      <c r="AP17" s="73" t="n">
        <v>881.1</v>
      </c>
      <c r="AQ17" s="78" t="n">
        <v>7.8</v>
      </c>
      <c r="AR17" s="73" t="n">
        <v>11</v>
      </c>
      <c r="AS17" s="73" t="n">
        <v>55.99</v>
      </c>
      <c r="AT17" s="78" t="n">
        <v>5.09</v>
      </c>
      <c r="AU17" s="73" t="n">
        <v>8.44</v>
      </c>
      <c r="AV17" s="73" t="n">
        <v>23.76</v>
      </c>
      <c r="AW17" s="78" t="n">
        <v>2.82</v>
      </c>
      <c r="AX17" s="73" t="n">
        <v>1.25</v>
      </c>
      <c r="AY17" s="73" t="n">
        <v>5.31</v>
      </c>
      <c r="AZ17" s="78" t="n">
        <v>4.25</v>
      </c>
      <c r="BA17" s="73" t="n">
        <v>13.55</v>
      </c>
      <c r="BB17" s="73" t="n">
        <v>23.42</v>
      </c>
      <c r="BC17" s="78" t="n">
        <v>1.73</v>
      </c>
      <c r="BD17" s="73" t="n">
        <v>6</v>
      </c>
      <c r="BE17" s="73" t="n">
        <v>30</v>
      </c>
      <c r="BF17" s="78" t="n">
        <v>5</v>
      </c>
      <c r="BG17" s="73" t="n">
        <v>50.15</v>
      </c>
      <c r="BH17" s="73" t="n">
        <v>97.64</v>
      </c>
      <c r="BI17" s="78" t="n">
        <v>1.95</v>
      </c>
      <c r="BJ17" s="73" t="n">
        <v>74.68000000000001</v>
      </c>
      <c r="BK17" s="73" t="n">
        <v>0</v>
      </c>
      <c r="BL17" s="78" t="n">
        <v>0</v>
      </c>
      <c r="BM17" s="73" t="n">
        <v>90</v>
      </c>
      <c r="BN17" s="73" t="n">
        <v>471.74</v>
      </c>
      <c r="BO17" s="78" t="n">
        <v>5.24</v>
      </c>
    </row>
    <row r="18" ht="15" customHeight="1" s="101">
      <c r="A18" s="74" t="inlineStr">
        <is>
          <t>San Pablo</t>
        </is>
      </c>
      <c r="B18" s="75" t="n">
        <v>3</v>
      </c>
      <c r="C18" s="75" t="n">
        <v>19.5</v>
      </c>
      <c r="D18" s="79" t="n">
        <v>6.5</v>
      </c>
      <c r="E18" s="75" t="n">
        <v>5.11</v>
      </c>
      <c r="F18" s="75" t="n">
        <v>18.2</v>
      </c>
      <c r="G18" s="79" t="n">
        <v>3.56</v>
      </c>
      <c r="H18" s="75" t="n">
        <v>3.87</v>
      </c>
      <c r="I18" s="75" t="n">
        <v>23.54</v>
      </c>
      <c r="J18" s="79" t="n">
        <v>6.08</v>
      </c>
      <c r="K18" s="75" t="n">
        <v>2.82</v>
      </c>
      <c r="L18" s="75" t="n">
        <v>22.56</v>
      </c>
      <c r="M18" s="79" t="n">
        <v>8</v>
      </c>
      <c r="N18" s="75" t="n">
        <v>8.970000000000001</v>
      </c>
      <c r="O18" s="75" t="n">
        <v>36.81</v>
      </c>
      <c r="P18" s="79" t="n">
        <v>4.1</v>
      </c>
      <c r="Q18" s="75" t="n">
        <v>7</v>
      </c>
      <c r="R18" s="75" t="n">
        <v>31.99</v>
      </c>
      <c r="S18" s="79" t="n">
        <v>4.57</v>
      </c>
      <c r="T18" s="75" t="n">
        <v>8.35</v>
      </c>
      <c r="U18" s="75" t="n">
        <v>66.8</v>
      </c>
      <c r="V18" s="79" t="n">
        <v>8</v>
      </c>
      <c r="W18" s="75" t="n">
        <v>0.1</v>
      </c>
      <c r="X18" s="75" t="n">
        <v>0.47</v>
      </c>
      <c r="Y18" s="79" t="n">
        <v>4.7</v>
      </c>
      <c r="Z18" s="75" t="n">
        <v>103</v>
      </c>
      <c r="AA18" s="75" t="n">
        <v>607.49</v>
      </c>
      <c r="AB18" s="79" t="n">
        <v>5.9</v>
      </c>
      <c r="AC18" s="75" t="n">
        <v>52.35</v>
      </c>
      <c r="AD18" s="75" t="n">
        <v>429.72</v>
      </c>
      <c r="AE18" s="79" t="n">
        <v>8.210000000000001</v>
      </c>
      <c r="AF18" s="75" t="n">
        <v>53.45</v>
      </c>
      <c r="AG18" s="75" t="n">
        <v>397.8</v>
      </c>
      <c r="AH18" s="79" t="n">
        <v>7.44</v>
      </c>
      <c r="AI18" s="75" t="n">
        <v>53.23</v>
      </c>
      <c r="AJ18" s="75" t="n">
        <v>400.89</v>
      </c>
      <c r="AK18" s="79" t="n">
        <v>7.53</v>
      </c>
      <c r="AL18" s="75" t="n">
        <v>60.27</v>
      </c>
      <c r="AM18" s="75" t="n">
        <v>434.93</v>
      </c>
      <c r="AN18" s="79" t="n">
        <v>7.22</v>
      </c>
      <c r="AO18" s="75" t="n">
        <v>65.08</v>
      </c>
      <c r="AP18" s="75" t="n">
        <v>507.66</v>
      </c>
      <c r="AQ18" s="79" t="n">
        <v>7.8</v>
      </c>
      <c r="AR18" s="75" t="n">
        <v>1.05</v>
      </c>
      <c r="AS18" s="75" t="n">
        <v>8.4</v>
      </c>
      <c r="AT18" s="79" t="n">
        <v>8</v>
      </c>
      <c r="AU18" s="75" t="n">
        <v>1.05</v>
      </c>
      <c r="AV18" s="75" t="n">
        <v>6.66</v>
      </c>
      <c r="AW18" s="79" t="n">
        <v>6.34</v>
      </c>
      <c r="AX18" s="75" t="n">
        <v>1.5</v>
      </c>
      <c r="AY18" s="75" t="n">
        <v>7.21</v>
      </c>
      <c r="AZ18" s="79" t="n">
        <v>4.81</v>
      </c>
      <c r="BA18" s="75" t="n">
        <v>1.43</v>
      </c>
      <c r="BB18" s="75" t="n">
        <v>9</v>
      </c>
      <c r="BC18" s="79" t="n">
        <v>6.29</v>
      </c>
      <c r="BD18" s="75" t="n">
        <v>2.7</v>
      </c>
      <c r="BE18" s="75" t="n">
        <v>15.53</v>
      </c>
      <c r="BF18" s="79" t="n">
        <v>5.75</v>
      </c>
      <c r="BG18" s="75" t="n">
        <v>32.37</v>
      </c>
      <c r="BH18" s="75" t="n">
        <v>79.22</v>
      </c>
      <c r="BI18" s="79" t="n">
        <v>2.45</v>
      </c>
      <c r="BJ18" s="75" t="n">
        <v>74.72</v>
      </c>
      <c r="BK18" s="75" t="n">
        <v>0</v>
      </c>
      <c r="BL18" s="79" t="n">
        <v>0</v>
      </c>
      <c r="BM18" s="75" t="n">
        <v>103.5</v>
      </c>
      <c r="BN18" s="75" t="n">
        <v>492.65</v>
      </c>
      <c r="BO18" s="79" t="n">
        <v>4.76</v>
      </c>
    </row>
    <row r="19" ht="15" customHeight="1" s="101">
      <c r="A19" s="72" t="inlineStr">
        <is>
          <t>Balangobong</t>
        </is>
      </c>
      <c r="B19" s="73" t="n">
        <v>2</v>
      </c>
      <c r="C19" s="73" t="n">
        <v>13</v>
      </c>
      <c r="D19" s="78" t="n">
        <v>6.5</v>
      </c>
      <c r="E19" s="73" t="n">
        <v>1.31</v>
      </c>
      <c r="F19" s="73" t="n">
        <v>10.48</v>
      </c>
      <c r="G19" s="78" t="n">
        <v>8</v>
      </c>
      <c r="H19" s="73" t="n">
        <v>1.49</v>
      </c>
      <c r="I19" s="73" t="n">
        <v>11.92</v>
      </c>
      <c r="J19" s="78" t="n">
        <v>8</v>
      </c>
      <c r="K19" s="73" t="n">
        <v>7.7</v>
      </c>
      <c r="L19" s="73" t="n">
        <v>13.5</v>
      </c>
      <c r="M19" s="78" t="n">
        <v>1.75</v>
      </c>
      <c r="N19" s="73" t="n">
        <v>8.67</v>
      </c>
      <c r="O19" s="73" t="n">
        <v>19.47</v>
      </c>
      <c r="P19" s="78" t="n">
        <v>2.25</v>
      </c>
      <c r="Q19" s="73" t="n">
        <v>14</v>
      </c>
      <c r="R19" s="73" t="n">
        <v>82.01000000000001</v>
      </c>
      <c r="S19" s="78" t="n">
        <v>5.86</v>
      </c>
      <c r="T19" s="73" t="n">
        <v>8.220000000000001</v>
      </c>
      <c r="U19" s="73" t="n">
        <v>65.76000000000001</v>
      </c>
      <c r="V19" s="78" t="n">
        <v>8</v>
      </c>
      <c r="W19" s="73" t="n">
        <v>1.6</v>
      </c>
      <c r="X19" s="73" t="n">
        <v>8.24</v>
      </c>
      <c r="Y19" s="78" t="n">
        <v>5.15</v>
      </c>
      <c r="Z19" s="73" t="n">
        <v>110</v>
      </c>
      <c r="AA19" s="73" t="n">
        <v>569.35</v>
      </c>
      <c r="AB19" s="78" t="n">
        <v>5.18</v>
      </c>
      <c r="AC19" s="73" t="n">
        <v>52.38</v>
      </c>
      <c r="AD19" s="73" t="n">
        <v>429.95</v>
      </c>
      <c r="AE19" s="78" t="n">
        <v>8.210000000000001</v>
      </c>
      <c r="AF19" s="73" t="n">
        <v>53.48</v>
      </c>
      <c r="AG19" s="73" t="n">
        <v>398.01</v>
      </c>
      <c r="AH19" s="78" t="n">
        <v>7.44</v>
      </c>
      <c r="AI19" s="73" t="n">
        <v>53.26</v>
      </c>
      <c r="AJ19" s="73" t="n">
        <v>401.09</v>
      </c>
      <c r="AK19" s="78" t="n">
        <v>7.53</v>
      </c>
      <c r="AL19" s="73" t="n">
        <v>60.3</v>
      </c>
      <c r="AM19" s="73" t="n">
        <v>435.16</v>
      </c>
      <c r="AN19" s="78" t="n">
        <v>7.22</v>
      </c>
      <c r="AO19" s="73" t="n">
        <v>65.12</v>
      </c>
      <c r="AP19" s="73" t="n">
        <v>507.93</v>
      </c>
      <c r="AQ19" s="78" t="n">
        <v>7.8</v>
      </c>
      <c r="AR19" s="73" t="n">
        <v>39.81</v>
      </c>
      <c r="AS19" s="73" t="n">
        <v>191.46</v>
      </c>
      <c r="AT19" s="78" t="n">
        <v>4.81</v>
      </c>
      <c r="AU19" s="73" t="n">
        <v>39.98</v>
      </c>
      <c r="AV19" s="73" t="n">
        <v>194.73</v>
      </c>
      <c r="AW19" s="78" t="n">
        <v>4.87</v>
      </c>
      <c r="AX19" s="73" t="n">
        <v>47.33</v>
      </c>
      <c r="AY19" s="73" t="n">
        <v>180.84</v>
      </c>
      <c r="AZ19" s="78" t="n">
        <v>3.82</v>
      </c>
      <c r="BA19" s="73" t="n">
        <v>4.88</v>
      </c>
      <c r="BB19" s="73" t="n">
        <v>23.65</v>
      </c>
      <c r="BC19" s="78" t="n">
        <v>4.84</v>
      </c>
      <c r="BD19" s="73" t="n">
        <v>34.8</v>
      </c>
      <c r="BE19" s="73" t="n">
        <v>182.7</v>
      </c>
      <c r="BF19" s="78" t="n">
        <v>5.25</v>
      </c>
      <c r="BG19" s="73" t="n">
        <v>97.12</v>
      </c>
      <c r="BH19" s="73" t="n">
        <v>307.78</v>
      </c>
      <c r="BI19" s="78" t="n">
        <v>3.17</v>
      </c>
      <c r="BJ19" s="73" t="n">
        <v>103.25</v>
      </c>
      <c r="BK19" s="73" t="n">
        <v>0</v>
      </c>
      <c r="BL19" s="78" t="n">
        <v>0</v>
      </c>
      <c r="BM19" s="73" t="n">
        <v>120</v>
      </c>
      <c r="BN19" s="73" t="n">
        <v>569.5700000000001</v>
      </c>
      <c r="BO19" s="78" t="n">
        <v>4.75</v>
      </c>
    </row>
    <row r="20" ht="15" customHeight="1" s="101">
      <c r="A20" s="74" t="inlineStr">
        <is>
          <t>San Felipe Central</t>
        </is>
      </c>
      <c r="B20" s="75" t="n">
        <v>5</v>
      </c>
      <c r="C20" s="75" t="n">
        <v>30</v>
      </c>
      <c r="D20" s="79" t="n">
        <v>6</v>
      </c>
      <c r="E20" s="75" t="n">
        <v>1</v>
      </c>
      <c r="F20" s="75" t="n">
        <v>8</v>
      </c>
      <c r="G20" s="79" t="n">
        <v>8</v>
      </c>
      <c r="H20" s="75" t="n">
        <v>4.31</v>
      </c>
      <c r="I20" s="75" t="n">
        <v>34.48</v>
      </c>
      <c r="J20" s="79" t="n">
        <v>8</v>
      </c>
      <c r="K20" s="75" t="n">
        <v>4.26</v>
      </c>
      <c r="L20" s="75" t="n">
        <v>34.08</v>
      </c>
      <c r="M20" s="79" t="n">
        <v>8</v>
      </c>
      <c r="N20" s="75" t="n"/>
      <c r="O20" s="75" t="n"/>
      <c r="P20" s="79" t="n"/>
      <c r="Q20" s="75" t="n">
        <v>5</v>
      </c>
      <c r="R20" s="75" t="n">
        <v>25</v>
      </c>
      <c r="S20" s="79" t="n">
        <v>5</v>
      </c>
      <c r="T20" s="75" t="n">
        <v>5.06</v>
      </c>
      <c r="U20" s="75" t="n">
        <v>23.91</v>
      </c>
      <c r="V20" s="79" t="n">
        <v>4.73</v>
      </c>
      <c r="W20" s="75" t="n">
        <v>4.15</v>
      </c>
      <c r="X20" s="75" t="n">
        <v>23.86</v>
      </c>
      <c r="Y20" s="79" t="n">
        <v>5.75</v>
      </c>
      <c r="Z20" s="75" t="n">
        <v>100</v>
      </c>
      <c r="AA20" s="75" t="n">
        <v>516.55</v>
      </c>
      <c r="AB20" s="79" t="n">
        <v>5.17</v>
      </c>
      <c r="AC20" s="75" t="n">
        <v>65.3</v>
      </c>
      <c r="AD20" s="75" t="n">
        <v>536.03</v>
      </c>
      <c r="AE20" s="79" t="n">
        <v>8.210000000000001</v>
      </c>
      <c r="AF20" s="75" t="n">
        <v>66.67</v>
      </c>
      <c r="AG20" s="75" t="n">
        <v>496.2</v>
      </c>
      <c r="AH20" s="79" t="n">
        <v>7.44</v>
      </c>
      <c r="AI20" s="75" t="n">
        <v>66.39</v>
      </c>
      <c r="AJ20" s="75" t="n">
        <v>500.06</v>
      </c>
      <c r="AK20" s="79" t="n">
        <v>7.53</v>
      </c>
      <c r="AL20" s="75" t="n">
        <v>75.18000000000001</v>
      </c>
      <c r="AM20" s="75" t="n">
        <v>542.52</v>
      </c>
      <c r="AN20" s="79" t="n">
        <v>7.22</v>
      </c>
      <c r="AO20" s="75" t="n">
        <v>81.19</v>
      </c>
      <c r="AP20" s="75" t="n">
        <v>633.25</v>
      </c>
      <c r="AQ20" s="79" t="n">
        <v>7.8</v>
      </c>
      <c r="AR20" s="75" t="n">
        <v>10</v>
      </c>
      <c r="AS20" s="75" t="n">
        <v>46.15</v>
      </c>
      <c r="AT20" s="79" t="n">
        <v>4.62</v>
      </c>
      <c r="AU20" s="75" t="n">
        <v>5.7</v>
      </c>
      <c r="AV20" s="75" t="n">
        <v>25.65</v>
      </c>
      <c r="AW20" s="79" t="n">
        <v>4.5</v>
      </c>
      <c r="AX20" s="75" t="n">
        <v>4.11</v>
      </c>
      <c r="AY20" s="75" t="n">
        <v>16.04</v>
      </c>
      <c r="AZ20" s="79" t="n">
        <v>3.9</v>
      </c>
      <c r="BA20" s="75" t="n">
        <v>4.7</v>
      </c>
      <c r="BB20" s="75" t="n">
        <v>13.72</v>
      </c>
      <c r="BC20" s="79" t="n">
        <v>2.92</v>
      </c>
      <c r="BD20" s="75" t="n">
        <v>2.8</v>
      </c>
      <c r="BE20" s="75" t="n">
        <v>14</v>
      </c>
      <c r="BF20" s="79" t="n">
        <v>5</v>
      </c>
      <c r="BG20" s="75" t="n">
        <v>20.12</v>
      </c>
      <c r="BH20" s="75" t="n">
        <v>5.51</v>
      </c>
      <c r="BI20" s="79" t="n">
        <v>0.27</v>
      </c>
      <c r="BJ20" s="75" t="n">
        <v>103.25</v>
      </c>
      <c r="BK20" s="75" t="n">
        <v>0</v>
      </c>
      <c r="BL20" s="79" t="n">
        <v>0</v>
      </c>
      <c r="BM20" s="75" t="n">
        <v>117</v>
      </c>
      <c r="BN20" s="75" t="n">
        <v>537.83</v>
      </c>
      <c r="BO20" s="79" t="n">
        <v>4.6</v>
      </c>
    </row>
    <row r="21" ht="15" customHeight="1" s="101">
      <c r="A21" s="72" t="inlineStr">
        <is>
          <t>San Felipe Sur</t>
        </is>
      </c>
      <c r="B21" s="73" t="n">
        <v>3</v>
      </c>
      <c r="C21" s="73" t="n">
        <v>18</v>
      </c>
      <c r="D21" s="78" t="n">
        <v>6</v>
      </c>
      <c r="E21" s="73" t="n">
        <v>4.46</v>
      </c>
      <c r="F21" s="73" t="n">
        <v>28.22</v>
      </c>
      <c r="G21" s="78" t="n">
        <v>6.33</v>
      </c>
      <c r="H21" s="73" t="n">
        <v>3.02</v>
      </c>
      <c r="I21" s="73" t="n">
        <v>24.16</v>
      </c>
      <c r="J21" s="78" t="n">
        <v>8</v>
      </c>
      <c r="K21" s="73" t="n">
        <v>3.41</v>
      </c>
      <c r="L21" s="73" t="n">
        <v>27.28</v>
      </c>
      <c r="M21" s="78" t="n">
        <v>8</v>
      </c>
      <c r="N21" s="73" t="n">
        <v>4.3</v>
      </c>
      <c r="O21" s="73" t="n">
        <v>34.4</v>
      </c>
      <c r="P21" s="78" t="n">
        <v>8</v>
      </c>
      <c r="Q21" s="73" t="n">
        <v>26.4</v>
      </c>
      <c r="R21" s="73" t="n">
        <v>131.1</v>
      </c>
      <c r="S21" s="78" t="n">
        <v>4.97</v>
      </c>
      <c r="T21" s="73" t="n">
        <v>6.05</v>
      </c>
      <c r="U21" s="73" t="n">
        <v>48.4</v>
      </c>
      <c r="V21" s="78" t="n">
        <v>8</v>
      </c>
      <c r="W21" s="73" t="n">
        <v>3.2</v>
      </c>
      <c r="X21" s="73" t="n">
        <v>17.31</v>
      </c>
      <c r="Y21" s="78" t="n">
        <v>5.41</v>
      </c>
      <c r="Z21" s="73" t="n">
        <v>115</v>
      </c>
      <c r="AA21" s="73" t="n">
        <v>615.52</v>
      </c>
      <c r="AB21" s="78" t="n">
        <v>5.35</v>
      </c>
      <c r="AC21" s="73" t="n">
        <v>67.7</v>
      </c>
      <c r="AD21" s="73" t="n">
        <v>555.73</v>
      </c>
      <c r="AE21" s="78" t="n">
        <v>8.210000000000001</v>
      </c>
      <c r="AF21" s="73" t="n">
        <v>69.12</v>
      </c>
      <c r="AG21" s="73" t="n">
        <v>514.4400000000001</v>
      </c>
      <c r="AH21" s="78" t="n">
        <v>7.44</v>
      </c>
      <c r="AI21" s="73" t="n">
        <v>68.83</v>
      </c>
      <c r="AJ21" s="73" t="n">
        <v>518.4299999999999</v>
      </c>
      <c r="AK21" s="78" t="n">
        <v>7.53</v>
      </c>
      <c r="AL21" s="73" t="n">
        <v>77.94</v>
      </c>
      <c r="AM21" s="73" t="n">
        <v>562.46</v>
      </c>
      <c r="AN21" s="78" t="n">
        <v>7.22</v>
      </c>
      <c r="AO21" s="73" t="n">
        <v>84.17</v>
      </c>
      <c r="AP21" s="73" t="n">
        <v>656.52</v>
      </c>
      <c r="AQ21" s="78" t="n">
        <v>7.8</v>
      </c>
      <c r="AR21" s="73" t="n">
        <v>5.75</v>
      </c>
      <c r="AS21" s="73" t="n">
        <v>25.56</v>
      </c>
      <c r="AT21" s="78" t="n">
        <v>4.45</v>
      </c>
      <c r="AU21" s="73" t="n">
        <v>5</v>
      </c>
      <c r="AV21" s="73" t="n">
        <v>18.13</v>
      </c>
      <c r="AW21" s="78" t="n">
        <v>3.63</v>
      </c>
      <c r="AX21" s="73" t="n">
        <v>0.75</v>
      </c>
      <c r="AY21" s="73" t="n">
        <v>3</v>
      </c>
      <c r="AZ21" s="78" t="n">
        <v>4</v>
      </c>
      <c r="BA21" s="73" t="n">
        <v>5.69</v>
      </c>
      <c r="BB21" s="73" t="n">
        <v>13.06</v>
      </c>
      <c r="BC21" s="78" t="n">
        <v>2.3</v>
      </c>
      <c r="BD21" s="73" t="n">
        <v>6.4</v>
      </c>
      <c r="BE21" s="73" t="n">
        <v>31.04</v>
      </c>
      <c r="BF21" s="78" t="n">
        <v>4.85</v>
      </c>
      <c r="BG21" s="73" t="n">
        <v>54.06</v>
      </c>
      <c r="BH21" s="73" t="n">
        <v>11.5</v>
      </c>
      <c r="BI21" s="78" t="n">
        <v>0.21</v>
      </c>
      <c r="BJ21" s="73" t="n">
        <v>92.20999999999999</v>
      </c>
      <c r="BK21" s="73" t="n">
        <v>0</v>
      </c>
      <c r="BL21" s="78" t="n">
        <v>0</v>
      </c>
      <c r="BM21" s="73" t="n">
        <v>127.5</v>
      </c>
      <c r="BN21" s="73" t="n">
        <v>744.6</v>
      </c>
      <c r="BO21" s="78" t="n">
        <v>5.84</v>
      </c>
    </row>
    <row r="22" ht="15" customHeight="1" s="101">
      <c r="A22" s="74" t="inlineStr">
        <is>
          <t>Pasileng Sur</t>
        </is>
      </c>
      <c r="B22" s="75" t="n">
        <v>16</v>
      </c>
      <c r="C22" s="75" t="n">
        <v>120</v>
      </c>
      <c r="D22" s="79" t="n">
        <v>7.5</v>
      </c>
      <c r="E22" s="75" t="n">
        <v>6.21</v>
      </c>
      <c r="F22" s="75" t="n">
        <v>33.9</v>
      </c>
      <c r="G22" s="79" t="n">
        <v>5.46</v>
      </c>
      <c r="H22" s="75" t="n">
        <v>4.4</v>
      </c>
      <c r="I22" s="75" t="n">
        <v>35.2</v>
      </c>
      <c r="J22" s="79" t="n">
        <v>8</v>
      </c>
      <c r="K22" s="75" t="n">
        <v>4.35</v>
      </c>
      <c r="L22" s="75" t="n">
        <v>34.8</v>
      </c>
      <c r="M22" s="79" t="n">
        <v>8</v>
      </c>
      <c r="N22" s="75" t="n">
        <v>4.36</v>
      </c>
      <c r="O22" s="75" t="n">
        <v>34.88</v>
      </c>
      <c r="P22" s="79" t="n">
        <v>8</v>
      </c>
      <c r="Q22" s="75" t="n">
        <v>15</v>
      </c>
      <c r="R22" s="75" t="n">
        <v>100.38</v>
      </c>
      <c r="S22" s="79" t="n">
        <v>6.69</v>
      </c>
      <c r="T22" s="75" t="n">
        <v>6.89</v>
      </c>
      <c r="U22" s="75" t="n">
        <v>30.26</v>
      </c>
      <c r="V22" s="79" t="n">
        <v>4.39</v>
      </c>
      <c r="W22" s="75" t="n">
        <v>1.2</v>
      </c>
      <c r="X22" s="75" t="n">
        <v>5.84</v>
      </c>
      <c r="Y22" s="79" t="n">
        <v>4.87</v>
      </c>
      <c r="Z22" s="75" t="n">
        <v>120</v>
      </c>
      <c r="AA22" s="75" t="n">
        <v>649.12</v>
      </c>
      <c r="AB22" s="79" t="n">
        <v>5.41</v>
      </c>
      <c r="AC22" s="75" t="n">
        <v>68.68000000000001</v>
      </c>
      <c r="AD22" s="75" t="n">
        <v>563.72</v>
      </c>
      <c r="AE22" s="79" t="n">
        <v>8.210000000000001</v>
      </c>
      <c r="AF22" s="75" t="n">
        <v>70.11</v>
      </c>
      <c r="AG22" s="75" t="n">
        <v>521.84</v>
      </c>
      <c r="AH22" s="79" t="n">
        <v>7.44</v>
      </c>
      <c r="AI22" s="75" t="n">
        <v>69.81999999999999</v>
      </c>
      <c r="AJ22" s="75" t="n">
        <v>525.89</v>
      </c>
      <c r="AK22" s="79" t="n">
        <v>7.53</v>
      </c>
      <c r="AL22" s="75" t="n">
        <v>79.06</v>
      </c>
      <c r="AM22" s="75" t="n">
        <v>570.55</v>
      </c>
      <c r="AN22" s="79" t="n">
        <v>7.22</v>
      </c>
      <c r="AO22" s="75" t="n">
        <v>85.38</v>
      </c>
      <c r="AP22" s="75" t="n">
        <v>665.96</v>
      </c>
      <c r="AQ22" s="79" t="n">
        <v>7.8</v>
      </c>
      <c r="AR22" s="75" t="n">
        <v>6.6</v>
      </c>
      <c r="AS22" s="75" t="n">
        <v>31.64</v>
      </c>
      <c r="AT22" s="79" t="n">
        <v>4.79</v>
      </c>
      <c r="AU22" s="75" t="n">
        <v>6.91</v>
      </c>
      <c r="AV22" s="75" t="n">
        <v>29.51</v>
      </c>
      <c r="AW22" s="79" t="n">
        <v>4.27</v>
      </c>
      <c r="AX22" s="75" t="n">
        <v>4.48</v>
      </c>
      <c r="AY22" s="75" t="n">
        <v>23.41</v>
      </c>
      <c r="AZ22" s="79" t="n">
        <v>5.23</v>
      </c>
      <c r="BA22" s="75" t="n">
        <v>4.76</v>
      </c>
      <c r="BB22" s="75" t="n">
        <v>17.81</v>
      </c>
      <c r="BC22" s="79" t="n">
        <v>3.74</v>
      </c>
      <c r="BD22" s="75" t="n">
        <v>3.6</v>
      </c>
      <c r="BE22" s="75" t="n">
        <v>21.82</v>
      </c>
      <c r="BF22" s="79" t="n">
        <v>6.06</v>
      </c>
      <c r="BG22" s="75" t="n">
        <v>17.25</v>
      </c>
      <c r="BH22" s="75" t="n">
        <v>4.94</v>
      </c>
      <c r="BI22" s="79" t="n">
        <v>0.29</v>
      </c>
      <c r="BJ22" s="75" t="n">
        <v>89.52</v>
      </c>
      <c r="BK22" s="75" t="n">
        <v>0</v>
      </c>
      <c r="BL22" s="79" t="n">
        <v>0</v>
      </c>
      <c r="BM22" s="75" t="n">
        <v>150.9</v>
      </c>
      <c r="BN22" s="75" t="n">
        <v>761.85</v>
      </c>
      <c r="BO22" s="79" t="n">
        <v>5.05</v>
      </c>
    </row>
    <row r="23" ht="15" customHeight="1" s="101">
      <c r="A23" s="72" t="inlineStr">
        <is>
          <t>Sta. Maria Norte</t>
        </is>
      </c>
      <c r="B23" s="73" t="n">
        <v>5.34</v>
      </c>
      <c r="C23" s="73" t="n">
        <v>19.64</v>
      </c>
      <c r="D23" s="78" t="n">
        <v>3.68</v>
      </c>
      <c r="E23" s="73" t="n">
        <v>5.4</v>
      </c>
      <c r="F23" s="73" t="n">
        <v>19.94</v>
      </c>
      <c r="G23" s="78" t="n">
        <v>3.69</v>
      </c>
      <c r="H23" s="73" t="n">
        <v>1.86</v>
      </c>
      <c r="I23" s="73" t="n">
        <v>14.88</v>
      </c>
      <c r="J23" s="78" t="n">
        <v>8</v>
      </c>
      <c r="K23" s="73" t="n">
        <v>3.95</v>
      </c>
      <c r="L23" s="73" t="n">
        <v>25.27</v>
      </c>
      <c r="M23" s="78" t="n">
        <v>6.4</v>
      </c>
      <c r="N23" s="73" t="n">
        <v>6.28</v>
      </c>
      <c r="O23" s="73" t="n">
        <v>31.75</v>
      </c>
      <c r="P23" s="78" t="n">
        <v>5.06</v>
      </c>
      <c r="Q23" s="73" t="n">
        <v>0.5</v>
      </c>
      <c r="R23" s="73" t="n">
        <v>4</v>
      </c>
      <c r="S23" s="78" t="n">
        <v>8</v>
      </c>
      <c r="T23" s="73" t="n"/>
      <c r="U23" s="73" t="n"/>
      <c r="V23" s="78" t="n"/>
      <c r="W23" s="73" t="n"/>
      <c r="X23" s="73" t="n"/>
      <c r="Y23" s="78" t="n"/>
      <c r="Z23" s="73" t="n"/>
      <c r="AA23" s="73" t="n"/>
      <c r="AB23" s="78" t="n"/>
      <c r="AC23" s="73" t="n">
        <v>23.3</v>
      </c>
      <c r="AD23" s="73" t="n">
        <v>191.25</v>
      </c>
      <c r="AE23" s="78" t="n">
        <v>8.210000000000001</v>
      </c>
      <c r="AF23" s="73" t="n">
        <v>23.79</v>
      </c>
      <c r="AG23" s="73" t="n">
        <v>177.04</v>
      </c>
      <c r="AH23" s="78" t="n">
        <v>7.44</v>
      </c>
      <c r="AI23" s="73" t="n">
        <v>23.69</v>
      </c>
      <c r="AJ23" s="73" t="n">
        <v>178.42</v>
      </c>
      <c r="AK23" s="78" t="n">
        <v>7.53</v>
      </c>
      <c r="AL23" s="73" t="n">
        <v>26.82</v>
      </c>
      <c r="AM23" s="73" t="n">
        <v>193.57</v>
      </c>
      <c r="AN23" s="78" t="n">
        <v>7.22</v>
      </c>
      <c r="AO23" s="73" t="n">
        <v>28.97</v>
      </c>
      <c r="AP23" s="73" t="n">
        <v>225.94</v>
      </c>
      <c r="AQ23" s="78" t="n">
        <v>7.8</v>
      </c>
      <c r="AR23" s="73" t="n">
        <v>1.05</v>
      </c>
      <c r="AS23" s="73" t="n">
        <v>5.38</v>
      </c>
      <c r="AT23" s="78" t="n">
        <v>5.12</v>
      </c>
      <c r="AU23" s="73" t="n">
        <v>1.35</v>
      </c>
      <c r="AV23" s="73" t="n">
        <v>3.98</v>
      </c>
      <c r="AW23" s="78" t="n">
        <v>2.95</v>
      </c>
      <c r="AX23" s="73" t="n">
        <v>0.5</v>
      </c>
      <c r="AY23" s="73" t="n">
        <v>1.75</v>
      </c>
      <c r="AZ23" s="78" t="n">
        <v>3.5</v>
      </c>
      <c r="BA23" s="73" t="n">
        <v>2.36</v>
      </c>
      <c r="BB23" s="73" t="n">
        <v>3.25</v>
      </c>
      <c r="BC23" s="78" t="n">
        <v>1.38</v>
      </c>
      <c r="BD23" s="73" t="n">
        <v>3.1</v>
      </c>
      <c r="BE23" s="73" t="n">
        <v>4.84</v>
      </c>
      <c r="BF23" s="78" t="n">
        <v>1.56</v>
      </c>
      <c r="BG23" s="73" t="n">
        <v>40.09</v>
      </c>
      <c r="BH23" s="73" t="n">
        <v>9.619999999999999</v>
      </c>
      <c r="BI23" s="78" t="n">
        <v>0.24</v>
      </c>
      <c r="BJ23" s="73" t="n">
        <v>41.4</v>
      </c>
      <c r="BK23" s="73" t="n">
        <v>0</v>
      </c>
      <c r="BL23" s="78" t="n">
        <v>0</v>
      </c>
      <c r="BM23" s="73" t="n">
        <v>24.5</v>
      </c>
      <c r="BN23" s="73" t="n">
        <v>128.17</v>
      </c>
      <c r="BO23" s="78" t="n">
        <v>5.23</v>
      </c>
    </row>
    <row r="24" ht="15" customHeight="1" s="101">
      <c r="A24" s="74" t="inlineStr">
        <is>
          <t>Bugayong</t>
        </is>
      </c>
      <c r="B24" s="75" t="n">
        <v>2</v>
      </c>
      <c r="C24" s="75" t="n">
        <v>11.5</v>
      </c>
      <c r="D24" s="79" t="n">
        <v>5.75</v>
      </c>
      <c r="E24" s="75" t="n">
        <v>1.29</v>
      </c>
      <c r="F24" s="75" t="n">
        <v>10.32</v>
      </c>
      <c r="G24" s="79" t="n">
        <v>8</v>
      </c>
      <c r="H24" s="75" t="n">
        <v>1.49</v>
      </c>
      <c r="I24" s="75" t="n">
        <v>11.92</v>
      </c>
      <c r="J24" s="79" t="n">
        <v>8</v>
      </c>
      <c r="K24" s="75" t="n">
        <v>3</v>
      </c>
      <c r="L24" s="75" t="n">
        <v>13.5</v>
      </c>
      <c r="M24" s="79" t="n">
        <v>4.5</v>
      </c>
      <c r="N24" s="75" t="n">
        <v>8.199999999999999</v>
      </c>
      <c r="O24" s="75" t="n">
        <v>24.47</v>
      </c>
      <c r="P24" s="79" t="n">
        <v>2.98</v>
      </c>
      <c r="Q24" s="75" t="n">
        <v>7.58</v>
      </c>
      <c r="R24" s="75" t="n">
        <v>21.83</v>
      </c>
      <c r="S24" s="79" t="n">
        <v>2.88</v>
      </c>
      <c r="T24" s="75" t="n">
        <v>4.12</v>
      </c>
      <c r="U24" s="75" t="n">
        <v>16.46</v>
      </c>
      <c r="V24" s="79" t="n">
        <v>4</v>
      </c>
      <c r="W24" s="75" t="n">
        <v>1</v>
      </c>
      <c r="X24" s="75" t="n">
        <v>4.5</v>
      </c>
      <c r="Y24" s="79" t="n">
        <v>4.5</v>
      </c>
      <c r="Z24" s="75" t="n">
        <v>2</v>
      </c>
      <c r="AA24" s="75" t="n">
        <v>6.77</v>
      </c>
      <c r="AB24" s="79" t="n">
        <v>3.38</v>
      </c>
      <c r="AC24" s="75" t="n">
        <v>20.95</v>
      </c>
      <c r="AD24" s="75" t="n">
        <v>171.96</v>
      </c>
      <c r="AE24" s="79" t="n">
        <v>8.210000000000001</v>
      </c>
      <c r="AF24" s="75" t="n">
        <v>21.39</v>
      </c>
      <c r="AG24" s="75" t="n">
        <v>159.19</v>
      </c>
      <c r="AH24" s="79" t="n">
        <v>7.44</v>
      </c>
      <c r="AI24" s="75" t="n">
        <v>21.3</v>
      </c>
      <c r="AJ24" s="75" t="n">
        <v>160.42</v>
      </c>
      <c r="AK24" s="79" t="n">
        <v>7.53</v>
      </c>
      <c r="AL24" s="75" t="n">
        <v>24.12</v>
      </c>
      <c r="AM24" s="75" t="n">
        <v>174.04</v>
      </c>
      <c r="AN24" s="79" t="n">
        <v>7.22</v>
      </c>
      <c r="AO24" s="75" t="n">
        <v>26.04</v>
      </c>
      <c r="AP24" s="75" t="n">
        <v>203.15</v>
      </c>
      <c r="AQ24" s="79" t="n">
        <v>7.8</v>
      </c>
      <c r="AR24" s="75" t="n">
        <v>25.1</v>
      </c>
      <c r="AS24" s="75" t="n">
        <v>117.29</v>
      </c>
      <c r="AT24" s="79" t="n">
        <v>4.67</v>
      </c>
      <c r="AU24" s="75" t="n">
        <v>25.48</v>
      </c>
      <c r="AV24" s="75" t="n">
        <v>203.35</v>
      </c>
      <c r="AW24" s="79" t="n">
        <v>7.98</v>
      </c>
      <c r="AX24" s="75" t="n">
        <v>26.39</v>
      </c>
      <c r="AY24" s="75" t="n">
        <v>211.12</v>
      </c>
      <c r="AZ24" s="79" t="n">
        <v>8</v>
      </c>
      <c r="BA24" s="75" t="n">
        <v>44.48</v>
      </c>
      <c r="BB24" s="75" t="n">
        <v>306.15</v>
      </c>
      <c r="BC24" s="79" t="n">
        <v>6.88</v>
      </c>
      <c r="BD24" s="75" t="n">
        <v>28.81</v>
      </c>
      <c r="BE24" s="75" t="n">
        <v>98.48999999999999</v>
      </c>
      <c r="BF24" s="79" t="n">
        <v>3.42</v>
      </c>
      <c r="BG24" s="75" t="n">
        <v>24.91</v>
      </c>
      <c r="BH24" s="75" t="n">
        <v>76.68000000000001</v>
      </c>
      <c r="BI24" s="79" t="n">
        <v>3.08</v>
      </c>
      <c r="BJ24" s="75" t="n">
        <v>20.34</v>
      </c>
      <c r="BK24" s="75" t="n">
        <v>0</v>
      </c>
      <c r="BL24" s="79" t="n">
        <v>0</v>
      </c>
      <c r="BM24" s="75" t="n">
        <v>25.95</v>
      </c>
      <c r="BN24" s="75" t="n">
        <v>130.27</v>
      </c>
      <c r="BO24" s="79" t="n">
        <v>5.02</v>
      </c>
    </row>
    <row r="25" ht="15" customHeight="1" s="101">
      <c r="A25" s="72" t="inlineStr">
        <is>
          <t>Santiago</t>
        </is>
      </c>
      <c r="B25" s="73" t="n">
        <v>1.71</v>
      </c>
      <c r="C25" s="73" t="n">
        <v>13.68</v>
      </c>
      <c r="D25" s="78" t="n">
        <v>8</v>
      </c>
      <c r="E25" s="73" t="n">
        <v>1.74</v>
      </c>
      <c r="F25" s="73" t="n">
        <v>13.92</v>
      </c>
      <c r="G25" s="78" t="n">
        <v>8</v>
      </c>
      <c r="H25" s="73" t="n">
        <v>3.32</v>
      </c>
      <c r="I25" s="73" t="n">
        <v>26.56</v>
      </c>
      <c r="J25" s="78" t="n">
        <v>8</v>
      </c>
      <c r="K25" s="73" t="n">
        <v>3.8</v>
      </c>
      <c r="L25" s="73" t="n">
        <v>30.4</v>
      </c>
      <c r="M25" s="78" t="n">
        <v>8</v>
      </c>
      <c r="N25" s="73" t="n">
        <v>6.59</v>
      </c>
      <c r="O25" s="73" t="n">
        <v>35.52</v>
      </c>
      <c r="P25" s="78" t="n">
        <v>5.39</v>
      </c>
      <c r="Q25" s="73" t="n">
        <v>5.57</v>
      </c>
      <c r="R25" s="73" t="n">
        <v>34.76</v>
      </c>
      <c r="S25" s="78" t="n">
        <v>6.24</v>
      </c>
      <c r="T25" s="73" t="n">
        <v>4.39</v>
      </c>
      <c r="U25" s="73" t="n">
        <v>31.59</v>
      </c>
      <c r="V25" s="78" t="n">
        <v>7.2</v>
      </c>
      <c r="W25" s="73" t="n">
        <v>1.5</v>
      </c>
      <c r="X25" s="73" t="n">
        <v>5.97</v>
      </c>
      <c r="Y25" s="78" t="n">
        <v>3.98</v>
      </c>
      <c r="Z25" s="73" t="n">
        <v>18</v>
      </c>
      <c r="AA25" s="73" t="n">
        <v>103.91</v>
      </c>
      <c r="AB25" s="78" t="n">
        <v>5.77</v>
      </c>
      <c r="AC25" s="73" t="n">
        <v>69.48</v>
      </c>
      <c r="AD25" s="73" t="n">
        <v>570.26</v>
      </c>
      <c r="AE25" s="78" t="n">
        <v>8.210000000000001</v>
      </c>
      <c r="AF25" s="73" t="n">
        <v>70.93000000000001</v>
      </c>
      <c r="AG25" s="73" t="n">
        <v>527.89</v>
      </c>
      <c r="AH25" s="78" t="n">
        <v>7.44</v>
      </c>
      <c r="AI25" s="73" t="n">
        <v>70.65000000000001</v>
      </c>
      <c r="AJ25" s="73" t="n">
        <v>531.99</v>
      </c>
      <c r="AK25" s="78" t="n">
        <v>7.53</v>
      </c>
      <c r="AL25" s="73" t="n">
        <v>79.98</v>
      </c>
      <c r="AM25" s="73" t="n">
        <v>577.14</v>
      </c>
      <c r="AN25" s="78" t="n">
        <v>7.22</v>
      </c>
      <c r="AO25" s="73" t="n">
        <v>86.38</v>
      </c>
      <c r="AP25" s="73" t="n">
        <v>673.66</v>
      </c>
      <c r="AQ25" s="78" t="n">
        <v>7.8</v>
      </c>
      <c r="AR25" s="73" t="n">
        <v>3.47</v>
      </c>
      <c r="AS25" s="73" t="n">
        <v>10.92</v>
      </c>
      <c r="AT25" s="78" t="n">
        <v>3.15</v>
      </c>
      <c r="AU25" s="73" t="n">
        <v>4</v>
      </c>
      <c r="AV25" s="73" t="n">
        <v>11.11</v>
      </c>
      <c r="AW25" s="78" t="n">
        <v>2.78</v>
      </c>
      <c r="AX25" s="73" t="n">
        <v>4</v>
      </c>
      <c r="AY25" s="73" t="n">
        <v>13.5</v>
      </c>
      <c r="AZ25" s="78" t="n">
        <v>3.38</v>
      </c>
      <c r="BA25" s="73" t="n">
        <v>4</v>
      </c>
      <c r="BB25" s="73" t="n">
        <v>11.7</v>
      </c>
      <c r="BC25" s="78" t="n">
        <v>2.92</v>
      </c>
      <c r="BD25" s="73" t="n">
        <v>4</v>
      </c>
      <c r="BE25" s="73" t="n">
        <v>21</v>
      </c>
      <c r="BF25" s="78" t="n">
        <v>5.25</v>
      </c>
      <c r="BG25" s="73" t="n">
        <v>17.46</v>
      </c>
      <c r="BH25" s="73" t="n">
        <v>137.84</v>
      </c>
      <c r="BI25" s="78" t="n">
        <v>7.89</v>
      </c>
      <c r="BJ25" s="73" t="n">
        <v>38.3</v>
      </c>
      <c r="BK25" s="73" t="n">
        <v>0</v>
      </c>
      <c r="BL25" s="78" t="n">
        <v>0</v>
      </c>
      <c r="BM25" s="73" t="n">
        <v>103.6</v>
      </c>
      <c r="BN25" s="73" t="n">
        <v>528.0700000000001</v>
      </c>
      <c r="BO25" s="78" t="n">
        <v>5.1</v>
      </c>
    </row>
    <row r="26" ht="15" customHeight="1" s="101">
      <c r="A26" s="76" t="inlineStr">
        <is>
          <t>TOTAL</t>
        </is>
      </c>
      <c r="B26" s="77">
        <f>SUM(B5:B25)</f>
        <v/>
      </c>
      <c r="C26" s="77">
        <f>SUM(C5:C25)</f>
        <v/>
      </c>
      <c r="D26" s="80">
        <f>IFERROR(C26/B26,"")</f>
        <v/>
      </c>
      <c r="E26" s="77">
        <f>SUM(E5:E25)</f>
        <v/>
      </c>
      <c r="F26" s="77">
        <f>SUM(F5:F25)</f>
        <v/>
      </c>
      <c r="G26" s="80">
        <f>IFERROR(F26/E26,"")</f>
        <v/>
      </c>
      <c r="H26" s="77">
        <f>SUM(H5:H25)</f>
        <v/>
      </c>
      <c r="I26" s="77">
        <f>SUM(I5:I25)</f>
        <v/>
      </c>
      <c r="J26" s="80">
        <f>IFERROR(I26/H26,"")</f>
        <v/>
      </c>
      <c r="K26" s="77">
        <f>SUM(K5:K25)</f>
        <v/>
      </c>
      <c r="L26" s="77">
        <f>SUM(L5:L25)</f>
        <v/>
      </c>
      <c r="M26" s="80">
        <f>IFERROR(L26/K26,"")</f>
        <v/>
      </c>
      <c r="N26" s="77">
        <f>SUM(N5:N25)</f>
        <v/>
      </c>
      <c r="O26" s="77">
        <f>SUM(O5:O25)</f>
        <v/>
      </c>
      <c r="P26" s="80">
        <f>IFERROR(O26/N26,"")</f>
        <v/>
      </c>
      <c r="Q26" s="77">
        <f>SUM(Q5:Q25)</f>
        <v/>
      </c>
      <c r="R26" s="77">
        <f>SUM(R5:R25)</f>
        <v/>
      </c>
      <c r="S26" s="80">
        <f>IFERROR(R26/Q26,"")</f>
        <v/>
      </c>
      <c r="T26" s="77">
        <f>SUM(T5:T25)</f>
        <v/>
      </c>
      <c r="U26" s="77">
        <f>SUM(U5:U25)</f>
        <v/>
      </c>
      <c r="V26" s="80">
        <f>IFERROR(U26/T26,"")</f>
        <v/>
      </c>
      <c r="W26" s="77">
        <f>SUM(W5:W25)</f>
        <v/>
      </c>
      <c r="X26" s="77">
        <f>SUM(X5:X25)</f>
        <v/>
      </c>
      <c r="Y26" s="80">
        <f>IFERROR(X26/W26,"")</f>
        <v/>
      </c>
      <c r="Z26" s="77">
        <f>SUM(Z5:Z25)</f>
        <v/>
      </c>
      <c r="AA26" s="77">
        <f>SUM(AA5:AA25)</f>
        <v/>
      </c>
      <c r="AB26" s="80">
        <f>IFERROR(AA26/Z26,"")</f>
        <v/>
      </c>
      <c r="AC26" s="81">
        <f>SUM(AC5:AC25)</f>
        <v/>
      </c>
      <c r="AD26" s="81">
        <f>SUM(AD5:AD25)</f>
        <v/>
      </c>
      <c r="AE26" s="82">
        <f>IFERROR(AD26/AC26,"")</f>
        <v/>
      </c>
      <c r="AF26" s="81">
        <f>SUM(AF5:AF25)</f>
        <v/>
      </c>
      <c r="AG26" s="81">
        <f>SUM(AG5:AG25)</f>
        <v/>
      </c>
      <c r="AH26" s="82">
        <f>IFERROR(AG26/AF26,"")</f>
        <v/>
      </c>
      <c r="AI26" s="81">
        <f>SUM(AI5:AI25)</f>
        <v/>
      </c>
      <c r="AJ26" s="81">
        <f>SUM(AJ5:AJ25)</f>
        <v/>
      </c>
      <c r="AK26" s="82">
        <f>IFERROR(AJ26/AI26,"")</f>
        <v/>
      </c>
      <c r="AL26" s="81">
        <f>SUM(AL5:AL25)</f>
        <v/>
      </c>
      <c r="AM26" s="81">
        <f>SUM(AM5:AM25)</f>
        <v/>
      </c>
      <c r="AN26" s="82">
        <f>IFERROR(AM26/AL26,"")</f>
        <v/>
      </c>
      <c r="AO26" s="81">
        <f>SUM(AO5:AO25)</f>
        <v/>
      </c>
      <c r="AP26" s="81">
        <f>SUM(AP5:AP25)</f>
        <v/>
      </c>
      <c r="AQ26" s="82">
        <f>IFERROR(AP26/AO26,"")</f>
        <v/>
      </c>
      <c r="AR26" s="77">
        <f>SUM(AR5:AR25)</f>
        <v/>
      </c>
      <c r="AS26" s="77">
        <f>SUM(AS5:AS25)</f>
        <v/>
      </c>
      <c r="AT26" s="80">
        <f>IFERROR(AS26/AR26,"")</f>
        <v/>
      </c>
      <c r="AU26" s="77">
        <f>SUM(AU5:AU25)</f>
        <v/>
      </c>
      <c r="AV26" s="77">
        <f>SUM(AV5:AV25)</f>
        <v/>
      </c>
      <c r="AW26" s="80">
        <f>IFERROR(AV26/AU26,"")</f>
        <v/>
      </c>
      <c r="AX26" s="77">
        <f>SUM(AX5:AX25)</f>
        <v/>
      </c>
      <c r="AY26" s="77">
        <f>SUM(AY5:AY25)</f>
        <v/>
      </c>
      <c r="AZ26" s="80">
        <f>IFERROR(AY26/AX26,"")</f>
        <v/>
      </c>
      <c r="BA26" s="77">
        <f>SUM(BA5:BA25)</f>
        <v/>
      </c>
      <c r="BB26" s="77">
        <f>SUM(BB5:BB25)</f>
        <v/>
      </c>
      <c r="BC26" s="80">
        <f>IFERROR(BB26/BA26,"")</f>
        <v/>
      </c>
      <c r="BD26" s="77">
        <f>SUM(BD5:BD25)</f>
        <v/>
      </c>
      <c r="BE26" s="77">
        <f>SUM(BE5:BE25)</f>
        <v/>
      </c>
      <c r="BF26" s="80">
        <f>IFERROR(BE26/BD26,"")</f>
        <v/>
      </c>
      <c r="BG26" s="77">
        <f>SUM(BG5:BG25)</f>
        <v/>
      </c>
      <c r="BH26" s="77">
        <f>SUM(BH5:BH25)</f>
        <v/>
      </c>
      <c r="BI26" s="80">
        <f>IFERROR(BH26/BG26,"")</f>
        <v/>
      </c>
      <c r="BJ26" s="77">
        <f>SUM(BJ5:BJ25)</f>
        <v/>
      </c>
      <c r="BK26" s="77">
        <f>SUM(BK5:BK25)</f>
        <v/>
      </c>
      <c r="BL26" s="80">
        <f>IFERROR(BK26/BJ26,"")</f>
        <v/>
      </c>
      <c r="BM26" s="77">
        <f>SUM(BM5:BM25)</f>
        <v/>
      </c>
      <c r="BN26" s="77">
        <f>SUM(BN5:BN25)</f>
        <v/>
      </c>
      <c r="BO26" s="80">
        <f>IFERROR(BN26/BM26,"")</f>
        <v/>
      </c>
    </row>
  </sheetData>
  <mergeCells count="46">
    <mergeCell ref="AX2:AZ2"/>
    <mergeCell ref="BD2:BF2"/>
    <mergeCell ref="N2:P2"/>
    <mergeCell ref="A2:A4"/>
    <mergeCell ref="BJ2:BL2"/>
    <mergeCell ref="W3:Y3"/>
    <mergeCell ref="H2:J2"/>
    <mergeCell ref="BA3:BC3"/>
    <mergeCell ref="Z3:AB3"/>
    <mergeCell ref="AL3:AN3"/>
    <mergeCell ref="T2:V2"/>
    <mergeCell ref="Z2:AB2"/>
    <mergeCell ref="E2:G2"/>
    <mergeCell ref="K2:M2"/>
    <mergeCell ref="BG2:BI2"/>
    <mergeCell ref="AF2:AH2"/>
    <mergeCell ref="B2:D2"/>
    <mergeCell ref="AX3:AZ3"/>
    <mergeCell ref="H3:J3"/>
    <mergeCell ref="AI3:AK3"/>
    <mergeCell ref="AR2:AT2"/>
    <mergeCell ref="BJ3:BL3"/>
    <mergeCell ref="Q2:S2"/>
    <mergeCell ref="W2:Y2"/>
    <mergeCell ref="AU3:AW3"/>
    <mergeCell ref="AI2:AK2"/>
    <mergeCell ref="AC2:AE2"/>
    <mergeCell ref="AU2:AW2"/>
    <mergeCell ref="AR3:AT3"/>
    <mergeCell ref="T3:V3"/>
    <mergeCell ref="AF3:AH3"/>
    <mergeCell ref="E3:G3"/>
    <mergeCell ref="K3:M3"/>
    <mergeCell ref="BG3:BI3"/>
    <mergeCell ref="Q3:S3"/>
    <mergeCell ref="AO2:AQ2"/>
    <mergeCell ref="B3:D3"/>
    <mergeCell ref="BM3:BO3"/>
    <mergeCell ref="BA2:BC2"/>
    <mergeCell ref="AL2:AN2"/>
    <mergeCell ref="A1:BO1"/>
    <mergeCell ref="AC3:AE3"/>
    <mergeCell ref="BD3:BF3"/>
    <mergeCell ref="AO3:AQ3"/>
    <mergeCell ref="N3:P3"/>
    <mergeCell ref="BM2:BO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"/>
  <sheetViews>
    <sheetView zoomScaleNormal="100" workbookViewId="0">
      <pane ySplit="2" topLeftCell="A3" activePane="bottomLeft" state="frozen"/>
      <selection pane="bottomLeft" activeCell="A1" sqref="A1"/>
    </sheetView>
  </sheetViews>
  <sheetFormatPr baseColWidth="8" defaultColWidth="8.6640625" defaultRowHeight="14.4"/>
  <cols>
    <col width="16" customWidth="1" style="101" min="1" max="11"/>
  </cols>
  <sheetData>
    <row r="1" ht="15" customHeight="1" s="101">
      <c r="A1" s="83" t="inlineStr">
        <is>
          <t>Preprocessed Raw Data – All Records (Palay + Corn, including SMOTE-filled values)</t>
        </is>
      </c>
    </row>
    <row r="2" ht="19.5" customHeight="1" s="101">
      <c r="A2" s="114" t="inlineStr">
        <is>
          <t>Season</t>
        </is>
      </c>
      <c r="B2" s="114" t="inlineStr">
        <is>
          <t>Year</t>
        </is>
      </c>
      <c r="C2" s="114" t="inlineStr">
        <is>
          <t>Crop</t>
        </is>
      </c>
      <c r="D2" s="114" t="inlineStr">
        <is>
          <t>Data_Type</t>
        </is>
      </c>
      <c r="E2" s="114" t="inlineStr">
        <is>
          <t>Barangay</t>
        </is>
      </c>
      <c r="F2" s="114" t="inlineStr">
        <is>
          <t>Irrigated_ha</t>
        </is>
      </c>
      <c r="G2" s="114" t="inlineStr">
        <is>
          <t>Rainfed_ha</t>
        </is>
      </c>
      <c r="H2" s="114" t="inlineStr">
        <is>
          <t>Total_ha</t>
        </is>
      </c>
      <c r="I2" s="114" t="inlineStr">
        <is>
          <t>Area_Harvested_ha</t>
        </is>
      </c>
      <c r="J2" s="114" t="inlineStr">
        <is>
          <t>Production_mt</t>
        </is>
      </c>
      <c r="K2" s="114" t="inlineStr">
        <is>
          <t>Yield_mt_ha</t>
        </is>
      </c>
    </row>
    <row r="3" ht="15" customHeight="1" s="101">
      <c r="A3" s="72" t="inlineStr">
        <is>
          <t>DS</t>
        </is>
      </c>
      <c r="B3" s="72" t="inlineStr">
        <is>
          <t>2007-2008</t>
        </is>
      </c>
      <c r="C3" s="72" t="inlineStr">
        <is>
          <t>Palay</t>
        </is>
      </c>
      <c r="D3" s="72" t="inlineStr">
        <is>
          <t>Planting</t>
        </is>
      </c>
      <c r="E3" s="72" t="inlineStr">
        <is>
          <t>Pasileng Norte</t>
        </is>
      </c>
      <c r="F3" s="73" t="n">
        <v>6</v>
      </c>
      <c r="G3" s="73" t="n">
        <v>26.4</v>
      </c>
      <c r="H3" s="73" t="n">
        <v>69</v>
      </c>
      <c r="I3" s="84" t="n"/>
      <c r="J3" s="84" t="n"/>
      <c r="K3" s="84" t="n"/>
    </row>
    <row r="4" ht="15" customHeight="1" s="101">
      <c r="A4" s="74" t="inlineStr">
        <is>
          <t>DS</t>
        </is>
      </c>
      <c r="B4" s="74" t="inlineStr">
        <is>
          <t>2007-2008</t>
        </is>
      </c>
      <c r="C4" s="74" t="inlineStr">
        <is>
          <t>Palay</t>
        </is>
      </c>
      <c r="D4" s="74" t="inlineStr">
        <is>
          <t>Planting</t>
        </is>
      </c>
      <c r="E4" s="74" t="inlineStr">
        <is>
          <t>Tabuyoc</t>
        </is>
      </c>
      <c r="F4" s="75" t="n">
        <v>10</v>
      </c>
      <c r="G4" s="75" t="n">
        <v>81.66</v>
      </c>
      <c r="H4" s="75" t="n">
        <v>59</v>
      </c>
      <c r="I4" s="85" t="n"/>
      <c r="J4" s="85" t="n"/>
      <c r="K4" s="85" t="n"/>
    </row>
    <row r="5" ht="15" customHeight="1" s="101">
      <c r="A5" s="72" t="inlineStr">
        <is>
          <t>DS</t>
        </is>
      </c>
      <c r="B5" s="72" t="inlineStr">
        <is>
          <t>2007-2008</t>
        </is>
      </c>
      <c r="C5" s="72" t="inlineStr">
        <is>
          <t>Palay</t>
        </is>
      </c>
      <c r="D5" s="72" t="inlineStr">
        <is>
          <t>Planting</t>
        </is>
      </c>
      <c r="E5" s="72" t="inlineStr">
        <is>
          <t>Bued</t>
        </is>
      </c>
      <c r="F5" s="73" t="n">
        <v>2</v>
      </c>
      <c r="G5" s="73" t="n">
        <v>35.32</v>
      </c>
      <c r="H5" s="73" t="n">
        <v>34.1</v>
      </c>
      <c r="I5" s="84" t="n"/>
      <c r="J5" s="84" t="n"/>
      <c r="K5" s="84" t="n"/>
    </row>
    <row r="6" ht="15" customHeight="1" s="101">
      <c r="A6" s="74" t="inlineStr">
        <is>
          <t>DS</t>
        </is>
      </c>
      <c r="B6" s="74" t="inlineStr">
        <is>
          <t>2007-2008</t>
        </is>
      </c>
      <c r="C6" s="74" t="inlineStr">
        <is>
          <t>Palay</t>
        </is>
      </c>
      <c r="D6" s="74" t="inlineStr">
        <is>
          <t>Planting</t>
        </is>
      </c>
      <c r="E6" s="74" t="inlineStr">
        <is>
          <t>Dumayat</t>
        </is>
      </c>
      <c r="F6" s="75" t="n">
        <v>2</v>
      </c>
      <c r="G6" s="75" t="n">
        <v>35.32</v>
      </c>
      <c r="H6" s="75" t="n">
        <v>12.25</v>
      </c>
      <c r="I6" s="85" t="n"/>
      <c r="J6" s="85" t="n"/>
      <c r="K6" s="85" t="n"/>
    </row>
    <row r="7" ht="15" customHeight="1" s="101">
      <c r="A7" s="72" t="inlineStr">
        <is>
          <t>DS</t>
        </is>
      </c>
      <c r="B7" s="72" t="inlineStr">
        <is>
          <t>2007-2008</t>
        </is>
      </c>
      <c r="C7" s="72" t="inlineStr">
        <is>
          <t>Palay</t>
        </is>
      </c>
      <c r="D7" s="72" t="inlineStr">
        <is>
          <t>Planting</t>
        </is>
      </c>
      <c r="E7" s="72" t="inlineStr">
        <is>
          <t>Camanggaan</t>
        </is>
      </c>
      <c r="F7" s="73" t="n">
        <v>5.43</v>
      </c>
      <c r="G7" s="73" t="n">
        <v>52.42</v>
      </c>
      <c r="H7" s="73" t="n">
        <v>38.83</v>
      </c>
      <c r="I7" s="84" t="n"/>
      <c r="J7" s="84" t="n"/>
      <c r="K7" s="84" t="n"/>
    </row>
    <row r="8" ht="15" customHeight="1" s="101">
      <c r="A8" s="74" t="inlineStr">
        <is>
          <t>DS</t>
        </is>
      </c>
      <c r="B8" s="74" t="inlineStr">
        <is>
          <t>2007-2008</t>
        </is>
      </c>
      <c r="C8" s="74" t="inlineStr">
        <is>
          <t>Palay</t>
        </is>
      </c>
      <c r="D8" s="74" t="inlineStr">
        <is>
          <t>Planting</t>
        </is>
      </c>
      <c r="E8" s="74" t="inlineStr">
        <is>
          <t>Bugayong</t>
        </is>
      </c>
      <c r="F8" s="75" t="n">
        <v>2</v>
      </c>
      <c r="G8" s="75" t="n">
        <v>41.02</v>
      </c>
      <c r="H8" s="75" t="n">
        <v>20</v>
      </c>
      <c r="I8" s="85" t="n"/>
      <c r="J8" s="85" t="n"/>
      <c r="K8" s="85" t="n"/>
    </row>
    <row r="9" ht="15" customHeight="1" s="101">
      <c r="A9" s="72" t="inlineStr">
        <is>
          <t>DS</t>
        </is>
      </c>
      <c r="B9" s="72" t="inlineStr">
        <is>
          <t>2007-2008</t>
        </is>
      </c>
      <c r="C9" s="72" t="inlineStr">
        <is>
          <t>Palay</t>
        </is>
      </c>
      <c r="D9" s="72" t="inlineStr">
        <is>
          <t>Planting</t>
        </is>
      </c>
      <c r="E9" s="72" t="inlineStr">
        <is>
          <t>Vacante</t>
        </is>
      </c>
      <c r="F9" s="73" t="n">
        <v>20.06</v>
      </c>
      <c r="G9" s="73" t="n">
        <v>81.66</v>
      </c>
      <c r="H9" s="73" t="n">
        <v>33.83</v>
      </c>
      <c r="I9" s="84" t="n"/>
      <c r="J9" s="84" t="n"/>
      <c r="K9" s="84" t="n"/>
    </row>
    <row r="10" ht="15" customHeight="1" s="101">
      <c r="A10" s="74" t="inlineStr">
        <is>
          <t>DS</t>
        </is>
      </c>
      <c r="B10" s="74" t="inlineStr">
        <is>
          <t>2007-2008</t>
        </is>
      </c>
      <c r="C10" s="74" t="inlineStr">
        <is>
          <t>Palay</t>
        </is>
      </c>
      <c r="D10" s="74" t="inlineStr">
        <is>
          <t>Planting</t>
        </is>
      </c>
      <c r="E10" s="74" t="inlineStr">
        <is>
          <t>Sta. Catalina</t>
        </is>
      </c>
      <c r="F10" s="75" t="n">
        <v>2</v>
      </c>
      <c r="G10" s="75" t="n">
        <v>145.04</v>
      </c>
      <c r="H10" s="75" t="n">
        <v>41.37</v>
      </c>
      <c r="I10" s="85" t="n"/>
      <c r="J10" s="85" t="n"/>
      <c r="K10" s="85" t="n"/>
    </row>
    <row r="11" ht="15" customHeight="1" s="101">
      <c r="A11" s="72" t="inlineStr">
        <is>
          <t>DS</t>
        </is>
      </c>
      <c r="B11" s="72" t="inlineStr">
        <is>
          <t>2007-2008</t>
        </is>
      </c>
      <c r="C11" s="72" t="inlineStr">
        <is>
          <t>Palay</t>
        </is>
      </c>
      <c r="D11" s="72" t="inlineStr">
        <is>
          <t>Planting</t>
        </is>
      </c>
      <c r="E11" s="72" t="inlineStr">
        <is>
          <t>Moreno</t>
        </is>
      </c>
      <c r="F11" s="73" t="n">
        <v>2</v>
      </c>
      <c r="G11" s="73" t="n">
        <v>135.56</v>
      </c>
      <c r="H11" s="73" t="n">
        <v>28.92</v>
      </c>
      <c r="I11" s="84" t="n"/>
      <c r="J11" s="84" t="n"/>
      <c r="K11" s="84" t="n"/>
    </row>
    <row r="12" ht="15" customHeight="1" s="101">
      <c r="A12" s="74" t="inlineStr">
        <is>
          <t>DS</t>
        </is>
      </c>
      <c r="B12" s="74" t="inlineStr">
        <is>
          <t>2007-2008</t>
        </is>
      </c>
      <c r="C12" s="74" t="inlineStr">
        <is>
          <t>Palay</t>
        </is>
      </c>
      <c r="D12" s="74" t="inlineStr">
        <is>
          <t>Planting</t>
        </is>
      </c>
      <c r="E12" s="74" t="inlineStr">
        <is>
          <t>Cili</t>
        </is>
      </c>
      <c r="F12" s="75" t="n">
        <v>2</v>
      </c>
      <c r="G12" s="75" t="n">
        <v>35.32</v>
      </c>
      <c r="H12" s="75" t="n">
        <v>14</v>
      </c>
      <c r="I12" s="85" t="n"/>
      <c r="J12" s="85" t="n"/>
      <c r="K12" s="85" t="n"/>
    </row>
    <row r="13" ht="15" customHeight="1" s="101">
      <c r="A13" s="72" t="inlineStr">
        <is>
          <t>DS</t>
        </is>
      </c>
      <c r="B13" s="72" t="inlineStr">
        <is>
          <t>2007-2008</t>
        </is>
      </c>
      <c r="C13" s="72" t="inlineStr">
        <is>
          <t>Palay</t>
        </is>
      </c>
      <c r="D13" s="72" t="inlineStr">
        <is>
          <t>Planting</t>
        </is>
      </c>
      <c r="E13" s="72" t="inlineStr">
        <is>
          <t>San Pablo</t>
        </is>
      </c>
      <c r="F13" s="73" t="n">
        <v>5</v>
      </c>
      <c r="G13" s="73" t="n">
        <v>20.7</v>
      </c>
      <c r="H13" s="73" t="n">
        <v>39</v>
      </c>
      <c r="I13" s="84" t="n"/>
      <c r="J13" s="84" t="n"/>
      <c r="K13" s="84" t="n"/>
    </row>
    <row r="14" ht="15" customHeight="1" s="101">
      <c r="A14" s="74" t="inlineStr">
        <is>
          <t>DS</t>
        </is>
      </c>
      <c r="B14" s="74" t="inlineStr">
        <is>
          <t>2007-2008</t>
        </is>
      </c>
      <c r="C14" s="74" t="inlineStr">
        <is>
          <t>Palay</t>
        </is>
      </c>
      <c r="D14" s="74" t="inlineStr">
        <is>
          <t>Planting</t>
        </is>
      </c>
      <c r="E14" s="74" t="inlineStr">
        <is>
          <t>Balangobong</t>
        </is>
      </c>
      <c r="F14" s="75" t="n">
        <v>4</v>
      </c>
      <c r="G14" s="75" t="n">
        <v>35.32</v>
      </c>
      <c r="H14" s="75" t="n">
        <v>24</v>
      </c>
      <c r="I14" s="85" t="n"/>
      <c r="J14" s="85" t="n"/>
      <c r="K14" s="85" t="n"/>
    </row>
    <row r="15" ht="15" customHeight="1" s="101">
      <c r="A15" s="72" t="inlineStr">
        <is>
          <t>DS</t>
        </is>
      </c>
      <c r="B15" s="72" t="inlineStr">
        <is>
          <t>2007-2008</t>
        </is>
      </c>
      <c r="C15" s="72" t="inlineStr">
        <is>
          <t>Palay</t>
        </is>
      </c>
      <c r="D15" s="72" t="inlineStr">
        <is>
          <t>Planting</t>
        </is>
      </c>
      <c r="E15" s="72" t="inlineStr">
        <is>
          <t>San Felipe Central</t>
        </is>
      </c>
      <c r="F15" s="73" t="n">
        <v>12</v>
      </c>
      <c r="G15" s="73" t="n">
        <v>41.02</v>
      </c>
      <c r="H15" s="73" t="n">
        <v>36</v>
      </c>
      <c r="I15" s="84" t="n"/>
      <c r="J15" s="84" t="n"/>
      <c r="K15" s="84" t="n"/>
    </row>
    <row r="16" ht="15" customHeight="1" s="101">
      <c r="A16" s="74" t="inlineStr">
        <is>
          <t>DS</t>
        </is>
      </c>
      <c r="B16" s="74" t="inlineStr">
        <is>
          <t>2007-2008</t>
        </is>
      </c>
      <c r="C16" s="74" t="inlineStr">
        <is>
          <t>Palay</t>
        </is>
      </c>
      <c r="D16" s="74" t="inlineStr">
        <is>
          <t>Planting</t>
        </is>
      </c>
      <c r="E16" s="74" t="inlineStr">
        <is>
          <t>Sumabnit</t>
        </is>
      </c>
      <c r="F16" s="75" t="n">
        <v>15.72</v>
      </c>
      <c r="G16" s="75" t="n">
        <v>81.66</v>
      </c>
      <c r="H16" s="75" t="n">
        <v>21.13</v>
      </c>
      <c r="I16" s="85" t="n"/>
      <c r="J16" s="85" t="n"/>
      <c r="K16" s="85" t="n"/>
    </row>
    <row r="17" ht="15" customHeight="1" s="101">
      <c r="A17" s="72" t="inlineStr">
        <is>
          <t>DS</t>
        </is>
      </c>
      <c r="B17" s="72" t="inlineStr">
        <is>
          <t>2007-2008</t>
        </is>
      </c>
      <c r="C17" s="72" t="inlineStr">
        <is>
          <t>Palay</t>
        </is>
      </c>
      <c r="D17" s="72" t="inlineStr">
        <is>
          <t>Planting</t>
        </is>
      </c>
      <c r="E17" s="72" t="inlineStr">
        <is>
          <t>San Felipe Sur</t>
        </is>
      </c>
      <c r="F17" s="73" t="n">
        <v>2</v>
      </c>
      <c r="G17" s="73" t="n">
        <v>26.4</v>
      </c>
      <c r="H17" s="73" t="n">
        <v>56</v>
      </c>
      <c r="I17" s="84" t="n"/>
      <c r="J17" s="84" t="n"/>
      <c r="K17" s="84" t="n"/>
    </row>
    <row r="18" ht="15" customHeight="1" s="101">
      <c r="A18" s="74" t="inlineStr">
        <is>
          <t>DS</t>
        </is>
      </c>
      <c r="B18" s="74" t="inlineStr">
        <is>
          <t>2007-2008</t>
        </is>
      </c>
      <c r="C18" s="74" t="inlineStr">
        <is>
          <t>Palay</t>
        </is>
      </c>
      <c r="D18" s="74" t="inlineStr">
        <is>
          <t>Planting</t>
        </is>
      </c>
      <c r="E18" s="74" t="inlineStr">
        <is>
          <t>Linmansangan</t>
        </is>
      </c>
      <c r="F18" s="75" t="n">
        <v>2</v>
      </c>
      <c r="G18" s="75" t="n">
        <v>81.66</v>
      </c>
      <c r="H18" s="75" t="n">
        <v>12.25</v>
      </c>
      <c r="I18" s="85" t="n"/>
      <c r="J18" s="85" t="n"/>
      <c r="K18" s="85" t="n"/>
    </row>
    <row r="19" ht="15" customHeight="1" s="101">
      <c r="A19" s="72" t="inlineStr">
        <is>
          <t>DS</t>
        </is>
      </c>
      <c r="B19" s="72" t="inlineStr">
        <is>
          <t>2007-2008</t>
        </is>
      </c>
      <c r="C19" s="72" t="inlineStr">
        <is>
          <t>Palay</t>
        </is>
      </c>
      <c r="D19" s="72" t="inlineStr">
        <is>
          <t>Planting</t>
        </is>
      </c>
      <c r="E19" s="72" t="inlineStr">
        <is>
          <t>Pasileng Sur</t>
        </is>
      </c>
      <c r="F19" s="73" t="n">
        <v>41</v>
      </c>
      <c r="G19" s="73" t="n">
        <v>41.02</v>
      </c>
      <c r="H19" s="73" t="n">
        <v>95</v>
      </c>
      <c r="I19" s="84" t="n"/>
      <c r="J19" s="84" t="n"/>
      <c r="K19" s="84" t="n"/>
    </row>
    <row r="20" ht="15" customHeight="1" s="101">
      <c r="A20" s="74" t="inlineStr">
        <is>
          <t>DS</t>
        </is>
      </c>
      <c r="B20" s="74" t="inlineStr">
        <is>
          <t>2007-2008</t>
        </is>
      </c>
      <c r="C20" s="74" t="inlineStr">
        <is>
          <t>Palay</t>
        </is>
      </c>
      <c r="D20" s="74" t="inlineStr">
        <is>
          <t>Planting</t>
        </is>
      </c>
      <c r="E20" s="74" t="inlineStr">
        <is>
          <t>Capas</t>
        </is>
      </c>
      <c r="F20" s="75" t="n">
        <v>4</v>
      </c>
      <c r="G20" s="75" t="n">
        <v>52.42</v>
      </c>
      <c r="H20" s="75" t="n">
        <v>58</v>
      </c>
      <c r="I20" s="85" t="n"/>
      <c r="J20" s="85" t="n"/>
      <c r="K20" s="85" t="n"/>
    </row>
    <row r="21" ht="15" customHeight="1" s="101">
      <c r="A21" s="72" t="inlineStr">
        <is>
          <t>DS</t>
        </is>
      </c>
      <c r="B21" s="72" t="inlineStr">
        <is>
          <t>2007-2008</t>
        </is>
      </c>
      <c r="C21" s="72" t="inlineStr">
        <is>
          <t>Palay</t>
        </is>
      </c>
      <c r="D21" s="72" t="inlineStr">
        <is>
          <t>Planting</t>
        </is>
      </c>
      <c r="E21" s="72" t="inlineStr">
        <is>
          <t>Sta. Maria Norte</t>
        </is>
      </c>
      <c r="F21" s="73" t="n">
        <v>5.61</v>
      </c>
      <c r="G21" s="73" t="n">
        <v>20.7</v>
      </c>
      <c r="H21" s="73" t="n">
        <v>30.73</v>
      </c>
      <c r="I21" s="84" t="n"/>
      <c r="J21" s="84" t="n"/>
      <c r="K21" s="84" t="n"/>
    </row>
    <row r="22" ht="15" customHeight="1" s="101">
      <c r="A22" s="74" t="inlineStr">
        <is>
          <t>DS</t>
        </is>
      </c>
      <c r="B22" s="74" t="inlineStr">
        <is>
          <t>2007-2008</t>
        </is>
      </c>
      <c r="C22" s="74" t="inlineStr">
        <is>
          <t>Palay</t>
        </is>
      </c>
      <c r="D22" s="74" t="inlineStr">
        <is>
          <t>Planting</t>
        </is>
      </c>
      <c r="E22" s="74" t="inlineStr">
        <is>
          <t>Mangkasuy</t>
        </is>
      </c>
      <c r="F22" s="75" t="n">
        <v>2</v>
      </c>
      <c r="G22" s="75" t="n">
        <v>70.81999999999999</v>
      </c>
      <c r="H22" s="75" t="n">
        <v>12.25</v>
      </c>
      <c r="I22" s="85" t="n"/>
      <c r="J22" s="85" t="n"/>
      <c r="K22" s="85" t="n"/>
    </row>
    <row r="23" ht="15" customHeight="1" s="101">
      <c r="A23" s="72" t="inlineStr">
        <is>
          <t>DS</t>
        </is>
      </c>
      <c r="B23" s="72" t="inlineStr">
        <is>
          <t>2007-2008</t>
        </is>
      </c>
      <c r="C23" s="72" t="inlineStr">
        <is>
          <t>Palay</t>
        </is>
      </c>
      <c r="D23" s="72" t="inlineStr">
        <is>
          <t>Planting</t>
        </is>
      </c>
      <c r="E23" s="72" t="inlineStr">
        <is>
          <t>Santiago</t>
        </is>
      </c>
      <c r="F23" s="73" t="n">
        <v>20.16</v>
      </c>
      <c r="G23" s="73" t="n">
        <v>81.66</v>
      </c>
      <c r="H23" s="73" t="n">
        <v>81.13</v>
      </c>
      <c r="I23" s="84" t="n"/>
      <c r="J23" s="84" t="n"/>
      <c r="K23" s="84" t="n"/>
    </row>
    <row r="24" ht="15" customHeight="1" s="101">
      <c r="A24" s="74" t="inlineStr">
        <is>
          <t>DS</t>
        </is>
      </c>
      <c r="B24" s="74" t="inlineStr">
        <is>
          <t>2008-2009</t>
        </is>
      </c>
      <c r="C24" s="74" t="inlineStr">
        <is>
          <t>Palay</t>
        </is>
      </c>
      <c r="D24" s="74" t="inlineStr">
        <is>
          <t>Planting</t>
        </is>
      </c>
      <c r="E24" s="74" t="inlineStr">
        <is>
          <t>Pasileng Norte</t>
        </is>
      </c>
      <c r="F24" s="75" t="n">
        <v>9.34</v>
      </c>
      <c r="G24" s="75" t="n">
        <v>26.4</v>
      </c>
      <c r="H24" s="75" t="n">
        <v>74.5</v>
      </c>
      <c r="I24" s="85" t="n"/>
      <c r="J24" s="85" t="n"/>
      <c r="K24" s="85" t="n"/>
    </row>
    <row r="25" ht="15" customHeight="1" s="101">
      <c r="A25" s="72" t="inlineStr">
        <is>
          <t>DS</t>
        </is>
      </c>
      <c r="B25" s="72" t="inlineStr">
        <is>
          <t>2008-2009</t>
        </is>
      </c>
      <c r="C25" s="72" t="inlineStr">
        <is>
          <t>Palay</t>
        </is>
      </c>
      <c r="D25" s="72" t="inlineStr">
        <is>
          <t>Planting</t>
        </is>
      </c>
      <c r="E25" s="72" t="inlineStr">
        <is>
          <t>Tabuyoc</t>
        </is>
      </c>
      <c r="F25" s="73" t="n">
        <v>2</v>
      </c>
      <c r="G25" s="73" t="n">
        <v>81.66</v>
      </c>
      <c r="H25" s="73" t="n">
        <v>126.9</v>
      </c>
      <c r="I25" s="84" t="n"/>
      <c r="J25" s="84" t="n"/>
      <c r="K25" s="84" t="n"/>
    </row>
    <row r="26" ht="15" customHeight="1" s="101">
      <c r="A26" s="74" t="inlineStr">
        <is>
          <t>DS</t>
        </is>
      </c>
      <c r="B26" s="74" t="inlineStr">
        <is>
          <t>2008-2009</t>
        </is>
      </c>
      <c r="C26" s="74" t="inlineStr">
        <is>
          <t>Palay</t>
        </is>
      </c>
      <c r="D26" s="74" t="inlineStr">
        <is>
          <t>Planting</t>
        </is>
      </c>
      <c r="E26" s="74" t="inlineStr">
        <is>
          <t>Bued</t>
        </is>
      </c>
      <c r="F26" s="75" t="n">
        <v>2</v>
      </c>
      <c r="G26" s="75" t="n">
        <v>35.32</v>
      </c>
      <c r="H26" s="75" t="n">
        <v>37.89</v>
      </c>
      <c r="I26" s="85" t="n"/>
      <c r="J26" s="85" t="n"/>
      <c r="K26" s="85" t="n"/>
    </row>
    <row r="27" ht="15" customHeight="1" s="101">
      <c r="A27" s="72" t="inlineStr">
        <is>
          <t>DS</t>
        </is>
      </c>
      <c r="B27" s="72" t="inlineStr">
        <is>
          <t>2008-2009</t>
        </is>
      </c>
      <c r="C27" s="72" t="inlineStr">
        <is>
          <t>Palay</t>
        </is>
      </c>
      <c r="D27" s="72" t="inlineStr">
        <is>
          <t>Planting</t>
        </is>
      </c>
      <c r="E27" s="72" t="inlineStr">
        <is>
          <t>Dumayat</t>
        </is>
      </c>
      <c r="F27" s="73" t="n">
        <v>2</v>
      </c>
      <c r="G27" s="73" t="n">
        <v>35.32</v>
      </c>
      <c r="H27" s="73" t="n">
        <v>12.25</v>
      </c>
      <c r="I27" s="84" t="n"/>
      <c r="J27" s="84" t="n"/>
      <c r="K27" s="84" t="n"/>
    </row>
    <row r="28" ht="15" customHeight="1" s="101">
      <c r="A28" s="74" t="inlineStr">
        <is>
          <t>DS</t>
        </is>
      </c>
      <c r="B28" s="74" t="inlineStr">
        <is>
          <t>2008-2009</t>
        </is>
      </c>
      <c r="C28" s="74" t="inlineStr">
        <is>
          <t>Palay</t>
        </is>
      </c>
      <c r="D28" s="74" t="inlineStr">
        <is>
          <t>Planting</t>
        </is>
      </c>
      <c r="E28" s="74" t="inlineStr">
        <is>
          <t>Camanggaan</t>
        </is>
      </c>
      <c r="F28" s="75" t="n">
        <v>2</v>
      </c>
      <c r="G28" s="75" t="n">
        <v>52.42</v>
      </c>
      <c r="H28" s="75" t="n">
        <v>13</v>
      </c>
      <c r="I28" s="85" t="n"/>
      <c r="J28" s="85" t="n"/>
      <c r="K28" s="85" t="n"/>
    </row>
    <row r="29" ht="15" customHeight="1" s="101">
      <c r="A29" s="72" t="inlineStr">
        <is>
          <t>DS</t>
        </is>
      </c>
      <c r="B29" s="72" t="inlineStr">
        <is>
          <t>2008-2009</t>
        </is>
      </c>
      <c r="C29" s="72" t="inlineStr">
        <is>
          <t>Palay</t>
        </is>
      </c>
      <c r="D29" s="72" t="inlineStr">
        <is>
          <t>Planting</t>
        </is>
      </c>
      <c r="E29" s="72" t="inlineStr">
        <is>
          <t>Bugayong</t>
        </is>
      </c>
      <c r="F29" s="73" t="n">
        <v>2</v>
      </c>
      <c r="G29" s="73" t="n">
        <v>41.02</v>
      </c>
      <c r="H29" s="73" t="n">
        <v>10.5</v>
      </c>
      <c r="I29" s="84" t="n"/>
      <c r="J29" s="84" t="n"/>
      <c r="K29" s="84" t="n"/>
    </row>
    <row r="30" ht="15" customHeight="1" s="101">
      <c r="A30" s="74" t="inlineStr">
        <is>
          <t>DS</t>
        </is>
      </c>
      <c r="B30" s="74" t="inlineStr">
        <is>
          <t>2008-2009</t>
        </is>
      </c>
      <c r="C30" s="74" t="inlineStr">
        <is>
          <t>Palay</t>
        </is>
      </c>
      <c r="D30" s="74" t="inlineStr">
        <is>
          <t>Planting</t>
        </is>
      </c>
      <c r="E30" s="74" t="inlineStr">
        <is>
          <t>Vacante</t>
        </is>
      </c>
      <c r="F30" s="75" t="n">
        <v>10.95</v>
      </c>
      <c r="G30" s="75" t="n">
        <v>81.66</v>
      </c>
      <c r="H30" s="75" t="n">
        <v>47.18</v>
      </c>
      <c r="I30" s="85" t="n"/>
      <c r="J30" s="85" t="n"/>
      <c r="K30" s="85" t="n"/>
    </row>
    <row r="31" ht="15" customHeight="1" s="101">
      <c r="A31" s="72" t="inlineStr">
        <is>
          <t>DS</t>
        </is>
      </c>
      <c r="B31" s="72" t="inlineStr">
        <is>
          <t>2008-2009</t>
        </is>
      </c>
      <c r="C31" s="72" t="inlineStr">
        <is>
          <t>Palay</t>
        </is>
      </c>
      <c r="D31" s="72" t="inlineStr">
        <is>
          <t>Planting</t>
        </is>
      </c>
      <c r="E31" s="72" t="inlineStr">
        <is>
          <t>Sta. Catalina</t>
        </is>
      </c>
      <c r="F31" s="73" t="n">
        <v>2</v>
      </c>
      <c r="G31" s="73" t="n">
        <v>145.04</v>
      </c>
      <c r="H31" s="73" t="n">
        <v>40.06</v>
      </c>
      <c r="I31" s="84" t="n"/>
      <c r="J31" s="84" t="n"/>
      <c r="K31" s="84" t="n"/>
    </row>
    <row r="32" ht="15" customHeight="1" s="101">
      <c r="A32" s="74" t="inlineStr">
        <is>
          <t>DS</t>
        </is>
      </c>
      <c r="B32" s="74" t="inlineStr">
        <is>
          <t>2008-2009</t>
        </is>
      </c>
      <c r="C32" s="74" t="inlineStr">
        <is>
          <t>Palay</t>
        </is>
      </c>
      <c r="D32" s="74" t="inlineStr">
        <is>
          <t>Planting</t>
        </is>
      </c>
      <c r="E32" s="74" t="inlineStr">
        <is>
          <t>Moreno</t>
        </is>
      </c>
      <c r="F32" s="75" t="n">
        <v>2</v>
      </c>
      <c r="G32" s="75" t="n">
        <v>135.56</v>
      </c>
      <c r="H32" s="75" t="n">
        <v>28.18</v>
      </c>
      <c r="I32" s="85" t="n"/>
      <c r="J32" s="85" t="n"/>
      <c r="K32" s="85" t="n"/>
    </row>
    <row r="33" ht="15" customHeight="1" s="101">
      <c r="A33" s="72" t="inlineStr">
        <is>
          <t>DS</t>
        </is>
      </c>
      <c r="B33" s="72" t="inlineStr">
        <is>
          <t>2008-2009</t>
        </is>
      </c>
      <c r="C33" s="72" t="inlineStr">
        <is>
          <t>Palay</t>
        </is>
      </c>
      <c r="D33" s="72" t="inlineStr">
        <is>
          <t>Planting</t>
        </is>
      </c>
      <c r="E33" s="72" t="inlineStr">
        <is>
          <t>Cili</t>
        </is>
      </c>
      <c r="F33" s="73" t="n">
        <v>2</v>
      </c>
      <c r="G33" s="73" t="n">
        <v>35.32</v>
      </c>
      <c r="H33" s="73" t="n">
        <v>12.5</v>
      </c>
      <c r="I33" s="84" t="n"/>
      <c r="J33" s="84" t="n"/>
      <c r="K33" s="84" t="n"/>
    </row>
    <row r="34" ht="15" customHeight="1" s="101">
      <c r="A34" s="74" t="inlineStr">
        <is>
          <t>DS</t>
        </is>
      </c>
      <c r="B34" s="74" t="inlineStr">
        <is>
          <t>2008-2009</t>
        </is>
      </c>
      <c r="C34" s="74" t="inlineStr">
        <is>
          <t>Palay</t>
        </is>
      </c>
      <c r="D34" s="74" t="inlineStr">
        <is>
          <t>Planting</t>
        </is>
      </c>
      <c r="E34" s="74" t="inlineStr">
        <is>
          <t>San Pablo</t>
        </is>
      </c>
      <c r="F34" s="75" t="n">
        <v>4.37</v>
      </c>
      <c r="G34" s="75" t="n">
        <v>20.7</v>
      </c>
      <c r="H34" s="75" t="n">
        <v>134</v>
      </c>
      <c r="I34" s="85" t="n"/>
      <c r="J34" s="85" t="n"/>
      <c r="K34" s="85" t="n"/>
    </row>
    <row r="35" ht="15" customHeight="1" s="101">
      <c r="A35" s="72" t="inlineStr">
        <is>
          <t>DS</t>
        </is>
      </c>
      <c r="B35" s="72" t="inlineStr">
        <is>
          <t>2008-2009</t>
        </is>
      </c>
      <c r="C35" s="72" t="inlineStr">
        <is>
          <t>Palay</t>
        </is>
      </c>
      <c r="D35" s="72" t="inlineStr">
        <is>
          <t>Planting</t>
        </is>
      </c>
      <c r="E35" s="72" t="inlineStr">
        <is>
          <t>Balangobong</t>
        </is>
      </c>
      <c r="F35" s="73" t="n">
        <v>1</v>
      </c>
      <c r="G35" s="73" t="n">
        <v>35.32</v>
      </c>
      <c r="H35" s="73" t="n">
        <v>122</v>
      </c>
      <c r="I35" s="84" t="n"/>
      <c r="J35" s="84" t="n"/>
      <c r="K35" s="84" t="n"/>
    </row>
    <row r="36" ht="15" customHeight="1" s="101">
      <c r="A36" s="74" t="inlineStr">
        <is>
          <t>DS</t>
        </is>
      </c>
      <c r="B36" s="74" t="inlineStr">
        <is>
          <t>2008-2009</t>
        </is>
      </c>
      <c r="C36" s="74" t="inlineStr">
        <is>
          <t>Palay</t>
        </is>
      </c>
      <c r="D36" s="74" t="inlineStr">
        <is>
          <t>Planting</t>
        </is>
      </c>
      <c r="E36" s="74" t="inlineStr">
        <is>
          <t>San Felipe Central</t>
        </is>
      </c>
      <c r="F36" s="75" t="n">
        <v>10.77</v>
      </c>
      <c r="G36" s="75" t="n">
        <v>41.02</v>
      </c>
      <c r="H36" s="75" t="n">
        <v>169.2</v>
      </c>
      <c r="I36" s="85" t="n"/>
      <c r="J36" s="85" t="n"/>
      <c r="K36" s="85" t="n"/>
    </row>
    <row r="37" ht="15" customHeight="1" s="101">
      <c r="A37" s="72" t="inlineStr">
        <is>
          <t>DS</t>
        </is>
      </c>
      <c r="B37" s="72" t="inlineStr">
        <is>
          <t>2008-2009</t>
        </is>
      </c>
      <c r="C37" s="72" t="inlineStr">
        <is>
          <t>Palay</t>
        </is>
      </c>
      <c r="D37" s="72" t="inlineStr">
        <is>
          <t>Planting</t>
        </is>
      </c>
      <c r="E37" s="72" t="inlineStr">
        <is>
          <t>Sumabnit</t>
        </is>
      </c>
      <c r="F37" s="73" t="n">
        <v>10.68</v>
      </c>
      <c r="G37" s="73" t="n">
        <v>81.66</v>
      </c>
      <c r="H37" s="73" t="n">
        <v>10.5</v>
      </c>
      <c r="I37" s="84" t="n"/>
      <c r="J37" s="84" t="n"/>
      <c r="K37" s="84" t="n"/>
    </row>
    <row r="38" ht="15" customHeight="1" s="101">
      <c r="A38" s="74" t="inlineStr">
        <is>
          <t>DS</t>
        </is>
      </c>
      <c r="B38" s="74" t="inlineStr">
        <is>
          <t>2008-2009</t>
        </is>
      </c>
      <c r="C38" s="74" t="inlineStr">
        <is>
          <t>Palay</t>
        </is>
      </c>
      <c r="D38" s="74" t="inlineStr">
        <is>
          <t>Planting</t>
        </is>
      </c>
      <c r="E38" s="74" t="inlineStr">
        <is>
          <t>San Felipe Sur</t>
        </is>
      </c>
      <c r="F38" s="75" t="n">
        <v>2</v>
      </c>
      <c r="G38" s="75" t="n">
        <v>26.4</v>
      </c>
      <c r="H38" s="75" t="n">
        <v>168</v>
      </c>
      <c r="I38" s="85" t="n"/>
      <c r="J38" s="85" t="n"/>
      <c r="K38" s="85" t="n"/>
    </row>
    <row r="39" ht="15" customHeight="1" s="101">
      <c r="A39" s="72" t="inlineStr">
        <is>
          <t>DS</t>
        </is>
      </c>
      <c r="B39" s="72" t="inlineStr">
        <is>
          <t>2008-2009</t>
        </is>
      </c>
      <c r="C39" s="72" t="inlineStr">
        <is>
          <t>Palay</t>
        </is>
      </c>
      <c r="D39" s="72" t="inlineStr">
        <is>
          <t>Planting</t>
        </is>
      </c>
      <c r="E39" s="72" t="inlineStr">
        <is>
          <t>Linmansangan</t>
        </is>
      </c>
      <c r="F39" s="73" t="n">
        <v>2</v>
      </c>
      <c r="G39" s="73" t="n">
        <v>81.66</v>
      </c>
      <c r="H39" s="73" t="n">
        <v>12.25</v>
      </c>
      <c r="I39" s="84" t="n"/>
      <c r="J39" s="84" t="n"/>
      <c r="K39" s="84" t="n"/>
    </row>
    <row r="40" ht="15" customHeight="1" s="101">
      <c r="A40" s="74" t="inlineStr">
        <is>
          <t>DS</t>
        </is>
      </c>
      <c r="B40" s="74" t="inlineStr">
        <is>
          <t>2008-2009</t>
        </is>
      </c>
      <c r="C40" s="74" t="inlineStr">
        <is>
          <t>Palay</t>
        </is>
      </c>
      <c r="D40" s="74" t="inlineStr">
        <is>
          <t>Planting</t>
        </is>
      </c>
      <c r="E40" s="74" t="inlineStr">
        <is>
          <t>Pasileng Sur</t>
        </is>
      </c>
      <c r="F40" s="75" t="n">
        <v>15.52</v>
      </c>
      <c r="G40" s="75" t="n">
        <v>41.02</v>
      </c>
      <c r="H40" s="75" t="n">
        <v>102</v>
      </c>
      <c r="I40" s="85" t="n"/>
      <c r="J40" s="85" t="n"/>
      <c r="K40" s="85" t="n"/>
    </row>
    <row r="41" ht="15" customHeight="1" s="101">
      <c r="A41" s="72" t="inlineStr">
        <is>
          <t>DS</t>
        </is>
      </c>
      <c r="B41" s="72" t="inlineStr">
        <is>
          <t>2008-2009</t>
        </is>
      </c>
      <c r="C41" s="72" t="inlineStr">
        <is>
          <t>Palay</t>
        </is>
      </c>
      <c r="D41" s="72" t="inlineStr">
        <is>
          <t>Planting</t>
        </is>
      </c>
      <c r="E41" s="72" t="inlineStr">
        <is>
          <t>Capas</t>
        </is>
      </c>
      <c r="F41" s="73" t="n">
        <v>3.47</v>
      </c>
      <c r="G41" s="73" t="n">
        <v>52.42</v>
      </c>
      <c r="H41" s="73" t="n">
        <v>179</v>
      </c>
      <c r="I41" s="84" t="n"/>
      <c r="J41" s="84" t="n"/>
      <c r="K41" s="84" t="n"/>
    </row>
    <row r="42" ht="15" customHeight="1" s="101">
      <c r="A42" s="74" t="inlineStr">
        <is>
          <t>DS</t>
        </is>
      </c>
      <c r="B42" s="74" t="inlineStr">
        <is>
          <t>2008-2009</t>
        </is>
      </c>
      <c r="C42" s="74" t="inlineStr">
        <is>
          <t>Palay</t>
        </is>
      </c>
      <c r="D42" s="74" t="inlineStr">
        <is>
          <t>Planting</t>
        </is>
      </c>
      <c r="E42" s="74" t="inlineStr">
        <is>
          <t>Sta. Maria Norte</t>
        </is>
      </c>
      <c r="F42" s="75" t="n">
        <v>2</v>
      </c>
      <c r="G42" s="75" t="n">
        <v>20.7</v>
      </c>
      <c r="H42" s="75" t="n">
        <v>25.5</v>
      </c>
      <c r="I42" s="85" t="n"/>
      <c r="J42" s="85" t="n"/>
      <c r="K42" s="85" t="n"/>
    </row>
    <row r="43" ht="15" customHeight="1" s="101">
      <c r="A43" s="72" t="inlineStr">
        <is>
          <t>DS</t>
        </is>
      </c>
      <c r="B43" s="72" t="inlineStr">
        <is>
          <t>2008-2009</t>
        </is>
      </c>
      <c r="C43" s="72" t="inlineStr">
        <is>
          <t>Palay</t>
        </is>
      </c>
      <c r="D43" s="72" t="inlineStr">
        <is>
          <t>Planting</t>
        </is>
      </c>
      <c r="E43" s="72" t="inlineStr">
        <is>
          <t>Mangkasuy</t>
        </is>
      </c>
      <c r="F43" s="73" t="n">
        <v>2</v>
      </c>
      <c r="G43" s="73" t="n">
        <v>70.81999999999999</v>
      </c>
      <c r="H43" s="73" t="n">
        <v>18</v>
      </c>
      <c r="I43" s="84" t="n"/>
      <c r="J43" s="84" t="n"/>
      <c r="K43" s="84" t="n"/>
    </row>
    <row r="44" ht="15" customHeight="1" s="101">
      <c r="A44" s="74" t="inlineStr">
        <is>
          <t>DS</t>
        </is>
      </c>
      <c r="B44" s="74" t="inlineStr">
        <is>
          <t>2008-2009</t>
        </is>
      </c>
      <c r="C44" s="74" t="inlineStr">
        <is>
          <t>Palay</t>
        </is>
      </c>
      <c r="D44" s="74" t="inlineStr">
        <is>
          <t>Planting</t>
        </is>
      </c>
      <c r="E44" s="74" t="inlineStr">
        <is>
          <t>Santiago</t>
        </is>
      </c>
      <c r="F44" s="75" t="n">
        <v>15.54</v>
      </c>
      <c r="G44" s="75" t="n">
        <v>81.66</v>
      </c>
      <c r="H44" s="75" t="n">
        <v>85.18000000000001</v>
      </c>
      <c r="I44" s="85" t="n"/>
      <c r="J44" s="85" t="n"/>
      <c r="K44" s="85" t="n"/>
    </row>
    <row r="45" ht="15" customHeight="1" s="101">
      <c r="A45" s="72" t="inlineStr">
        <is>
          <t>DS</t>
        </is>
      </c>
      <c r="B45" s="72" t="inlineStr">
        <is>
          <t>2009-2010</t>
        </is>
      </c>
      <c r="C45" s="72" t="inlineStr">
        <is>
          <t>Palay</t>
        </is>
      </c>
      <c r="D45" s="72" t="inlineStr">
        <is>
          <t>Planting</t>
        </is>
      </c>
      <c r="E45" s="72" t="inlineStr">
        <is>
          <t>Pasileng Norte</t>
        </is>
      </c>
      <c r="F45" s="73" t="n">
        <v>2</v>
      </c>
      <c r="G45" s="73" t="n">
        <v>26.4</v>
      </c>
      <c r="H45" s="73" t="n">
        <v>86</v>
      </c>
      <c r="I45" s="84" t="n"/>
      <c r="J45" s="84" t="n"/>
      <c r="K45" s="84" t="n"/>
    </row>
    <row r="46" ht="15" customHeight="1" s="101">
      <c r="A46" s="74" t="inlineStr">
        <is>
          <t>DS</t>
        </is>
      </c>
      <c r="B46" s="74" t="inlineStr">
        <is>
          <t>2009-2010</t>
        </is>
      </c>
      <c r="C46" s="74" t="inlineStr">
        <is>
          <t>Palay</t>
        </is>
      </c>
      <c r="D46" s="74" t="inlineStr">
        <is>
          <t>Planting</t>
        </is>
      </c>
      <c r="E46" s="74" t="inlineStr">
        <is>
          <t>Tabuyoc</t>
        </is>
      </c>
      <c r="F46" s="75" t="n">
        <v>2</v>
      </c>
      <c r="G46" s="75" t="n">
        <v>81.66</v>
      </c>
      <c r="H46" s="75" t="n">
        <v>2</v>
      </c>
      <c r="I46" s="85" t="n"/>
      <c r="J46" s="85" t="n"/>
      <c r="K46" s="85" t="n"/>
    </row>
    <row r="47" ht="15" customHeight="1" s="101">
      <c r="A47" s="72" t="inlineStr">
        <is>
          <t>DS</t>
        </is>
      </c>
      <c r="B47" s="72" t="inlineStr">
        <is>
          <t>2009-2010</t>
        </is>
      </c>
      <c r="C47" s="72" t="inlineStr">
        <is>
          <t>Palay</t>
        </is>
      </c>
      <c r="D47" s="72" t="inlineStr">
        <is>
          <t>Planting</t>
        </is>
      </c>
      <c r="E47" s="72" t="inlineStr">
        <is>
          <t>Balangobong</t>
        </is>
      </c>
      <c r="F47" s="73" t="n">
        <v>5</v>
      </c>
      <c r="G47" s="73" t="n">
        <v>35.32</v>
      </c>
      <c r="H47" s="73" t="n">
        <v>2</v>
      </c>
      <c r="I47" s="84" t="n"/>
      <c r="J47" s="84" t="n"/>
      <c r="K47" s="84" t="n"/>
    </row>
    <row r="48" ht="15" customHeight="1" s="101">
      <c r="A48" s="74" t="inlineStr">
        <is>
          <t>DS</t>
        </is>
      </c>
      <c r="B48" s="74" t="inlineStr">
        <is>
          <t>2009-2010</t>
        </is>
      </c>
      <c r="C48" s="74" t="inlineStr">
        <is>
          <t>Palay</t>
        </is>
      </c>
      <c r="D48" s="74" t="inlineStr">
        <is>
          <t>Planting</t>
        </is>
      </c>
      <c r="E48" s="74" t="inlineStr">
        <is>
          <t>San Pablo</t>
        </is>
      </c>
      <c r="F48" s="75" t="n">
        <v>1</v>
      </c>
      <c r="G48" s="75" t="n">
        <v>20.7</v>
      </c>
      <c r="H48" s="75" t="n">
        <v>5</v>
      </c>
      <c r="I48" s="85" t="n"/>
      <c r="J48" s="85" t="n"/>
      <c r="K48" s="85" t="n"/>
    </row>
    <row r="49" ht="15" customHeight="1" s="101">
      <c r="A49" s="72" t="inlineStr">
        <is>
          <t>DS</t>
        </is>
      </c>
      <c r="B49" s="72" t="inlineStr">
        <is>
          <t>2009-2010</t>
        </is>
      </c>
      <c r="C49" s="72" t="inlineStr">
        <is>
          <t>Palay</t>
        </is>
      </c>
      <c r="D49" s="72" t="inlineStr">
        <is>
          <t>Planting</t>
        </is>
      </c>
      <c r="E49" s="72" t="inlineStr">
        <is>
          <t>San Felipe Central</t>
        </is>
      </c>
      <c r="F49" s="73" t="n">
        <v>5</v>
      </c>
      <c r="G49" s="73" t="n">
        <v>41.02</v>
      </c>
      <c r="H49" s="73" t="n">
        <v>4</v>
      </c>
      <c r="I49" s="84" t="n"/>
      <c r="J49" s="84" t="n"/>
      <c r="K49" s="84" t="n"/>
    </row>
    <row r="50" ht="15" customHeight="1" s="101">
      <c r="A50" s="74" t="inlineStr">
        <is>
          <t>DS</t>
        </is>
      </c>
      <c r="B50" s="74" t="inlineStr">
        <is>
          <t>2009-2010</t>
        </is>
      </c>
      <c r="C50" s="74" t="inlineStr">
        <is>
          <t>Palay</t>
        </is>
      </c>
      <c r="D50" s="74" t="inlineStr">
        <is>
          <t>Planting</t>
        </is>
      </c>
      <c r="E50" s="74" t="inlineStr">
        <is>
          <t>Pasileng Sur</t>
        </is>
      </c>
      <c r="F50" s="75" t="n">
        <v>3</v>
      </c>
      <c r="G50" s="75" t="n">
        <v>41.02</v>
      </c>
      <c r="H50" s="75" t="n">
        <v>5</v>
      </c>
      <c r="I50" s="85" t="n"/>
      <c r="J50" s="85" t="n"/>
      <c r="K50" s="85" t="n"/>
    </row>
    <row r="51" ht="15" customHeight="1" s="101">
      <c r="A51" s="72" t="inlineStr">
        <is>
          <t>DS</t>
        </is>
      </c>
      <c r="B51" s="72" t="inlineStr">
        <is>
          <t>2009-2010</t>
        </is>
      </c>
      <c r="C51" s="72" t="inlineStr">
        <is>
          <t>Palay</t>
        </is>
      </c>
      <c r="D51" s="72" t="inlineStr">
        <is>
          <t>Planting</t>
        </is>
      </c>
      <c r="E51" s="72" t="inlineStr">
        <is>
          <t>San Felipe Sur</t>
        </is>
      </c>
      <c r="F51" s="73" t="n">
        <v>3</v>
      </c>
      <c r="G51" s="73" t="n">
        <v>26.4</v>
      </c>
      <c r="H51" s="73" t="n">
        <v>3</v>
      </c>
      <c r="I51" s="84" t="n"/>
      <c r="J51" s="84" t="n"/>
      <c r="K51" s="84" t="n"/>
    </row>
    <row r="52" ht="15" customHeight="1" s="101">
      <c r="A52" s="74" t="inlineStr">
        <is>
          <t>DS</t>
        </is>
      </c>
      <c r="B52" s="74" t="inlineStr">
        <is>
          <t>2009-2010</t>
        </is>
      </c>
      <c r="C52" s="74" t="inlineStr">
        <is>
          <t>Palay</t>
        </is>
      </c>
      <c r="D52" s="74" t="inlineStr">
        <is>
          <t>Planting</t>
        </is>
      </c>
      <c r="E52" s="74" t="inlineStr">
        <is>
          <t>Camanggaan</t>
        </is>
      </c>
      <c r="F52" s="75" t="n">
        <v>2</v>
      </c>
      <c r="G52" s="75" t="n">
        <v>52.42</v>
      </c>
      <c r="H52" s="75" t="n">
        <v>4</v>
      </c>
      <c r="I52" s="85" t="n"/>
      <c r="J52" s="85" t="n"/>
      <c r="K52" s="85" t="n"/>
    </row>
    <row r="53" ht="15" customHeight="1" s="101">
      <c r="A53" s="72" t="inlineStr">
        <is>
          <t>DS</t>
        </is>
      </c>
      <c r="B53" s="72" t="inlineStr">
        <is>
          <t>2009-2010</t>
        </is>
      </c>
      <c r="C53" s="72" t="inlineStr">
        <is>
          <t>Palay</t>
        </is>
      </c>
      <c r="D53" s="72" t="inlineStr">
        <is>
          <t>Planting</t>
        </is>
      </c>
      <c r="E53" s="72" t="inlineStr">
        <is>
          <t>Bugayong</t>
        </is>
      </c>
      <c r="F53" s="73" t="n">
        <v>2</v>
      </c>
      <c r="G53" s="73" t="n">
        <v>41.02</v>
      </c>
      <c r="H53" s="73" t="n">
        <v>3</v>
      </c>
      <c r="I53" s="84" t="n"/>
      <c r="J53" s="84" t="n"/>
      <c r="K53" s="84" t="n"/>
    </row>
    <row r="54" ht="15" customHeight="1" s="101">
      <c r="A54" s="74" t="inlineStr">
        <is>
          <t>DS</t>
        </is>
      </c>
      <c r="B54" s="74" t="inlineStr">
        <is>
          <t>2009-2010</t>
        </is>
      </c>
      <c r="C54" s="74" t="inlineStr">
        <is>
          <t>Palay</t>
        </is>
      </c>
      <c r="D54" s="74" t="inlineStr">
        <is>
          <t>Planting</t>
        </is>
      </c>
      <c r="E54" s="74" t="inlineStr">
        <is>
          <t>Mangkasuy</t>
        </is>
      </c>
      <c r="F54" s="75" t="n">
        <v>2</v>
      </c>
      <c r="G54" s="75" t="n">
        <v>70.81999999999999</v>
      </c>
      <c r="H54" s="75" t="n">
        <v>12.25</v>
      </c>
      <c r="I54" s="85" t="n"/>
      <c r="J54" s="85" t="n"/>
      <c r="K54" s="85" t="n"/>
    </row>
    <row r="55" ht="15" customHeight="1" s="101">
      <c r="A55" s="72" t="inlineStr">
        <is>
          <t>DS</t>
        </is>
      </c>
      <c r="B55" s="72" t="inlineStr">
        <is>
          <t>2009-2010</t>
        </is>
      </c>
      <c r="C55" s="72" t="inlineStr">
        <is>
          <t>Palay</t>
        </is>
      </c>
      <c r="D55" s="72" t="inlineStr">
        <is>
          <t>Planting</t>
        </is>
      </c>
      <c r="E55" s="72" t="inlineStr">
        <is>
          <t>Sta. Maria Norte</t>
        </is>
      </c>
      <c r="F55" s="73" t="n">
        <v>2</v>
      </c>
      <c r="G55" s="73" t="n">
        <v>20.7</v>
      </c>
      <c r="H55" s="73" t="n">
        <v>12.25</v>
      </c>
      <c r="I55" s="84" t="n"/>
      <c r="J55" s="84" t="n"/>
      <c r="K55" s="84" t="n"/>
    </row>
    <row r="56" ht="15" customHeight="1" s="101">
      <c r="A56" s="74" t="inlineStr">
        <is>
          <t>DS</t>
        </is>
      </c>
      <c r="B56" s="74" t="inlineStr">
        <is>
          <t>2009-2010</t>
        </is>
      </c>
      <c r="C56" s="74" t="inlineStr">
        <is>
          <t>Palay</t>
        </is>
      </c>
      <c r="D56" s="74" t="inlineStr">
        <is>
          <t>Planting</t>
        </is>
      </c>
      <c r="E56" s="74" t="inlineStr">
        <is>
          <t>Capas</t>
        </is>
      </c>
      <c r="F56" s="75" t="n">
        <v>1</v>
      </c>
      <c r="G56" s="75" t="n">
        <v>52.42</v>
      </c>
      <c r="H56" s="75" t="n">
        <v>13</v>
      </c>
      <c r="I56" s="85" t="n"/>
      <c r="J56" s="85" t="n"/>
      <c r="K56" s="85" t="n"/>
    </row>
    <row r="57" ht="15" customHeight="1" s="101">
      <c r="A57" s="72" t="inlineStr">
        <is>
          <t>DS</t>
        </is>
      </c>
      <c r="B57" s="72" t="inlineStr">
        <is>
          <t>2009-2010</t>
        </is>
      </c>
      <c r="C57" s="72" t="inlineStr">
        <is>
          <t>Palay</t>
        </is>
      </c>
      <c r="D57" s="72" t="inlineStr">
        <is>
          <t>Planting</t>
        </is>
      </c>
      <c r="E57" s="72" t="inlineStr">
        <is>
          <t>Cili</t>
        </is>
      </c>
      <c r="F57" s="73" t="n">
        <v>2</v>
      </c>
      <c r="G57" s="73" t="n">
        <v>35.32</v>
      </c>
      <c r="H57" s="73" t="n">
        <v>2</v>
      </c>
      <c r="I57" s="84" t="n"/>
      <c r="J57" s="84" t="n"/>
      <c r="K57" s="84" t="n"/>
    </row>
    <row r="58" ht="15" customHeight="1" s="101">
      <c r="A58" s="74" t="inlineStr">
        <is>
          <t>DS</t>
        </is>
      </c>
      <c r="B58" s="74" t="inlineStr">
        <is>
          <t>2009-2010</t>
        </is>
      </c>
      <c r="C58" s="74" t="inlineStr">
        <is>
          <t>Palay</t>
        </is>
      </c>
      <c r="D58" s="74" t="inlineStr">
        <is>
          <t>Planting</t>
        </is>
      </c>
      <c r="E58" s="74" t="inlineStr">
        <is>
          <t>Sumabnit</t>
        </is>
      </c>
      <c r="F58" s="75" t="n">
        <v>2</v>
      </c>
      <c r="G58" s="75" t="n">
        <v>81.66</v>
      </c>
      <c r="H58" s="75" t="n">
        <v>35.22</v>
      </c>
      <c r="I58" s="85" t="n"/>
      <c r="J58" s="85" t="n"/>
      <c r="K58" s="85" t="n"/>
    </row>
    <row r="59" ht="15" customHeight="1" s="101">
      <c r="A59" s="72" t="inlineStr">
        <is>
          <t>DS</t>
        </is>
      </c>
      <c r="B59" s="72" t="inlineStr">
        <is>
          <t>2011-2012</t>
        </is>
      </c>
      <c r="C59" s="72" t="inlineStr">
        <is>
          <t>Palay</t>
        </is>
      </c>
      <c r="D59" s="72" t="inlineStr">
        <is>
          <t>Planting</t>
        </is>
      </c>
      <c r="E59" s="72" t="inlineStr">
        <is>
          <t>Pasileng Norte</t>
        </is>
      </c>
      <c r="F59" s="73" t="n">
        <v>2</v>
      </c>
      <c r="G59" s="73" t="n">
        <v>26.4</v>
      </c>
      <c r="H59" s="73" t="n">
        <v>74</v>
      </c>
      <c r="I59" s="84" t="n"/>
      <c r="J59" s="84" t="n"/>
      <c r="K59" s="84" t="n"/>
    </row>
    <row r="60" ht="15" customHeight="1" s="101">
      <c r="A60" s="74" t="inlineStr">
        <is>
          <t>DS</t>
        </is>
      </c>
      <c r="B60" s="74" t="inlineStr">
        <is>
          <t>2011-2012</t>
        </is>
      </c>
      <c r="C60" s="74" t="inlineStr">
        <is>
          <t>Palay</t>
        </is>
      </c>
      <c r="D60" s="74" t="inlineStr">
        <is>
          <t>Planting</t>
        </is>
      </c>
      <c r="E60" s="74" t="inlineStr">
        <is>
          <t>Tabuyoc</t>
        </is>
      </c>
      <c r="F60" s="75" t="n">
        <v>7</v>
      </c>
      <c r="G60" s="75" t="n">
        <v>81.66</v>
      </c>
      <c r="H60" s="75" t="n">
        <v>125</v>
      </c>
      <c r="I60" s="85" t="n"/>
      <c r="J60" s="85" t="n"/>
      <c r="K60" s="85" t="n"/>
    </row>
    <row r="61" ht="15" customHeight="1" s="101">
      <c r="A61" s="72" t="inlineStr">
        <is>
          <t>DS</t>
        </is>
      </c>
      <c r="B61" s="72" t="inlineStr">
        <is>
          <t>2011-2012</t>
        </is>
      </c>
      <c r="C61" s="72" t="inlineStr">
        <is>
          <t>Palay</t>
        </is>
      </c>
      <c r="D61" s="72" t="inlineStr">
        <is>
          <t>Planting</t>
        </is>
      </c>
      <c r="E61" s="72" t="inlineStr">
        <is>
          <t>Bued</t>
        </is>
      </c>
      <c r="F61" s="73" t="n">
        <v>2</v>
      </c>
      <c r="G61" s="73" t="n">
        <v>35.32</v>
      </c>
      <c r="H61" s="73" t="n">
        <v>105.4</v>
      </c>
      <c r="I61" s="84" t="n"/>
      <c r="J61" s="84" t="n"/>
      <c r="K61" s="84" t="n"/>
    </row>
    <row r="62" ht="15" customHeight="1" s="101">
      <c r="A62" s="74" t="inlineStr">
        <is>
          <t>DS</t>
        </is>
      </c>
      <c r="B62" s="74" t="inlineStr">
        <is>
          <t>2011-2012</t>
        </is>
      </c>
      <c r="C62" s="74" t="inlineStr">
        <is>
          <t>Palay</t>
        </is>
      </c>
      <c r="D62" s="74" t="inlineStr">
        <is>
          <t>Planting</t>
        </is>
      </c>
      <c r="E62" s="74" t="inlineStr">
        <is>
          <t>Dumayat</t>
        </is>
      </c>
      <c r="F62" s="75" t="n">
        <v>2</v>
      </c>
      <c r="G62" s="75" t="n">
        <v>35.32</v>
      </c>
      <c r="H62" s="75" t="n">
        <v>12.25</v>
      </c>
      <c r="I62" s="85" t="n"/>
      <c r="J62" s="85" t="n"/>
      <c r="K62" s="85" t="n"/>
    </row>
    <row r="63" ht="15" customHeight="1" s="101">
      <c r="A63" s="72" t="inlineStr">
        <is>
          <t>DS</t>
        </is>
      </c>
      <c r="B63" s="72" t="inlineStr">
        <is>
          <t>2011-2012</t>
        </is>
      </c>
      <c r="C63" s="72" t="inlineStr">
        <is>
          <t>Palay</t>
        </is>
      </c>
      <c r="D63" s="72" t="inlineStr">
        <is>
          <t>Planting</t>
        </is>
      </c>
      <c r="E63" s="72" t="inlineStr">
        <is>
          <t>Camanggaan</t>
        </is>
      </c>
      <c r="F63" s="73" t="n">
        <v>2</v>
      </c>
      <c r="G63" s="73" t="n">
        <v>72.73999999999999</v>
      </c>
      <c r="H63" s="73" t="n">
        <v>10</v>
      </c>
      <c r="I63" s="84" t="n"/>
      <c r="J63" s="84" t="n"/>
      <c r="K63" s="84" t="n"/>
    </row>
    <row r="64" ht="15" customHeight="1" s="101">
      <c r="A64" s="74" t="inlineStr">
        <is>
          <t>DS</t>
        </is>
      </c>
      <c r="B64" s="74" t="inlineStr">
        <is>
          <t>2011-2012</t>
        </is>
      </c>
      <c r="C64" s="74" t="inlineStr">
        <is>
          <t>Palay</t>
        </is>
      </c>
      <c r="D64" s="74" t="inlineStr">
        <is>
          <t>Planting</t>
        </is>
      </c>
      <c r="E64" s="74" t="inlineStr">
        <is>
          <t>Vacante</t>
        </is>
      </c>
      <c r="F64" s="75" t="n">
        <v>2</v>
      </c>
      <c r="G64" s="75" t="n">
        <v>81.66</v>
      </c>
      <c r="H64" s="75" t="n">
        <v>43.79</v>
      </c>
      <c r="I64" s="85" t="n"/>
      <c r="J64" s="85" t="n"/>
      <c r="K64" s="85" t="n"/>
    </row>
    <row r="65" ht="15" customHeight="1" s="101">
      <c r="A65" s="72" t="inlineStr">
        <is>
          <t>DS</t>
        </is>
      </c>
      <c r="B65" s="72" t="inlineStr">
        <is>
          <t>2011-2012</t>
        </is>
      </c>
      <c r="C65" s="72" t="inlineStr">
        <is>
          <t>Palay</t>
        </is>
      </c>
      <c r="D65" s="72" t="inlineStr">
        <is>
          <t>Planting</t>
        </is>
      </c>
      <c r="E65" s="72" t="inlineStr">
        <is>
          <t>Sta. Catalina</t>
        </is>
      </c>
      <c r="F65" s="73" t="n">
        <v>31.07</v>
      </c>
      <c r="G65" s="73" t="n">
        <v>145.04</v>
      </c>
      <c r="H65" s="73" t="n">
        <v>35.8</v>
      </c>
      <c r="I65" s="84" t="n"/>
      <c r="J65" s="84" t="n"/>
      <c r="K65" s="84" t="n"/>
    </row>
    <row r="66" ht="15" customHeight="1" s="101">
      <c r="A66" s="74" t="inlineStr">
        <is>
          <t>DS</t>
        </is>
      </c>
      <c r="B66" s="74" t="inlineStr">
        <is>
          <t>2011-2012</t>
        </is>
      </c>
      <c r="C66" s="74" t="inlineStr">
        <is>
          <t>Palay</t>
        </is>
      </c>
      <c r="D66" s="74" t="inlineStr">
        <is>
          <t>Planting</t>
        </is>
      </c>
      <c r="E66" s="74" t="inlineStr">
        <is>
          <t>Moreno</t>
        </is>
      </c>
      <c r="F66" s="75" t="n">
        <v>12.14</v>
      </c>
      <c r="G66" s="75" t="n">
        <v>135.56</v>
      </c>
      <c r="H66" s="75" t="n">
        <v>25.69</v>
      </c>
      <c r="I66" s="85" t="n"/>
      <c r="J66" s="85" t="n"/>
      <c r="K66" s="85" t="n"/>
    </row>
    <row r="67" ht="15" customHeight="1" s="101">
      <c r="A67" s="72" t="inlineStr">
        <is>
          <t>DS</t>
        </is>
      </c>
      <c r="B67" s="72" t="inlineStr">
        <is>
          <t>2011-2012</t>
        </is>
      </c>
      <c r="C67" s="72" t="inlineStr">
        <is>
          <t>Palay</t>
        </is>
      </c>
      <c r="D67" s="72" t="inlineStr">
        <is>
          <t>Planting</t>
        </is>
      </c>
      <c r="E67" s="72" t="inlineStr">
        <is>
          <t>Cili</t>
        </is>
      </c>
      <c r="F67" s="73" t="n">
        <v>2</v>
      </c>
      <c r="G67" s="73" t="n">
        <v>35.32</v>
      </c>
      <c r="H67" s="73" t="n">
        <v>14</v>
      </c>
      <c r="I67" s="84" t="n"/>
      <c r="J67" s="84" t="n"/>
      <c r="K67" s="84" t="n"/>
    </row>
    <row r="68" ht="15" customHeight="1" s="101">
      <c r="A68" s="74" t="inlineStr">
        <is>
          <t>DS</t>
        </is>
      </c>
      <c r="B68" s="74" t="inlineStr">
        <is>
          <t>2011-2012</t>
        </is>
      </c>
      <c r="C68" s="74" t="inlineStr">
        <is>
          <t>Palay</t>
        </is>
      </c>
      <c r="D68" s="74" t="inlineStr">
        <is>
          <t>Planting</t>
        </is>
      </c>
      <c r="E68" s="74" t="inlineStr">
        <is>
          <t>Sumabnit</t>
        </is>
      </c>
      <c r="F68" s="75" t="n">
        <v>2</v>
      </c>
      <c r="G68" s="75" t="n">
        <v>81.66</v>
      </c>
      <c r="H68" s="75" t="n">
        <v>63.6</v>
      </c>
      <c r="I68" s="85" t="n"/>
      <c r="J68" s="85" t="n"/>
      <c r="K68" s="85" t="n"/>
    </row>
    <row r="69" ht="15" customHeight="1" s="101">
      <c r="A69" s="72" t="inlineStr">
        <is>
          <t>DS</t>
        </is>
      </c>
      <c r="B69" s="72" t="inlineStr">
        <is>
          <t>2011-2012</t>
        </is>
      </c>
      <c r="C69" s="72" t="inlineStr">
        <is>
          <t>Palay</t>
        </is>
      </c>
      <c r="D69" s="72" t="inlineStr">
        <is>
          <t>Planting</t>
        </is>
      </c>
      <c r="E69" s="72" t="inlineStr">
        <is>
          <t>Capas</t>
        </is>
      </c>
      <c r="F69" s="73" t="n">
        <v>2</v>
      </c>
      <c r="G69" s="73" t="n">
        <v>52.42</v>
      </c>
      <c r="H69" s="73" t="n">
        <v>179</v>
      </c>
      <c r="I69" s="84" t="n"/>
      <c r="J69" s="84" t="n"/>
      <c r="K69" s="84" t="n"/>
    </row>
    <row r="70" ht="15" customHeight="1" s="101">
      <c r="A70" s="74" t="inlineStr">
        <is>
          <t>DS</t>
        </is>
      </c>
      <c r="B70" s="74" t="inlineStr">
        <is>
          <t>2011-2012</t>
        </is>
      </c>
      <c r="C70" s="74" t="inlineStr">
        <is>
          <t>Palay</t>
        </is>
      </c>
      <c r="D70" s="74" t="inlineStr">
        <is>
          <t>Planting</t>
        </is>
      </c>
      <c r="E70" s="74" t="inlineStr">
        <is>
          <t>San Pablo</t>
        </is>
      </c>
      <c r="F70" s="75" t="n">
        <v>2</v>
      </c>
      <c r="G70" s="75" t="n">
        <v>20.7</v>
      </c>
      <c r="H70" s="75" t="n">
        <v>115</v>
      </c>
      <c r="I70" s="85" t="n"/>
      <c r="J70" s="85" t="n"/>
      <c r="K70" s="85" t="n"/>
    </row>
    <row r="71" ht="15" customHeight="1" s="101">
      <c r="A71" s="72" t="inlineStr">
        <is>
          <t>DS</t>
        </is>
      </c>
      <c r="B71" s="72" t="inlineStr">
        <is>
          <t>2011-2012</t>
        </is>
      </c>
      <c r="C71" s="72" t="inlineStr">
        <is>
          <t>Palay</t>
        </is>
      </c>
      <c r="D71" s="72" t="inlineStr">
        <is>
          <t>Planting</t>
        </is>
      </c>
      <c r="E71" s="72" t="inlineStr">
        <is>
          <t>Balangobong</t>
        </is>
      </c>
      <c r="F71" s="73" t="n">
        <v>2</v>
      </c>
      <c r="G71" s="73" t="n">
        <v>35.32</v>
      </c>
      <c r="H71" s="73" t="n">
        <v>120</v>
      </c>
      <c r="I71" s="84" t="n"/>
      <c r="J71" s="84" t="n"/>
      <c r="K71" s="84" t="n"/>
    </row>
    <row r="72" ht="15" customHeight="1" s="101">
      <c r="A72" s="74" t="inlineStr">
        <is>
          <t>DS</t>
        </is>
      </c>
      <c r="B72" s="74" t="inlineStr">
        <is>
          <t>2011-2012</t>
        </is>
      </c>
      <c r="C72" s="74" t="inlineStr">
        <is>
          <t>Palay</t>
        </is>
      </c>
      <c r="D72" s="74" t="inlineStr">
        <is>
          <t>Planting</t>
        </is>
      </c>
      <c r="E72" s="74" t="inlineStr">
        <is>
          <t>San Felipe Central</t>
        </is>
      </c>
      <c r="F72" s="75" t="n">
        <v>6</v>
      </c>
      <c r="G72" s="75" t="n">
        <v>26.4</v>
      </c>
      <c r="H72" s="75" t="n">
        <v>129</v>
      </c>
      <c r="I72" s="85" t="n"/>
      <c r="J72" s="85" t="n"/>
      <c r="K72" s="85" t="n"/>
    </row>
    <row r="73" ht="15" customHeight="1" s="101">
      <c r="A73" s="72" t="inlineStr">
        <is>
          <t>DS</t>
        </is>
      </c>
      <c r="B73" s="72" t="inlineStr">
        <is>
          <t>2011-2012</t>
        </is>
      </c>
      <c r="C73" s="72" t="inlineStr">
        <is>
          <t>Palay</t>
        </is>
      </c>
      <c r="D73" s="72" t="inlineStr">
        <is>
          <t>Planting</t>
        </is>
      </c>
      <c r="E73" s="72" t="inlineStr">
        <is>
          <t>San Felipe Sur</t>
        </is>
      </c>
      <c r="F73" s="73" t="n">
        <v>7.28</v>
      </c>
      <c r="G73" s="73" t="n">
        <v>32.1</v>
      </c>
      <c r="H73" s="73" t="n">
        <v>150</v>
      </c>
      <c r="I73" s="84" t="n"/>
      <c r="J73" s="84" t="n"/>
      <c r="K73" s="84" t="n"/>
    </row>
    <row r="74" ht="15" customHeight="1" s="101">
      <c r="A74" s="74" t="inlineStr">
        <is>
          <t>DS</t>
        </is>
      </c>
      <c r="B74" s="74" t="inlineStr">
        <is>
          <t>2011-2012</t>
        </is>
      </c>
      <c r="C74" s="74" t="inlineStr">
        <is>
          <t>Palay</t>
        </is>
      </c>
      <c r="D74" s="74" t="inlineStr">
        <is>
          <t>Planting</t>
        </is>
      </c>
      <c r="E74" s="74" t="inlineStr">
        <is>
          <t>Linmansangan</t>
        </is>
      </c>
      <c r="F74" s="75" t="n">
        <v>2</v>
      </c>
      <c r="G74" s="75" t="n">
        <v>81.66</v>
      </c>
      <c r="H74" s="75" t="n">
        <v>12.25</v>
      </c>
      <c r="I74" s="85" t="n"/>
      <c r="J74" s="85" t="n"/>
      <c r="K74" s="85" t="n"/>
    </row>
    <row r="75" ht="15" customHeight="1" s="101">
      <c r="A75" s="72" t="inlineStr">
        <is>
          <t>DS</t>
        </is>
      </c>
      <c r="B75" s="72" t="inlineStr">
        <is>
          <t>2011-2012</t>
        </is>
      </c>
      <c r="C75" s="72" t="inlineStr">
        <is>
          <t>Palay</t>
        </is>
      </c>
      <c r="D75" s="72" t="inlineStr">
        <is>
          <t>Planting</t>
        </is>
      </c>
      <c r="E75" s="72" t="inlineStr">
        <is>
          <t>Pasileng Sur</t>
        </is>
      </c>
      <c r="F75" s="73" t="n">
        <v>7.89</v>
      </c>
      <c r="G75" s="73" t="n">
        <v>41.02</v>
      </c>
      <c r="H75" s="73" t="n">
        <v>160</v>
      </c>
      <c r="I75" s="84" t="n"/>
      <c r="J75" s="84" t="n"/>
      <c r="K75" s="84" t="n"/>
    </row>
    <row r="76" ht="15" customHeight="1" s="101">
      <c r="A76" s="74" t="inlineStr">
        <is>
          <t>DS</t>
        </is>
      </c>
      <c r="B76" s="74" t="inlineStr">
        <is>
          <t>2011-2012</t>
        </is>
      </c>
      <c r="C76" s="74" t="inlineStr">
        <is>
          <t>Palay</t>
        </is>
      </c>
      <c r="D76" s="74" t="inlineStr">
        <is>
          <t>Planting</t>
        </is>
      </c>
      <c r="E76" s="74" t="inlineStr">
        <is>
          <t>Sta. Maria Norte</t>
        </is>
      </c>
      <c r="F76" s="75" t="n">
        <v>2</v>
      </c>
      <c r="G76" s="75" t="n">
        <v>26.4</v>
      </c>
      <c r="H76" s="75" t="n">
        <v>25.5</v>
      </c>
      <c r="I76" s="85" t="n"/>
      <c r="J76" s="85" t="n"/>
      <c r="K76" s="85" t="n"/>
    </row>
    <row r="77" ht="15" customHeight="1" s="101">
      <c r="A77" s="72" t="inlineStr">
        <is>
          <t>DS</t>
        </is>
      </c>
      <c r="B77" s="72" t="inlineStr">
        <is>
          <t>2011-2012</t>
        </is>
      </c>
      <c r="C77" s="72" t="inlineStr">
        <is>
          <t>Palay</t>
        </is>
      </c>
      <c r="D77" s="72" t="inlineStr">
        <is>
          <t>Planting</t>
        </is>
      </c>
      <c r="E77" s="72" t="inlineStr">
        <is>
          <t>Bugayong</t>
        </is>
      </c>
      <c r="F77" s="73" t="n">
        <v>2</v>
      </c>
      <c r="G77" s="73" t="n">
        <v>41.02</v>
      </c>
      <c r="H77" s="73" t="n">
        <v>16.6</v>
      </c>
      <c r="I77" s="84" t="n"/>
      <c r="J77" s="84" t="n"/>
      <c r="K77" s="84" t="n"/>
    </row>
    <row r="78" ht="15" customHeight="1" s="101">
      <c r="A78" s="74" t="inlineStr">
        <is>
          <t>DS</t>
        </is>
      </c>
      <c r="B78" s="74" t="inlineStr">
        <is>
          <t>2011-2012</t>
        </is>
      </c>
      <c r="C78" s="74" t="inlineStr">
        <is>
          <t>Palay</t>
        </is>
      </c>
      <c r="D78" s="74" t="inlineStr">
        <is>
          <t>Planting</t>
        </is>
      </c>
      <c r="E78" s="74" t="inlineStr">
        <is>
          <t>Mangkasuy</t>
        </is>
      </c>
      <c r="F78" s="75" t="n">
        <v>2</v>
      </c>
      <c r="G78" s="75" t="n">
        <v>80.3</v>
      </c>
      <c r="H78" s="75" t="n">
        <v>16.9</v>
      </c>
      <c r="I78" s="85" t="n"/>
      <c r="J78" s="85" t="n"/>
      <c r="K78" s="85" t="n"/>
    </row>
    <row r="79" ht="15" customHeight="1" s="101">
      <c r="A79" s="72" t="inlineStr">
        <is>
          <t>DS</t>
        </is>
      </c>
      <c r="B79" s="72" t="inlineStr">
        <is>
          <t>2011-2012</t>
        </is>
      </c>
      <c r="C79" s="72" t="inlineStr">
        <is>
          <t>Palay</t>
        </is>
      </c>
      <c r="D79" s="72" t="inlineStr">
        <is>
          <t>Planting</t>
        </is>
      </c>
      <c r="E79" s="72" t="inlineStr">
        <is>
          <t>Santiago</t>
        </is>
      </c>
      <c r="F79" s="73" t="n">
        <v>5.3</v>
      </c>
      <c r="G79" s="73" t="n">
        <v>81.66</v>
      </c>
      <c r="H79" s="73" t="n">
        <v>12</v>
      </c>
      <c r="I79" s="84" t="n"/>
      <c r="J79" s="84" t="n"/>
      <c r="K79" s="84" t="n"/>
    </row>
    <row r="80" ht="15" customHeight="1" s="101">
      <c r="A80" s="74" t="inlineStr">
        <is>
          <t>DS</t>
        </is>
      </c>
      <c r="B80" s="74" t="inlineStr">
        <is>
          <t>2012-2013</t>
        </is>
      </c>
      <c r="C80" s="74" t="inlineStr">
        <is>
          <t>Palay</t>
        </is>
      </c>
      <c r="D80" s="74" t="inlineStr">
        <is>
          <t>Planting</t>
        </is>
      </c>
      <c r="E80" s="74" t="inlineStr">
        <is>
          <t>Pasileng Norte</t>
        </is>
      </c>
      <c r="F80" s="75" t="n">
        <v>2</v>
      </c>
      <c r="G80" s="75" t="n">
        <v>26.4</v>
      </c>
      <c r="H80" s="75" t="n">
        <v>74</v>
      </c>
      <c r="I80" s="85" t="n"/>
      <c r="J80" s="85" t="n"/>
      <c r="K80" s="85" t="n"/>
    </row>
    <row r="81" ht="15" customHeight="1" s="101">
      <c r="A81" s="72" t="inlineStr">
        <is>
          <t>DS</t>
        </is>
      </c>
      <c r="B81" s="72" t="inlineStr">
        <is>
          <t>2012-2013</t>
        </is>
      </c>
      <c r="C81" s="72" t="inlineStr">
        <is>
          <t>Palay</t>
        </is>
      </c>
      <c r="D81" s="72" t="inlineStr">
        <is>
          <t>Planting</t>
        </is>
      </c>
      <c r="E81" s="72" t="inlineStr">
        <is>
          <t>Tabuyoc</t>
        </is>
      </c>
      <c r="F81" s="73" t="n">
        <v>1</v>
      </c>
      <c r="G81" s="73" t="n">
        <v>81.66</v>
      </c>
      <c r="H81" s="73" t="n">
        <v>121</v>
      </c>
      <c r="I81" s="84" t="n"/>
      <c r="J81" s="84" t="n"/>
      <c r="K81" s="84" t="n"/>
    </row>
    <row r="82" ht="15" customHeight="1" s="101">
      <c r="A82" s="74" t="inlineStr">
        <is>
          <t>DS</t>
        </is>
      </c>
      <c r="B82" s="74" t="inlineStr">
        <is>
          <t>2012-2013</t>
        </is>
      </c>
      <c r="C82" s="74" t="inlineStr">
        <is>
          <t>Palay</t>
        </is>
      </c>
      <c r="D82" s="74" t="inlineStr">
        <is>
          <t>Planting</t>
        </is>
      </c>
      <c r="E82" s="74" t="inlineStr">
        <is>
          <t>Camanggaan</t>
        </is>
      </c>
      <c r="F82" s="75" t="n">
        <v>2</v>
      </c>
      <c r="G82" s="75" t="n">
        <v>72.73999999999999</v>
      </c>
      <c r="H82" s="75" t="n">
        <v>10</v>
      </c>
      <c r="I82" s="85" t="n"/>
      <c r="J82" s="85" t="n"/>
      <c r="K82" s="85" t="n"/>
    </row>
    <row r="83" ht="15" customHeight="1" s="101">
      <c r="A83" s="72" t="inlineStr">
        <is>
          <t>DS</t>
        </is>
      </c>
      <c r="B83" s="72" t="inlineStr">
        <is>
          <t>2012-2013</t>
        </is>
      </c>
      <c r="C83" s="72" t="inlineStr">
        <is>
          <t>Palay</t>
        </is>
      </c>
      <c r="D83" s="72" t="inlineStr">
        <is>
          <t>Planting</t>
        </is>
      </c>
      <c r="E83" s="72" t="inlineStr">
        <is>
          <t>Cili</t>
        </is>
      </c>
      <c r="F83" s="73" t="n">
        <v>2</v>
      </c>
      <c r="G83" s="73" t="n">
        <v>35.32</v>
      </c>
      <c r="H83" s="73" t="n">
        <v>14</v>
      </c>
      <c r="I83" s="84" t="n"/>
      <c r="J83" s="84" t="n"/>
      <c r="K83" s="84" t="n"/>
    </row>
    <row r="84" ht="15" customHeight="1" s="101">
      <c r="A84" s="74" t="inlineStr">
        <is>
          <t>DS</t>
        </is>
      </c>
      <c r="B84" s="74" t="inlineStr">
        <is>
          <t>2012-2013</t>
        </is>
      </c>
      <c r="C84" s="74" t="inlineStr">
        <is>
          <t>Palay</t>
        </is>
      </c>
      <c r="D84" s="74" t="inlineStr">
        <is>
          <t>Planting</t>
        </is>
      </c>
      <c r="E84" s="74" t="inlineStr">
        <is>
          <t>Sumabnit</t>
        </is>
      </c>
      <c r="F84" s="75" t="n">
        <v>1.5</v>
      </c>
      <c r="G84" s="75" t="n">
        <v>81.66</v>
      </c>
      <c r="H84" s="75" t="n">
        <v>63.6</v>
      </c>
      <c r="I84" s="85" t="n"/>
      <c r="J84" s="85" t="n"/>
      <c r="K84" s="85" t="n"/>
    </row>
    <row r="85" ht="15" customHeight="1" s="101">
      <c r="A85" s="72" t="inlineStr">
        <is>
          <t>DS</t>
        </is>
      </c>
      <c r="B85" s="72" t="inlineStr">
        <is>
          <t>2012-2013</t>
        </is>
      </c>
      <c r="C85" s="72" t="inlineStr">
        <is>
          <t>Palay</t>
        </is>
      </c>
      <c r="D85" s="72" t="inlineStr">
        <is>
          <t>Planting</t>
        </is>
      </c>
      <c r="E85" s="72" t="inlineStr">
        <is>
          <t>Capas</t>
        </is>
      </c>
      <c r="F85" s="73" t="n">
        <v>2</v>
      </c>
      <c r="G85" s="73" t="n">
        <v>52.42</v>
      </c>
      <c r="H85" s="73" t="n">
        <v>179</v>
      </c>
      <c r="I85" s="84" t="n"/>
      <c r="J85" s="84" t="n"/>
      <c r="K85" s="84" t="n"/>
    </row>
    <row r="86" ht="15" customHeight="1" s="101">
      <c r="A86" s="74" t="inlineStr">
        <is>
          <t>DS</t>
        </is>
      </c>
      <c r="B86" s="74" t="inlineStr">
        <is>
          <t>2012-2013</t>
        </is>
      </c>
      <c r="C86" s="74" t="inlineStr">
        <is>
          <t>Palay</t>
        </is>
      </c>
      <c r="D86" s="74" t="inlineStr">
        <is>
          <t>Planting</t>
        </is>
      </c>
      <c r="E86" s="74" t="inlineStr">
        <is>
          <t>San Pablo</t>
        </is>
      </c>
      <c r="F86" s="75" t="n">
        <v>0.5</v>
      </c>
      <c r="G86" s="75" t="n">
        <v>26.4</v>
      </c>
      <c r="H86" s="75" t="n">
        <v>115</v>
      </c>
      <c r="I86" s="85" t="n"/>
      <c r="J86" s="85" t="n"/>
      <c r="K86" s="85" t="n"/>
    </row>
    <row r="87" ht="15" customHeight="1" s="101">
      <c r="A87" s="72" t="inlineStr">
        <is>
          <t>DS</t>
        </is>
      </c>
      <c r="B87" s="72" t="inlineStr">
        <is>
          <t>2012-2013</t>
        </is>
      </c>
      <c r="C87" s="72" t="inlineStr">
        <is>
          <t>Palay</t>
        </is>
      </c>
      <c r="D87" s="72" t="inlineStr">
        <is>
          <t>Planting</t>
        </is>
      </c>
      <c r="E87" s="72" t="inlineStr">
        <is>
          <t>Balangobong</t>
        </is>
      </c>
      <c r="F87" s="73" t="n">
        <v>2</v>
      </c>
      <c r="G87" s="73" t="n">
        <v>35.32</v>
      </c>
      <c r="H87" s="73" t="n">
        <v>100</v>
      </c>
      <c r="I87" s="84" t="n"/>
      <c r="J87" s="84" t="n"/>
      <c r="K87" s="84" t="n"/>
    </row>
    <row r="88" ht="15" customHeight="1" s="101">
      <c r="A88" s="74" t="inlineStr">
        <is>
          <t>DS</t>
        </is>
      </c>
      <c r="B88" s="74" t="inlineStr">
        <is>
          <t>2012-2013</t>
        </is>
      </c>
      <c r="C88" s="74" t="inlineStr">
        <is>
          <t>Palay</t>
        </is>
      </c>
      <c r="D88" s="74" t="inlineStr">
        <is>
          <t>Planting</t>
        </is>
      </c>
      <c r="E88" s="74" t="inlineStr">
        <is>
          <t>San Felipe Central</t>
        </is>
      </c>
      <c r="F88" s="75" t="n">
        <v>1.5</v>
      </c>
      <c r="G88" s="75" t="n">
        <v>26.4</v>
      </c>
      <c r="H88" s="75" t="n">
        <v>129</v>
      </c>
      <c r="I88" s="85" t="n"/>
      <c r="J88" s="85" t="n"/>
      <c r="K88" s="85" t="n"/>
    </row>
    <row r="89" ht="15" customHeight="1" s="101">
      <c r="A89" s="72" t="inlineStr">
        <is>
          <t>DS</t>
        </is>
      </c>
      <c r="B89" s="72" t="inlineStr">
        <is>
          <t>2012-2013</t>
        </is>
      </c>
      <c r="C89" s="72" t="inlineStr">
        <is>
          <t>Palay</t>
        </is>
      </c>
      <c r="D89" s="72" t="inlineStr">
        <is>
          <t>Planting</t>
        </is>
      </c>
      <c r="E89" s="72" t="inlineStr">
        <is>
          <t>San Felipe Sur</t>
        </is>
      </c>
      <c r="F89" s="73" t="n">
        <v>1</v>
      </c>
      <c r="G89" s="73" t="n">
        <v>32.1</v>
      </c>
      <c r="H89" s="73" t="n">
        <v>150</v>
      </c>
      <c r="I89" s="84" t="n"/>
      <c r="J89" s="84" t="n"/>
      <c r="K89" s="84" t="n"/>
    </row>
    <row r="90" ht="15" customHeight="1" s="101">
      <c r="A90" s="74" t="inlineStr">
        <is>
          <t>DS</t>
        </is>
      </c>
      <c r="B90" s="74" t="inlineStr">
        <is>
          <t>2012-2013</t>
        </is>
      </c>
      <c r="C90" s="74" t="inlineStr">
        <is>
          <t>Palay</t>
        </is>
      </c>
      <c r="D90" s="74" t="inlineStr">
        <is>
          <t>Planting</t>
        </is>
      </c>
      <c r="E90" s="74" t="inlineStr">
        <is>
          <t>Pasileng Sur</t>
        </is>
      </c>
      <c r="F90" s="75" t="n">
        <v>2</v>
      </c>
      <c r="G90" s="75" t="n">
        <v>41.02</v>
      </c>
      <c r="H90" s="75" t="n">
        <v>160</v>
      </c>
      <c r="I90" s="85" t="n"/>
      <c r="J90" s="85" t="n"/>
      <c r="K90" s="85" t="n"/>
    </row>
    <row r="91" ht="15" customHeight="1" s="101">
      <c r="A91" s="72" t="inlineStr">
        <is>
          <t>DS</t>
        </is>
      </c>
      <c r="B91" s="72" t="inlineStr">
        <is>
          <t>2012-2013</t>
        </is>
      </c>
      <c r="C91" s="72" t="inlineStr">
        <is>
          <t>Palay</t>
        </is>
      </c>
      <c r="D91" s="72" t="inlineStr">
        <is>
          <t>Planting</t>
        </is>
      </c>
      <c r="E91" s="72" t="inlineStr">
        <is>
          <t>Sta. Maria Norte</t>
        </is>
      </c>
      <c r="F91" s="73" t="n">
        <v>6.97</v>
      </c>
      <c r="G91" s="73" t="n">
        <v>26.4</v>
      </c>
      <c r="H91" s="73" t="n">
        <v>25.5</v>
      </c>
      <c r="I91" s="84" t="n"/>
      <c r="J91" s="84" t="n"/>
      <c r="K91" s="84" t="n"/>
    </row>
    <row r="92" ht="15" customHeight="1" s="101">
      <c r="A92" s="74" t="inlineStr">
        <is>
          <t>DS</t>
        </is>
      </c>
      <c r="B92" s="74" t="inlineStr">
        <is>
          <t>2012-2013</t>
        </is>
      </c>
      <c r="C92" s="74" t="inlineStr">
        <is>
          <t>Palay</t>
        </is>
      </c>
      <c r="D92" s="74" t="inlineStr">
        <is>
          <t>Planting</t>
        </is>
      </c>
      <c r="E92" s="74" t="inlineStr">
        <is>
          <t>Bugayong</t>
        </is>
      </c>
      <c r="F92" s="75" t="n">
        <v>2</v>
      </c>
      <c r="G92" s="75" t="n">
        <v>41.02</v>
      </c>
      <c r="H92" s="75" t="n">
        <v>16</v>
      </c>
      <c r="I92" s="85" t="n"/>
      <c r="J92" s="85" t="n"/>
      <c r="K92" s="85" t="n"/>
    </row>
    <row r="93" ht="15" customHeight="1" s="101">
      <c r="A93" s="72" t="inlineStr">
        <is>
          <t>DS</t>
        </is>
      </c>
      <c r="B93" s="72" t="inlineStr">
        <is>
          <t>2012-2013</t>
        </is>
      </c>
      <c r="C93" s="72" t="inlineStr">
        <is>
          <t>Palay</t>
        </is>
      </c>
      <c r="D93" s="72" t="inlineStr">
        <is>
          <t>Planting</t>
        </is>
      </c>
      <c r="E93" s="72" t="inlineStr">
        <is>
          <t>Mangkasuy</t>
        </is>
      </c>
      <c r="F93" s="73" t="n">
        <v>0.5</v>
      </c>
      <c r="G93" s="73" t="n">
        <v>80.3</v>
      </c>
      <c r="H93" s="73" t="n">
        <v>16.9</v>
      </c>
      <c r="I93" s="84" t="n"/>
      <c r="J93" s="84" t="n"/>
      <c r="K93" s="84" t="n"/>
    </row>
    <row r="94" ht="15" customHeight="1" s="101">
      <c r="A94" s="74" t="inlineStr">
        <is>
          <t>DS</t>
        </is>
      </c>
      <c r="B94" s="74" t="inlineStr">
        <is>
          <t>2012-2013</t>
        </is>
      </c>
      <c r="C94" s="74" t="inlineStr">
        <is>
          <t>Palay</t>
        </is>
      </c>
      <c r="D94" s="74" t="inlineStr">
        <is>
          <t>Planting</t>
        </is>
      </c>
      <c r="E94" s="74" t="inlineStr">
        <is>
          <t>Santiago</t>
        </is>
      </c>
      <c r="F94" s="75" t="n">
        <v>0.5</v>
      </c>
      <c r="G94" s="75" t="n">
        <v>81.66</v>
      </c>
      <c r="H94" s="75" t="n">
        <v>14</v>
      </c>
      <c r="I94" s="85" t="n"/>
      <c r="J94" s="85" t="n"/>
      <c r="K94" s="85" t="n"/>
    </row>
    <row r="95" ht="15" customHeight="1" s="101">
      <c r="A95" s="72" t="inlineStr">
        <is>
          <t>DS</t>
        </is>
      </c>
      <c r="B95" s="72" t="inlineStr">
        <is>
          <t>2013-2014</t>
        </is>
      </c>
      <c r="C95" s="72" t="inlineStr">
        <is>
          <t>Palay</t>
        </is>
      </c>
      <c r="D95" s="72" t="inlineStr">
        <is>
          <t>Planting</t>
        </is>
      </c>
      <c r="E95" s="72" t="inlineStr">
        <is>
          <t>Pasileng Norte</t>
        </is>
      </c>
      <c r="F95" s="73" t="n">
        <v>5</v>
      </c>
      <c r="G95" s="73" t="n">
        <v>26.4</v>
      </c>
      <c r="H95" s="73" t="n">
        <v>75</v>
      </c>
      <c r="I95" s="84" t="n"/>
      <c r="J95" s="84" t="n"/>
      <c r="K95" s="84" t="n"/>
    </row>
    <row r="96" ht="15" customHeight="1" s="101">
      <c r="A96" s="74" t="inlineStr">
        <is>
          <t>DS</t>
        </is>
      </c>
      <c r="B96" s="74" t="inlineStr">
        <is>
          <t>2013-2014</t>
        </is>
      </c>
      <c r="C96" s="74" t="inlineStr">
        <is>
          <t>Palay</t>
        </is>
      </c>
      <c r="D96" s="74" t="inlineStr">
        <is>
          <t>Planting</t>
        </is>
      </c>
      <c r="E96" s="74" t="inlineStr">
        <is>
          <t>Tabuyoc</t>
        </is>
      </c>
      <c r="F96" s="75" t="n">
        <v>2</v>
      </c>
      <c r="G96" s="75" t="n">
        <v>81.66</v>
      </c>
      <c r="H96" s="75" t="n">
        <v>125</v>
      </c>
      <c r="I96" s="85" t="n"/>
      <c r="J96" s="85" t="n"/>
      <c r="K96" s="85" t="n"/>
    </row>
    <row r="97" ht="15" customHeight="1" s="101">
      <c r="A97" s="72" t="inlineStr">
        <is>
          <t>DS</t>
        </is>
      </c>
      <c r="B97" s="72" t="inlineStr">
        <is>
          <t>2013-2014</t>
        </is>
      </c>
      <c r="C97" s="72" t="inlineStr">
        <is>
          <t>Palay</t>
        </is>
      </c>
      <c r="D97" s="72" t="inlineStr">
        <is>
          <t>Planting</t>
        </is>
      </c>
      <c r="E97" s="72" t="inlineStr">
        <is>
          <t>Camanggaan</t>
        </is>
      </c>
      <c r="F97" s="73" t="n">
        <v>2</v>
      </c>
      <c r="G97" s="73" t="n">
        <v>72.73999999999999</v>
      </c>
      <c r="H97" s="73" t="n">
        <v>5</v>
      </c>
      <c r="I97" s="84" t="n"/>
      <c r="J97" s="84" t="n"/>
      <c r="K97" s="84" t="n"/>
    </row>
    <row r="98" ht="15" customHeight="1" s="101">
      <c r="A98" s="74" t="inlineStr">
        <is>
          <t>DS</t>
        </is>
      </c>
      <c r="B98" s="74" t="inlineStr">
        <is>
          <t>2013-2014</t>
        </is>
      </c>
      <c r="C98" s="74" t="inlineStr">
        <is>
          <t>Palay</t>
        </is>
      </c>
      <c r="D98" s="74" t="inlineStr">
        <is>
          <t>Planting</t>
        </is>
      </c>
      <c r="E98" s="74" t="inlineStr">
        <is>
          <t>Sumabnit</t>
        </is>
      </c>
      <c r="F98" s="75" t="n">
        <v>3</v>
      </c>
      <c r="G98" s="75" t="n">
        <v>81.66</v>
      </c>
      <c r="H98" s="75" t="n">
        <v>60</v>
      </c>
      <c r="I98" s="85" t="n"/>
      <c r="J98" s="85" t="n"/>
      <c r="K98" s="85" t="n"/>
    </row>
    <row r="99" ht="15" customHeight="1" s="101">
      <c r="A99" s="72" t="inlineStr">
        <is>
          <t>DS</t>
        </is>
      </c>
      <c r="B99" s="72" t="inlineStr">
        <is>
          <t>2013-2014</t>
        </is>
      </c>
      <c r="C99" s="72" t="inlineStr">
        <is>
          <t>Palay</t>
        </is>
      </c>
      <c r="D99" s="72" t="inlineStr">
        <is>
          <t>Planting</t>
        </is>
      </c>
      <c r="E99" s="72" t="inlineStr">
        <is>
          <t>Capas</t>
        </is>
      </c>
      <c r="F99" s="73" t="n">
        <v>4</v>
      </c>
      <c r="G99" s="73" t="n">
        <v>67.04000000000001</v>
      </c>
      <c r="H99" s="73" t="n">
        <v>179</v>
      </c>
      <c r="I99" s="84" t="n"/>
      <c r="J99" s="84" t="n"/>
      <c r="K99" s="84" t="n"/>
    </row>
    <row r="100" ht="15" customHeight="1" s="101">
      <c r="A100" s="74" t="inlineStr">
        <is>
          <t>DS</t>
        </is>
      </c>
      <c r="B100" s="74" t="inlineStr">
        <is>
          <t>2013-2014</t>
        </is>
      </c>
      <c r="C100" s="74" t="inlineStr">
        <is>
          <t>Palay</t>
        </is>
      </c>
      <c r="D100" s="74" t="inlineStr">
        <is>
          <t>Planting</t>
        </is>
      </c>
      <c r="E100" s="74" t="inlineStr">
        <is>
          <t>San Pablo</t>
        </is>
      </c>
      <c r="F100" s="75" t="n">
        <v>10.5</v>
      </c>
      <c r="G100" s="75" t="n">
        <v>26.4</v>
      </c>
      <c r="H100" s="75" t="n">
        <v>120</v>
      </c>
      <c r="I100" s="85" t="n"/>
      <c r="J100" s="85" t="n"/>
      <c r="K100" s="85" t="n"/>
    </row>
    <row r="101" ht="15" customHeight="1" s="101">
      <c r="A101" s="72" t="inlineStr">
        <is>
          <t>DS</t>
        </is>
      </c>
      <c r="B101" s="72" t="inlineStr">
        <is>
          <t>2013-2014</t>
        </is>
      </c>
      <c r="C101" s="72" t="inlineStr">
        <is>
          <t>Palay</t>
        </is>
      </c>
      <c r="D101" s="72" t="inlineStr">
        <is>
          <t>Planting</t>
        </is>
      </c>
      <c r="E101" s="72" t="inlineStr">
        <is>
          <t>Balangobong</t>
        </is>
      </c>
      <c r="F101" s="73" t="n">
        <v>2</v>
      </c>
      <c r="G101" s="73" t="n">
        <v>35.32</v>
      </c>
      <c r="H101" s="73" t="n">
        <v>120</v>
      </c>
      <c r="I101" s="84" t="n"/>
      <c r="J101" s="84" t="n"/>
      <c r="K101" s="84" t="n"/>
    </row>
    <row r="102" ht="15" customHeight="1" s="101">
      <c r="A102" s="74" t="inlineStr">
        <is>
          <t>DS</t>
        </is>
      </c>
      <c r="B102" s="74" t="inlineStr">
        <is>
          <t>2013-2014</t>
        </is>
      </c>
      <c r="C102" s="74" t="inlineStr">
        <is>
          <t>Palay</t>
        </is>
      </c>
      <c r="D102" s="74" t="inlineStr">
        <is>
          <t>Planting</t>
        </is>
      </c>
      <c r="E102" s="74" t="inlineStr">
        <is>
          <t>San Felipe Sur</t>
        </is>
      </c>
      <c r="F102" s="75" t="n">
        <v>1.5</v>
      </c>
      <c r="G102" s="75" t="n">
        <v>32.1</v>
      </c>
      <c r="H102" s="75" t="n">
        <v>125</v>
      </c>
      <c r="I102" s="85" t="n"/>
      <c r="J102" s="85" t="n"/>
      <c r="K102" s="85" t="n"/>
    </row>
    <row r="103" ht="15" customHeight="1" s="101">
      <c r="A103" s="72" t="inlineStr">
        <is>
          <t>DS</t>
        </is>
      </c>
      <c r="B103" s="72" t="inlineStr">
        <is>
          <t>2013-2014</t>
        </is>
      </c>
      <c r="C103" s="72" t="inlineStr">
        <is>
          <t>Palay</t>
        </is>
      </c>
      <c r="D103" s="72" t="inlineStr">
        <is>
          <t>Planting</t>
        </is>
      </c>
      <c r="E103" s="72" t="inlineStr">
        <is>
          <t>Pasileng Sur</t>
        </is>
      </c>
      <c r="F103" s="73" t="n">
        <v>1.5</v>
      </c>
      <c r="G103" s="73" t="n">
        <v>26.4</v>
      </c>
      <c r="H103" s="73" t="n">
        <v>160</v>
      </c>
      <c r="I103" s="84" t="n"/>
      <c r="J103" s="84" t="n"/>
      <c r="K103" s="84" t="n"/>
    </row>
    <row r="104" ht="15" customHeight="1" s="101">
      <c r="A104" s="74" t="inlineStr">
        <is>
          <t>DS</t>
        </is>
      </c>
      <c r="B104" s="74" t="inlineStr">
        <is>
          <t>2013-2014</t>
        </is>
      </c>
      <c r="C104" s="74" t="inlineStr">
        <is>
          <t>Palay</t>
        </is>
      </c>
      <c r="D104" s="74" t="inlineStr">
        <is>
          <t>Planting</t>
        </is>
      </c>
      <c r="E104" s="74" t="inlineStr">
        <is>
          <t>Sta. Maria Norte</t>
        </is>
      </c>
      <c r="F104" s="75" t="n">
        <v>8.19</v>
      </c>
      <c r="G104" s="75" t="n">
        <v>26.4</v>
      </c>
      <c r="H104" s="75" t="n">
        <v>12</v>
      </c>
      <c r="I104" s="85" t="n"/>
      <c r="J104" s="85" t="n"/>
      <c r="K104" s="85" t="n"/>
    </row>
    <row r="105" ht="15" customHeight="1" s="101">
      <c r="A105" s="72" t="inlineStr">
        <is>
          <t>DS</t>
        </is>
      </c>
      <c r="B105" s="72" t="inlineStr">
        <is>
          <t>2013-2014</t>
        </is>
      </c>
      <c r="C105" s="72" t="inlineStr">
        <is>
          <t>Palay</t>
        </is>
      </c>
      <c r="D105" s="72" t="inlineStr">
        <is>
          <t>Planting</t>
        </is>
      </c>
      <c r="E105" s="72" t="inlineStr">
        <is>
          <t>Bugayong</t>
        </is>
      </c>
      <c r="F105" s="73" t="n">
        <v>2</v>
      </c>
      <c r="G105" s="73" t="n">
        <v>41.02</v>
      </c>
      <c r="H105" s="73" t="n">
        <v>7</v>
      </c>
      <c r="I105" s="84" t="n"/>
      <c r="J105" s="84" t="n"/>
      <c r="K105" s="84" t="n"/>
    </row>
    <row r="106" ht="15" customHeight="1" s="101">
      <c r="A106" s="74" t="inlineStr">
        <is>
          <t>DS</t>
        </is>
      </c>
      <c r="B106" s="74" t="inlineStr">
        <is>
          <t>2013-2014</t>
        </is>
      </c>
      <c r="C106" s="74" t="inlineStr">
        <is>
          <t>Palay</t>
        </is>
      </c>
      <c r="D106" s="74" t="inlineStr">
        <is>
          <t>Planting</t>
        </is>
      </c>
      <c r="E106" s="74" t="inlineStr">
        <is>
          <t>Mangkasuy</t>
        </is>
      </c>
      <c r="F106" s="75" t="n">
        <v>1</v>
      </c>
      <c r="G106" s="75" t="n">
        <v>110.1</v>
      </c>
      <c r="H106" s="75" t="n">
        <v>14</v>
      </c>
      <c r="I106" s="85" t="n"/>
      <c r="J106" s="85" t="n"/>
      <c r="K106" s="85" t="n"/>
    </row>
    <row r="107" ht="15" customHeight="1" s="101">
      <c r="A107" s="72" t="inlineStr">
        <is>
          <t>DS</t>
        </is>
      </c>
      <c r="B107" s="72" t="inlineStr">
        <is>
          <t>2013-2014</t>
        </is>
      </c>
      <c r="C107" s="72" t="inlineStr">
        <is>
          <t>Palay</t>
        </is>
      </c>
      <c r="D107" s="72" t="inlineStr">
        <is>
          <t>Planting</t>
        </is>
      </c>
      <c r="E107" s="72" t="inlineStr">
        <is>
          <t>Santiago</t>
        </is>
      </c>
      <c r="F107" s="73" t="n">
        <v>2</v>
      </c>
      <c r="G107" s="73" t="n">
        <v>81.66</v>
      </c>
      <c r="H107" s="73" t="n">
        <v>13</v>
      </c>
      <c r="I107" s="84" t="n"/>
      <c r="J107" s="84" t="n"/>
      <c r="K107" s="84" t="n"/>
    </row>
    <row r="108" ht="15" customHeight="1" s="101">
      <c r="A108" s="74" t="inlineStr">
        <is>
          <t>DS</t>
        </is>
      </c>
      <c r="B108" s="74" t="inlineStr">
        <is>
          <t>2018-2019</t>
        </is>
      </c>
      <c r="C108" s="74" t="inlineStr">
        <is>
          <t>Palay</t>
        </is>
      </c>
      <c r="D108" s="74" t="inlineStr">
        <is>
          <t>Planting</t>
        </is>
      </c>
      <c r="E108" s="74" t="inlineStr">
        <is>
          <t>Pasileng Norte</t>
        </is>
      </c>
      <c r="F108" s="75" t="n">
        <v>2</v>
      </c>
      <c r="G108" s="75" t="n">
        <v>26.4</v>
      </c>
      <c r="H108" s="75" t="n">
        <v>65</v>
      </c>
      <c r="I108" s="85" t="n"/>
      <c r="J108" s="85" t="n"/>
      <c r="K108" s="85" t="n"/>
    </row>
    <row r="109" ht="15" customHeight="1" s="101">
      <c r="A109" s="72" t="inlineStr">
        <is>
          <t>DS</t>
        </is>
      </c>
      <c r="B109" s="72" t="inlineStr">
        <is>
          <t>2018-2019</t>
        </is>
      </c>
      <c r="C109" s="72" t="inlineStr">
        <is>
          <t>Palay</t>
        </is>
      </c>
      <c r="D109" s="72" t="inlineStr">
        <is>
          <t>Planting</t>
        </is>
      </c>
      <c r="E109" s="72" t="inlineStr">
        <is>
          <t>Tabuyoc</t>
        </is>
      </c>
      <c r="F109" s="73" t="n">
        <v>2</v>
      </c>
      <c r="G109" s="73" t="n">
        <v>61.34</v>
      </c>
      <c r="H109" s="73" t="n">
        <v>110</v>
      </c>
      <c r="I109" s="84" t="n"/>
      <c r="J109" s="84" t="n"/>
      <c r="K109" s="84" t="n"/>
    </row>
    <row r="110" ht="15" customHeight="1" s="101">
      <c r="A110" s="74" t="inlineStr">
        <is>
          <t>DS</t>
        </is>
      </c>
      <c r="B110" s="74" t="inlineStr">
        <is>
          <t>2018-2019</t>
        </is>
      </c>
      <c r="C110" s="74" t="inlineStr">
        <is>
          <t>Palay</t>
        </is>
      </c>
      <c r="D110" s="74" t="inlineStr">
        <is>
          <t>Planting</t>
        </is>
      </c>
      <c r="E110" s="74" t="inlineStr">
        <is>
          <t>Sumabnit</t>
        </is>
      </c>
      <c r="F110" s="75" t="n">
        <v>2</v>
      </c>
      <c r="G110" s="75" t="n">
        <v>81.66</v>
      </c>
      <c r="H110" s="75" t="n">
        <v>60</v>
      </c>
      <c r="I110" s="85" t="n"/>
      <c r="J110" s="85" t="n"/>
      <c r="K110" s="85" t="n"/>
    </row>
    <row r="111" ht="15" customHeight="1" s="101">
      <c r="A111" s="72" t="inlineStr">
        <is>
          <t>DS</t>
        </is>
      </c>
      <c r="B111" s="72" t="inlineStr">
        <is>
          <t>2018-2019</t>
        </is>
      </c>
      <c r="C111" s="72" t="inlineStr">
        <is>
          <t>Palay</t>
        </is>
      </c>
      <c r="D111" s="72" t="inlineStr">
        <is>
          <t>Planting</t>
        </is>
      </c>
      <c r="E111" s="72" t="inlineStr">
        <is>
          <t>Capas</t>
        </is>
      </c>
      <c r="F111" s="73" t="n">
        <v>6.17</v>
      </c>
      <c r="G111" s="73" t="n">
        <v>67.04000000000001</v>
      </c>
      <c r="H111" s="73" t="n">
        <v>105</v>
      </c>
      <c r="I111" s="84" t="n"/>
      <c r="J111" s="84" t="n"/>
      <c r="K111" s="84" t="n"/>
    </row>
    <row r="112" ht="15" customHeight="1" s="101">
      <c r="A112" s="74" t="inlineStr">
        <is>
          <t>DS</t>
        </is>
      </c>
      <c r="B112" s="74" t="inlineStr">
        <is>
          <t>2018-2019</t>
        </is>
      </c>
      <c r="C112" s="74" t="inlineStr">
        <is>
          <t>Palay</t>
        </is>
      </c>
      <c r="D112" s="74" t="inlineStr">
        <is>
          <t>Planting</t>
        </is>
      </c>
      <c r="E112" s="74" t="inlineStr">
        <is>
          <t>Mangkasuy</t>
        </is>
      </c>
      <c r="F112" s="75" t="n">
        <v>2</v>
      </c>
      <c r="G112" s="75" t="n">
        <v>134.2</v>
      </c>
      <c r="H112" s="75" t="n">
        <v>50</v>
      </c>
      <c r="I112" s="85" t="n"/>
      <c r="J112" s="85" t="n"/>
      <c r="K112" s="85" t="n"/>
    </row>
    <row r="113" ht="15" customHeight="1" s="101">
      <c r="A113" s="72" t="inlineStr">
        <is>
          <t>DS</t>
        </is>
      </c>
      <c r="B113" s="72" t="inlineStr">
        <is>
          <t>2018-2019</t>
        </is>
      </c>
      <c r="C113" s="72" t="inlineStr">
        <is>
          <t>Palay</t>
        </is>
      </c>
      <c r="D113" s="72" t="inlineStr">
        <is>
          <t>Planting</t>
        </is>
      </c>
      <c r="E113" s="72" t="inlineStr">
        <is>
          <t>San Pablo</t>
        </is>
      </c>
      <c r="F113" s="73" t="n">
        <v>2</v>
      </c>
      <c r="G113" s="73" t="n">
        <v>26.4</v>
      </c>
      <c r="H113" s="73" t="n">
        <v>90</v>
      </c>
      <c r="I113" s="84" t="n"/>
      <c r="J113" s="84" t="n"/>
      <c r="K113" s="84" t="n"/>
    </row>
    <row r="114" ht="15" customHeight="1" s="101">
      <c r="A114" s="74" t="inlineStr">
        <is>
          <t>DS</t>
        </is>
      </c>
      <c r="B114" s="74" t="inlineStr">
        <is>
          <t>2018-2019</t>
        </is>
      </c>
      <c r="C114" s="74" t="inlineStr">
        <is>
          <t>Palay</t>
        </is>
      </c>
      <c r="D114" s="74" t="inlineStr">
        <is>
          <t>Planting</t>
        </is>
      </c>
      <c r="E114" s="74" t="inlineStr">
        <is>
          <t>Balangobong</t>
        </is>
      </c>
      <c r="F114" s="75" t="n">
        <v>7.44</v>
      </c>
      <c r="G114" s="75" t="n">
        <v>35.32</v>
      </c>
      <c r="H114" s="75" t="n">
        <v>110</v>
      </c>
      <c r="I114" s="85" t="n"/>
      <c r="J114" s="85" t="n"/>
      <c r="K114" s="85" t="n"/>
    </row>
    <row r="115" ht="15" customHeight="1" s="101">
      <c r="A115" s="72" t="inlineStr">
        <is>
          <t>DS</t>
        </is>
      </c>
      <c r="B115" s="72" t="inlineStr">
        <is>
          <t>2018-2019</t>
        </is>
      </c>
      <c r="C115" s="72" t="inlineStr">
        <is>
          <t>Palay</t>
        </is>
      </c>
      <c r="D115" s="72" t="inlineStr">
        <is>
          <t>Planting</t>
        </is>
      </c>
      <c r="E115" s="72" t="inlineStr">
        <is>
          <t>San Felipe Central</t>
        </is>
      </c>
      <c r="F115" s="73" t="n">
        <v>2</v>
      </c>
      <c r="G115" s="73" t="n">
        <v>32.1</v>
      </c>
      <c r="H115" s="73" t="n">
        <v>98</v>
      </c>
      <c r="I115" s="84" t="n"/>
      <c r="J115" s="84" t="n"/>
      <c r="K115" s="84" t="n"/>
    </row>
    <row r="116" ht="15" customHeight="1" s="101">
      <c r="A116" s="74" t="inlineStr">
        <is>
          <t>DS</t>
        </is>
      </c>
      <c r="B116" s="74" t="inlineStr">
        <is>
          <t>2018-2019</t>
        </is>
      </c>
      <c r="C116" s="74" t="inlineStr">
        <is>
          <t>Palay</t>
        </is>
      </c>
      <c r="D116" s="74" t="inlineStr">
        <is>
          <t>Planting</t>
        </is>
      </c>
      <c r="E116" s="74" t="inlineStr">
        <is>
          <t>San Felipe Sur</t>
        </is>
      </c>
      <c r="F116" s="75" t="n">
        <v>2</v>
      </c>
      <c r="G116" s="75" t="n">
        <v>32.1</v>
      </c>
      <c r="H116" s="75" t="n">
        <v>115</v>
      </c>
      <c r="I116" s="85" t="n"/>
      <c r="J116" s="85" t="n"/>
      <c r="K116" s="85" t="n"/>
    </row>
    <row r="117" ht="15" customHeight="1" s="101">
      <c r="A117" s="72" t="inlineStr">
        <is>
          <t>DS</t>
        </is>
      </c>
      <c r="B117" s="72" t="inlineStr">
        <is>
          <t>2018-2019</t>
        </is>
      </c>
      <c r="C117" s="72" t="inlineStr">
        <is>
          <t>Palay</t>
        </is>
      </c>
      <c r="D117" s="72" t="inlineStr">
        <is>
          <t>Planting</t>
        </is>
      </c>
      <c r="E117" s="72" t="inlineStr">
        <is>
          <t>Pasileng Sur</t>
        </is>
      </c>
      <c r="F117" s="73" t="n">
        <v>2</v>
      </c>
      <c r="G117" s="73" t="n">
        <v>32.1</v>
      </c>
      <c r="H117" s="73" t="n">
        <v>119</v>
      </c>
      <c r="I117" s="84" t="n"/>
      <c r="J117" s="84" t="n"/>
      <c r="K117" s="84" t="n"/>
    </row>
    <row r="118" ht="15" customHeight="1" s="101">
      <c r="A118" s="74" t="inlineStr">
        <is>
          <t>DS</t>
        </is>
      </c>
      <c r="B118" s="74" t="inlineStr">
        <is>
          <t>2018-2019</t>
        </is>
      </c>
      <c r="C118" s="74" t="inlineStr">
        <is>
          <t>Palay</t>
        </is>
      </c>
      <c r="D118" s="74" t="inlineStr">
        <is>
          <t>Planting</t>
        </is>
      </c>
      <c r="E118" s="74" t="inlineStr">
        <is>
          <t>Santiago</t>
        </is>
      </c>
      <c r="F118" s="75" t="n">
        <v>2</v>
      </c>
      <c r="G118" s="75" t="n">
        <v>105.76</v>
      </c>
      <c r="H118" s="75" t="n">
        <v>18</v>
      </c>
      <c r="I118" s="85" t="n"/>
      <c r="J118" s="85" t="n"/>
      <c r="K118" s="85" t="n"/>
    </row>
    <row r="119" ht="15" customHeight="1" s="101">
      <c r="A119" s="72" t="inlineStr">
        <is>
          <t>DS</t>
        </is>
      </c>
      <c r="B119" s="72" t="inlineStr">
        <is>
          <t>2018-2019</t>
        </is>
      </c>
      <c r="C119" s="72" t="inlineStr">
        <is>
          <t>Palay</t>
        </is>
      </c>
      <c r="D119" s="72" t="inlineStr">
        <is>
          <t>Planting</t>
        </is>
      </c>
      <c r="E119" s="72" t="inlineStr">
        <is>
          <t>Moreno</t>
        </is>
      </c>
      <c r="F119" s="73" t="n">
        <v>26.19</v>
      </c>
      <c r="G119" s="73" t="n">
        <v>135.56</v>
      </c>
      <c r="H119" s="73" t="n">
        <v>16.56</v>
      </c>
      <c r="I119" s="84" t="n"/>
      <c r="J119" s="84" t="n"/>
      <c r="K119" s="84" t="n"/>
    </row>
    <row r="120" ht="15" customHeight="1" s="101">
      <c r="A120" s="74" t="inlineStr">
        <is>
          <t>DS</t>
        </is>
      </c>
      <c r="B120" s="74" t="inlineStr">
        <is>
          <t>2018-2019</t>
        </is>
      </c>
      <c r="C120" s="74" t="inlineStr">
        <is>
          <t>Palay</t>
        </is>
      </c>
      <c r="D120" s="74" t="inlineStr">
        <is>
          <t>Planting</t>
        </is>
      </c>
      <c r="E120" s="74" t="inlineStr">
        <is>
          <t>Camanggaan</t>
        </is>
      </c>
      <c r="F120" s="75" t="n">
        <v>2</v>
      </c>
      <c r="G120" s="75" t="n">
        <v>87.36</v>
      </c>
      <c r="H120" s="75" t="n">
        <v>22.63</v>
      </c>
      <c r="I120" s="85" t="n"/>
      <c r="J120" s="85" t="n"/>
      <c r="K120" s="85" t="n"/>
    </row>
    <row r="121" ht="15" customHeight="1" s="101">
      <c r="A121" s="72" t="inlineStr">
        <is>
          <t>DS</t>
        </is>
      </c>
      <c r="B121" s="72" t="inlineStr">
        <is>
          <t>2018-2019</t>
        </is>
      </c>
      <c r="C121" s="72" t="inlineStr">
        <is>
          <t>Palay</t>
        </is>
      </c>
      <c r="D121" s="72" t="inlineStr">
        <is>
          <t>Planting</t>
        </is>
      </c>
      <c r="E121" s="72" t="inlineStr">
        <is>
          <t>Bugayong</t>
        </is>
      </c>
      <c r="F121" s="73" t="n">
        <v>2</v>
      </c>
      <c r="G121" s="73" t="n">
        <v>41.02</v>
      </c>
      <c r="H121" s="73" t="n">
        <v>12.25</v>
      </c>
      <c r="I121" s="84" t="n"/>
      <c r="J121" s="84" t="n"/>
      <c r="K121" s="84" t="n"/>
    </row>
    <row r="122" ht="15" customHeight="1" s="101">
      <c r="A122" s="74" t="inlineStr">
        <is>
          <t>DS</t>
        </is>
      </c>
      <c r="B122" s="74" t="inlineStr">
        <is>
          <t>2018-2019</t>
        </is>
      </c>
      <c r="C122" s="74" t="inlineStr">
        <is>
          <t>Palay</t>
        </is>
      </c>
      <c r="D122" s="74" t="inlineStr">
        <is>
          <t>Planting</t>
        </is>
      </c>
      <c r="E122" s="74" t="inlineStr">
        <is>
          <t>Sta. Maria Norte</t>
        </is>
      </c>
      <c r="F122" s="75" t="n">
        <v>2</v>
      </c>
      <c r="G122" s="75" t="n">
        <v>32.1</v>
      </c>
      <c r="H122" s="75" t="n">
        <v>40.47</v>
      </c>
      <c r="I122" s="85" t="n"/>
      <c r="J122" s="85" t="n"/>
      <c r="K122" s="85" t="n"/>
    </row>
    <row r="123" ht="15" customHeight="1" s="101">
      <c r="A123" s="72" t="inlineStr">
        <is>
          <t>DS</t>
        </is>
      </c>
      <c r="B123" s="72" t="inlineStr">
        <is>
          <t>2019-2020</t>
        </is>
      </c>
      <c r="C123" s="72" t="inlineStr">
        <is>
          <t>Palay</t>
        </is>
      </c>
      <c r="D123" s="72" t="inlineStr">
        <is>
          <t>Planting</t>
        </is>
      </c>
      <c r="E123" s="72" t="inlineStr">
        <is>
          <t>Pasileng Norte</t>
        </is>
      </c>
      <c r="F123" s="73" t="n">
        <v>1.85</v>
      </c>
      <c r="G123" s="73" t="n">
        <v>20.7</v>
      </c>
      <c r="H123" s="73" t="n">
        <v>65</v>
      </c>
      <c r="I123" s="84" t="n"/>
      <c r="J123" s="84" t="n"/>
      <c r="K123" s="84" t="n"/>
    </row>
    <row r="124" ht="15" customHeight="1" s="101">
      <c r="A124" s="74" t="inlineStr">
        <is>
          <t>DS</t>
        </is>
      </c>
      <c r="B124" s="74" t="inlineStr">
        <is>
          <t>2019-2020</t>
        </is>
      </c>
      <c r="C124" s="74" t="inlineStr">
        <is>
          <t>Palay</t>
        </is>
      </c>
      <c r="D124" s="74" t="inlineStr">
        <is>
          <t>Planting</t>
        </is>
      </c>
      <c r="E124" s="74" t="inlineStr">
        <is>
          <t>Tabuyoc</t>
        </is>
      </c>
      <c r="F124" s="75" t="n">
        <v>1.55</v>
      </c>
      <c r="G124" s="75" t="n">
        <v>55.64</v>
      </c>
      <c r="H124" s="75" t="n">
        <v>110</v>
      </c>
      <c r="I124" s="85" t="n"/>
      <c r="J124" s="85" t="n"/>
      <c r="K124" s="85" t="n"/>
    </row>
    <row r="125" ht="15" customHeight="1" s="101">
      <c r="A125" s="72" t="inlineStr">
        <is>
          <t>DS</t>
        </is>
      </c>
      <c r="B125" s="72" t="inlineStr">
        <is>
          <t>2019-2020</t>
        </is>
      </c>
      <c r="C125" s="72" t="inlineStr">
        <is>
          <t>Palay</t>
        </is>
      </c>
      <c r="D125" s="72" t="inlineStr">
        <is>
          <t>Planting</t>
        </is>
      </c>
      <c r="E125" s="72" t="inlineStr">
        <is>
          <t>Sumabnit</t>
        </is>
      </c>
      <c r="F125" s="73" t="n">
        <v>1.45</v>
      </c>
      <c r="G125" s="73" t="n">
        <v>81.66</v>
      </c>
      <c r="H125" s="73" t="n">
        <v>60</v>
      </c>
      <c r="I125" s="84" t="n"/>
      <c r="J125" s="84" t="n"/>
      <c r="K125" s="84" t="n"/>
    </row>
    <row r="126" ht="15" customHeight="1" s="101">
      <c r="A126" s="74" t="inlineStr">
        <is>
          <t>DS</t>
        </is>
      </c>
      <c r="B126" s="74" t="inlineStr">
        <is>
          <t>2019-2020</t>
        </is>
      </c>
      <c r="C126" s="74" t="inlineStr">
        <is>
          <t>Palay</t>
        </is>
      </c>
      <c r="D126" s="74" t="inlineStr">
        <is>
          <t>Planting</t>
        </is>
      </c>
      <c r="E126" s="74" t="inlineStr">
        <is>
          <t>Capas</t>
        </is>
      </c>
      <c r="F126" s="75" t="n">
        <v>6.28</v>
      </c>
      <c r="G126" s="75" t="n">
        <v>96.84</v>
      </c>
      <c r="H126" s="75" t="n">
        <v>105</v>
      </c>
      <c r="I126" s="85" t="n"/>
      <c r="J126" s="85" t="n"/>
      <c r="K126" s="85" t="n"/>
    </row>
    <row r="127" ht="15" customHeight="1" s="101">
      <c r="A127" s="72" t="inlineStr">
        <is>
          <t>DS</t>
        </is>
      </c>
      <c r="B127" s="72" t="inlineStr">
        <is>
          <t>2019-2020</t>
        </is>
      </c>
      <c r="C127" s="72" t="inlineStr">
        <is>
          <t>Palay</t>
        </is>
      </c>
      <c r="D127" s="72" t="inlineStr">
        <is>
          <t>Planting</t>
        </is>
      </c>
      <c r="E127" s="72" t="inlineStr">
        <is>
          <t>Mangkasuy</t>
        </is>
      </c>
      <c r="F127" s="73" t="n">
        <v>1.4</v>
      </c>
      <c r="G127" s="73" t="n">
        <v>164</v>
      </c>
      <c r="H127" s="73" t="n">
        <v>50</v>
      </c>
      <c r="I127" s="84" t="n"/>
      <c r="J127" s="84" t="n"/>
      <c r="K127" s="84" t="n"/>
    </row>
    <row r="128" ht="15" customHeight="1" s="101">
      <c r="A128" s="74" t="inlineStr">
        <is>
          <t>DS</t>
        </is>
      </c>
      <c r="B128" s="74" t="inlineStr">
        <is>
          <t>2019-2020</t>
        </is>
      </c>
      <c r="C128" s="74" t="inlineStr">
        <is>
          <t>Palay</t>
        </is>
      </c>
      <c r="D128" s="74" t="inlineStr">
        <is>
          <t>Planting</t>
        </is>
      </c>
      <c r="E128" s="74" t="inlineStr">
        <is>
          <t>San Pablo</t>
        </is>
      </c>
      <c r="F128" s="75" t="n">
        <v>2</v>
      </c>
      <c r="G128" s="75" t="n">
        <v>32.1</v>
      </c>
      <c r="H128" s="75" t="n">
        <v>90</v>
      </c>
      <c r="I128" s="85" t="n"/>
      <c r="J128" s="85" t="n"/>
      <c r="K128" s="85" t="n"/>
    </row>
    <row r="129" ht="15" customHeight="1" s="101">
      <c r="A129" s="72" t="inlineStr">
        <is>
          <t>DS</t>
        </is>
      </c>
      <c r="B129" s="72" t="inlineStr">
        <is>
          <t>2019-2020</t>
        </is>
      </c>
      <c r="C129" s="72" t="inlineStr">
        <is>
          <t>Palay</t>
        </is>
      </c>
      <c r="D129" s="72" t="inlineStr">
        <is>
          <t>Planting</t>
        </is>
      </c>
      <c r="E129" s="72" t="inlineStr">
        <is>
          <t>Balangobong</t>
        </is>
      </c>
      <c r="F129" s="73" t="n">
        <v>1</v>
      </c>
      <c r="G129" s="73" t="n">
        <v>15</v>
      </c>
      <c r="H129" s="73" t="n">
        <v>110</v>
      </c>
      <c r="I129" s="84" t="n"/>
      <c r="J129" s="84" t="n"/>
      <c r="K129" s="84" t="n"/>
    </row>
    <row r="130" ht="15" customHeight="1" s="101">
      <c r="A130" s="74" t="inlineStr">
        <is>
          <t>DS</t>
        </is>
      </c>
      <c r="B130" s="74" t="inlineStr">
        <is>
          <t>2019-2020</t>
        </is>
      </c>
      <c r="C130" s="74" t="inlineStr">
        <is>
          <t>Palay</t>
        </is>
      </c>
      <c r="D130" s="74" t="inlineStr">
        <is>
          <t>Planting</t>
        </is>
      </c>
      <c r="E130" s="74" t="inlineStr">
        <is>
          <t>San Felipe Central</t>
        </is>
      </c>
      <c r="F130" s="75" t="n">
        <v>2</v>
      </c>
      <c r="G130" s="75" t="n">
        <v>32.1</v>
      </c>
      <c r="H130" s="75" t="n">
        <v>98</v>
      </c>
      <c r="I130" s="85" t="n"/>
      <c r="J130" s="85" t="n"/>
      <c r="K130" s="85" t="n"/>
    </row>
    <row r="131" ht="15" customHeight="1" s="101">
      <c r="A131" s="72" t="inlineStr">
        <is>
          <t>DS</t>
        </is>
      </c>
      <c r="B131" s="72" t="inlineStr">
        <is>
          <t>2019-2020</t>
        </is>
      </c>
      <c r="C131" s="72" t="inlineStr">
        <is>
          <t>Palay</t>
        </is>
      </c>
      <c r="D131" s="72" t="inlineStr">
        <is>
          <t>Planting</t>
        </is>
      </c>
      <c r="E131" s="72" t="inlineStr">
        <is>
          <t>San Felipe Sur</t>
        </is>
      </c>
      <c r="F131" s="73" t="n">
        <v>3.4</v>
      </c>
      <c r="G131" s="73" t="n">
        <v>32.1</v>
      </c>
      <c r="H131" s="73" t="n">
        <v>115</v>
      </c>
      <c r="I131" s="84" t="n"/>
      <c r="J131" s="84" t="n"/>
      <c r="K131" s="84" t="n"/>
    </row>
    <row r="132" ht="15" customHeight="1" s="101">
      <c r="A132" s="74" t="inlineStr">
        <is>
          <t>DS</t>
        </is>
      </c>
      <c r="B132" s="74" t="inlineStr">
        <is>
          <t>2019-2020</t>
        </is>
      </c>
      <c r="C132" s="74" t="inlineStr">
        <is>
          <t>Palay</t>
        </is>
      </c>
      <c r="D132" s="74" t="inlineStr">
        <is>
          <t>Planting</t>
        </is>
      </c>
      <c r="E132" s="74" t="inlineStr">
        <is>
          <t>Pasileng Sur</t>
        </is>
      </c>
      <c r="F132" s="75" t="n">
        <v>3</v>
      </c>
      <c r="G132" s="75" t="n">
        <v>32.1</v>
      </c>
      <c r="H132" s="75" t="n">
        <v>119</v>
      </c>
      <c r="I132" s="85" t="n"/>
      <c r="J132" s="85" t="n"/>
      <c r="K132" s="85" t="n"/>
    </row>
    <row r="133" ht="15" customHeight="1" s="101">
      <c r="A133" s="72" t="inlineStr">
        <is>
          <t>DS</t>
        </is>
      </c>
      <c r="B133" s="72" t="inlineStr">
        <is>
          <t>2019-2020</t>
        </is>
      </c>
      <c r="C133" s="72" t="inlineStr">
        <is>
          <t>Palay</t>
        </is>
      </c>
      <c r="D133" s="72" t="inlineStr">
        <is>
          <t>Planting</t>
        </is>
      </c>
      <c r="E133" s="72" t="inlineStr">
        <is>
          <t>Santiago</t>
        </is>
      </c>
      <c r="F133" s="73" t="n">
        <v>2</v>
      </c>
      <c r="G133" s="73" t="n">
        <v>85.44</v>
      </c>
      <c r="H133" s="73" t="n">
        <v>18</v>
      </c>
      <c r="I133" s="84" t="n"/>
      <c r="J133" s="84" t="n"/>
      <c r="K133" s="84" t="n"/>
    </row>
    <row r="134" ht="15" customHeight="1" s="101">
      <c r="A134" s="74" t="inlineStr">
        <is>
          <t>DS</t>
        </is>
      </c>
      <c r="B134" s="74" t="inlineStr">
        <is>
          <t>2019-2020</t>
        </is>
      </c>
      <c r="C134" s="74" t="inlineStr">
        <is>
          <t>Palay</t>
        </is>
      </c>
      <c r="D134" s="74" t="inlineStr">
        <is>
          <t>Planting</t>
        </is>
      </c>
      <c r="E134" s="74" t="inlineStr">
        <is>
          <t>Camanggaan</t>
        </is>
      </c>
      <c r="F134" s="75" t="n">
        <v>4.78</v>
      </c>
      <c r="G134" s="75" t="n">
        <v>87.36</v>
      </c>
      <c r="H134" s="75" t="n">
        <v>7.25</v>
      </c>
      <c r="I134" s="85" t="n"/>
      <c r="J134" s="85" t="n"/>
      <c r="K134" s="85" t="n"/>
    </row>
    <row r="135" ht="15" customHeight="1" s="101">
      <c r="A135" s="72" t="inlineStr">
        <is>
          <t>DS</t>
        </is>
      </c>
      <c r="B135" s="72" t="inlineStr">
        <is>
          <t>2019-2020</t>
        </is>
      </c>
      <c r="C135" s="72" t="inlineStr">
        <is>
          <t>Palay</t>
        </is>
      </c>
      <c r="D135" s="72" t="inlineStr">
        <is>
          <t>Planting</t>
        </is>
      </c>
      <c r="E135" s="72" t="inlineStr">
        <is>
          <t>Cili</t>
        </is>
      </c>
      <c r="F135" s="73" t="n">
        <v>12.07</v>
      </c>
      <c r="G135" s="73" t="n">
        <v>35.32</v>
      </c>
      <c r="H135" s="73" t="n">
        <v>4.75</v>
      </c>
      <c r="I135" s="84" t="n"/>
      <c r="J135" s="84" t="n"/>
      <c r="K135" s="84" t="n"/>
    </row>
    <row r="136" ht="15" customHeight="1" s="101">
      <c r="A136" s="74" t="inlineStr">
        <is>
          <t>DS</t>
        </is>
      </c>
      <c r="B136" s="74" t="inlineStr">
        <is>
          <t>2019-2020</t>
        </is>
      </c>
      <c r="C136" s="74" t="inlineStr">
        <is>
          <t>Palay</t>
        </is>
      </c>
      <c r="D136" s="74" t="inlineStr">
        <is>
          <t>Planting</t>
        </is>
      </c>
      <c r="E136" s="74" t="inlineStr">
        <is>
          <t>Moreno</t>
        </is>
      </c>
      <c r="F136" s="75" t="n">
        <v>25.35</v>
      </c>
      <c r="G136" s="75" t="n">
        <v>135.56</v>
      </c>
      <c r="H136" s="75" t="n">
        <v>4.78</v>
      </c>
      <c r="I136" s="85" t="n"/>
      <c r="J136" s="85" t="n"/>
      <c r="K136" s="85" t="n"/>
    </row>
    <row r="137" ht="15" customHeight="1" s="101">
      <c r="A137" s="72" t="inlineStr">
        <is>
          <t>DS</t>
        </is>
      </c>
      <c r="B137" s="72" t="inlineStr">
        <is>
          <t>2019-2020</t>
        </is>
      </c>
      <c r="C137" s="72" t="inlineStr">
        <is>
          <t>Palay</t>
        </is>
      </c>
      <c r="D137" s="72" t="inlineStr">
        <is>
          <t>Planting</t>
        </is>
      </c>
      <c r="E137" s="72" t="inlineStr">
        <is>
          <t>Bugayong</t>
        </is>
      </c>
      <c r="F137" s="73" t="n">
        <v>10.81</v>
      </c>
      <c r="G137" s="73" t="n">
        <v>41.02</v>
      </c>
      <c r="H137" s="73" t="n">
        <v>1.36</v>
      </c>
      <c r="I137" s="84" t="n"/>
      <c r="J137" s="84" t="n"/>
      <c r="K137" s="84" t="n"/>
    </row>
    <row r="138" ht="15" customHeight="1" s="101">
      <c r="A138" s="74" t="inlineStr">
        <is>
          <t>DS</t>
        </is>
      </c>
      <c r="B138" s="74" t="inlineStr">
        <is>
          <t>2019-2020</t>
        </is>
      </c>
      <c r="C138" s="74" t="inlineStr">
        <is>
          <t>Palay</t>
        </is>
      </c>
      <c r="D138" s="74" t="inlineStr">
        <is>
          <t>Planting</t>
        </is>
      </c>
      <c r="E138" s="74" t="inlineStr">
        <is>
          <t>Sta. Maria Norte</t>
        </is>
      </c>
      <c r="F138" s="75" t="n">
        <v>2</v>
      </c>
      <c r="G138" s="75" t="n">
        <v>32.1</v>
      </c>
      <c r="H138" s="75" t="n">
        <v>2.57</v>
      </c>
      <c r="I138" s="85" t="n"/>
      <c r="J138" s="85" t="n"/>
      <c r="K138" s="85" t="n"/>
    </row>
    <row r="139" ht="15" customHeight="1" s="101">
      <c r="A139" s="72" t="inlineStr">
        <is>
          <t>DS</t>
        </is>
      </c>
      <c r="B139" s="72" t="inlineStr">
        <is>
          <t>2022-2023</t>
        </is>
      </c>
      <c r="C139" s="72" t="inlineStr">
        <is>
          <t>Palay</t>
        </is>
      </c>
      <c r="D139" s="72" t="inlineStr">
        <is>
          <t>Planting</t>
        </is>
      </c>
      <c r="E139" s="72" t="inlineStr">
        <is>
          <t>Balangobong</t>
        </is>
      </c>
      <c r="F139" s="73" t="n">
        <v>75.5</v>
      </c>
      <c r="G139" s="73" t="n">
        <v>32.1</v>
      </c>
      <c r="H139" s="73" t="n">
        <v>110</v>
      </c>
      <c r="I139" s="84" t="n"/>
      <c r="J139" s="84" t="n"/>
      <c r="K139" s="84" t="n"/>
    </row>
    <row r="140" ht="15" customHeight="1" s="101">
      <c r="A140" s="74" t="inlineStr">
        <is>
          <t>DS</t>
        </is>
      </c>
      <c r="B140" s="74" t="inlineStr">
        <is>
          <t>2022-2023</t>
        </is>
      </c>
      <c r="C140" s="74" t="inlineStr">
        <is>
          <t>Palay</t>
        </is>
      </c>
      <c r="D140" s="74" t="inlineStr">
        <is>
          <t>Planting</t>
        </is>
      </c>
      <c r="E140" s="74" t="inlineStr">
        <is>
          <t>Bugayong</t>
        </is>
      </c>
      <c r="F140" s="75" t="n">
        <v>21.9</v>
      </c>
      <c r="G140" s="75" t="n">
        <v>43.5</v>
      </c>
      <c r="H140" s="75" t="n">
        <v>2</v>
      </c>
      <c r="I140" s="85" t="n"/>
      <c r="J140" s="85" t="n"/>
      <c r="K140" s="85" t="n"/>
    </row>
    <row r="141" ht="15" customHeight="1" s="101">
      <c r="A141" s="72" t="inlineStr">
        <is>
          <t>DS</t>
        </is>
      </c>
      <c r="B141" s="72" t="inlineStr">
        <is>
          <t>2022-2023</t>
        </is>
      </c>
      <c r="C141" s="72" t="inlineStr">
        <is>
          <t>Palay</t>
        </is>
      </c>
      <c r="D141" s="72" t="inlineStr">
        <is>
          <t>Planting</t>
        </is>
      </c>
      <c r="E141" s="72" t="inlineStr">
        <is>
          <t>Camanggaan</t>
        </is>
      </c>
      <c r="F141" s="73" t="n">
        <v>4.72</v>
      </c>
      <c r="G141" s="73" t="n">
        <v>116.6</v>
      </c>
      <c r="H141" s="73" t="n">
        <v>7</v>
      </c>
      <c r="I141" s="84" t="n"/>
      <c r="J141" s="84" t="n"/>
      <c r="K141" s="84" t="n"/>
    </row>
    <row r="142" ht="15" customHeight="1" s="101">
      <c r="A142" s="74" t="inlineStr">
        <is>
          <t>DS</t>
        </is>
      </c>
      <c r="B142" s="74" t="inlineStr">
        <is>
          <t>2022-2023</t>
        </is>
      </c>
      <c r="C142" s="74" t="inlineStr">
        <is>
          <t>Palay</t>
        </is>
      </c>
      <c r="D142" s="74" t="inlineStr">
        <is>
          <t>Planting</t>
        </is>
      </c>
      <c r="E142" s="74" t="inlineStr">
        <is>
          <t>Capas</t>
        </is>
      </c>
      <c r="F142" s="75" t="n">
        <v>19.4</v>
      </c>
      <c r="G142" s="75" t="n">
        <v>164</v>
      </c>
      <c r="H142" s="75" t="n">
        <v>105</v>
      </c>
      <c r="I142" s="85" t="n"/>
      <c r="J142" s="85" t="n"/>
      <c r="K142" s="85" t="n"/>
    </row>
    <row r="143" ht="15" customHeight="1" s="101">
      <c r="A143" s="72" t="inlineStr">
        <is>
          <t>DS</t>
        </is>
      </c>
      <c r="B143" s="72" t="inlineStr">
        <is>
          <t>2022-2023</t>
        </is>
      </c>
      <c r="C143" s="72" t="inlineStr">
        <is>
          <t>Palay</t>
        </is>
      </c>
      <c r="D143" s="72" t="inlineStr">
        <is>
          <t>Planting</t>
        </is>
      </c>
      <c r="E143" s="72" t="inlineStr">
        <is>
          <t>Mangkasuy</t>
        </is>
      </c>
      <c r="F143" s="73" t="n">
        <v>3</v>
      </c>
      <c r="G143" s="73" t="n">
        <v>164</v>
      </c>
      <c r="H143" s="73" t="n">
        <v>50</v>
      </c>
      <c r="I143" s="84" t="n"/>
      <c r="J143" s="84" t="n"/>
      <c r="K143" s="84" t="n"/>
    </row>
    <row r="144" ht="15" customHeight="1" s="101">
      <c r="A144" s="74" t="inlineStr">
        <is>
          <t>DS</t>
        </is>
      </c>
      <c r="B144" s="74" t="inlineStr">
        <is>
          <t>2022-2023</t>
        </is>
      </c>
      <c r="C144" s="74" t="inlineStr">
        <is>
          <t>Palay</t>
        </is>
      </c>
      <c r="D144" s="74" t="inlineStr">
        <is>
          <t>Planting</t>
        </is>
      </c>
      <c r="E144" s="74" t="inlineStr">
        <is>
          <t>Pasileng Norte</t>
        </is>
      </c>
      <c r="F144" s="75" t="n">
        <v>19.55</v>
      </c>
      <c r="G144" s="75" t="n">
        <v>20.7</v>
      </c>
      <c r="H144" s="75" t="n">
        <v>75</v>
      </c>
      <c r="I144" s="85" t="n"/>
      <c r="J144" s="85" t="n"/>
      <c r="K144" s="85" t="n"/>
    </row>
    <row r="145" ht="15" customHeight="1" s="101">
      <c r="A145" s="72" t="inlineStr">
        <is>
          <t>DS</t>
        </is>
      </c>
      <c r="B145" s="72" t="inlineStr">
        <is>
          <t>2022-2023</t>
        </is>
      </c>
      <c r="C145" s="72" t="inlineStr">
        <is>
          <t>Palay</t>
        </is>
      </c>
      <c r="D145" s="72" t="inlineStr">
        <is>
          <t>Planting</t>
        </is>
      </c>
      <c r="E145" s="72" t="inlineStr">
        <is>
          <t>Pasileng Sur</t>
        </is>
      </c>
      <c r="F145" s="73" t="n">
        <v>31.77</v>
      </c>
      <c r="G145" s="73" t="n">
        <v>26.4</v>
      </c>
      <c r="H145" s="73" t="n">
        <v>120</v>
      </c>
      <c r="I145" s="84" t="n"/>
      <c r="J145" s="84" t="n"/>
      <c r="K145" s="84" t="n"/>
    </row>
    <row r="146" ht="15" customHeight="1" s="101">
      <c r="A146" s="74" t="inlineStr">
        <is>
          <t>DS</t>
        </is>
      </c>
      <c r="B146" s="74" t="inlineStr">
        <is>
          <t>2022-2023</t>
        </is>
      </c>
      <c r="C146" s="74" t="inlineStr">
        <is>
          <t>Palay</t>
        </is>
      </c>
      <c r="D146" s="74" t="inlineStr">
        <is>
          <t>Planting</t>
        </is>
      </c>
      <c r="E146" s="74" t="inlineStr">
        <is>
          <t>San Felipe Central</t>
        </is>
      </c>
      <c r="F146" s="75" t="n">
        <v>10</v>
      </c>
      <c r="G146" s="75" t="n">
        <v>32.1</v>
      </c>
      <c r="H146" s="75" t="n">
        <v>100</v>
      </c>
      <c r="I146" s="85" t="n"/>
      <c r="J146" s="85" t="n"/>
      <c r="K146" s="85" t="n"/>
    </row>
    <row r="147" ht="15" customHeight="1" s="101">
      <c r="A147" s="72" t="inlineStr">
        <is>
          <t>DS</t>
        </is>
      </c>
      <c r="B147" s="72" t="inlineStr">
        <is>
          <t>2022-2023</t>
        </is>
      </c>
      <c r="C147" s="72" t="inlineStr">
        <is>
          <t>Palay</t>
        </is>
      </c>
      <c r="D147" s="72" t="inlineStr">
        <is>
          <t>Planting</t>
        </is>
      </c>
      <c r="E147" s="72" t="inlineStr">
        <is>
          <t>San Felipe Sur</t>
        </is>
      </c>
      <c r="F147" s="73" t="n">
        <v>6.8</v>
      </c>
      <c r="G147" s="73" t="n">
        <v>37.8</v>
      </c>
      <c r="H147" s="73" t="n">
        <v>115</v>
      </c>
      <c r="I147" s="84" t="n"/>
      <c r="J147" s="84" t="n"/>
      <c r="K147" s="84" t="n"/>
    </row>
    <row r="148" ht="15" customHeight="1" s="101">
      <c r="A148" s="74" t="inlineStr">
        <is>
          <t>DS</t>
        </is>
      </c>
      <c r="B148" s="74" t="inlineStr">
        <is>
          <t>2022-2023</t>
        </is>
      </c>
      <c r="C148" s="74" t="inlineStr">
        <is>
          <t>Palay</t>
        </is>
      </c>
      <c r="D148" s="74" t="inlineStr">
        <is>
          <t>Planting</t>
        </is>
      </c>
      <c r="E148" s="74" t="inlineStr">
        <is>
          <t>San Pablo</t>
        </is>
      </c>
      <c r="F148" s="75" t="n">
        <v>8.800000000000001</v>
      </c>
      <c r="G148" s="75" t="n">
        <v>43.5</v>
      </c>
      <c r="H148" s="75" t="n">
        <v>103</v>
      </c>
      <c r="I148" s="85" t="n"/>
      <c r="J148" s="85" t="n"/>
      <c r="K148" s="85" t="n"/>
    </row>
    <row r="149" ht="15" customHeight="1" s="101">
      <c r="A149" s="72" t="inlineStr">
        <is>
          <t>DS</t>
        </is>
      </c>
      <c r="B149" s="72" t="inlineStr">
        <is>
          <t>2022-2023</t>
        </is>
      </c>
      <c r="C149" s="72" t="inlineStr">
        <is>
          <t>Palay</t>
        </is>
      </c>
      <c r="D149" s="72" t="inlineStr">
        <is>
          <t>Planting</t>
        </is>
      </c>
      <c r="E149" s="72" t="inlineStr">
        <is>
          <t>Santiago</t>
        </is>
      </c>
      <c r="F149" s="73" t="n">
        <v>7.8</v>
      </c>
      <c r="G149" s="73" t="n">
        <v>134.2</v>
      </c>
      <c r="H149" s="73" t="n">
        <v>18</v>
      </c>
      <c r="I149" s="84" t="n"/>
      <c r="J149" s="84" t="n"/>
      <c r="K149" s="84" t="n"/>
    </row>
    <row r="150" ht="15" customHeight="1" s="101">
      <c r="A150" s="74" t="inlineStr">
        <is>
          <t>DS</t>
        </is>
      </c>
      <c r="B150" s="74" t="inlineStr">
        <is>
          <t>2022-2023</t>
        </is>
      </c>
      <c r="C150" s="74" t="inlineStr">
        <is>
          <t>Palay</t>
        </is>
      </c>
      <c r="D150" s="74" t="inlineStr">
        <is>
          <t>Planting</t>
        </is>
      </c>
      <c r="E150" s="74" t="inlineStr">
        <is>
          <t>Sta. Catalina</t>
        </is>
      </c>
      <c r="F150" s="75" t="n">
        <v>10.24</v>
      </c>
      <c r="G150" s="75" t="n">
        <v>164</v>
      </c>
      <c r="H150" s="75" t="n">
        <v>9</v>
      </c>
      <c r="I150" s="85" t="n"/>
      <c r="J150" s="85" t="n"/>
      <c r="K150" s="85" t="n"/>
    </row>
    <row r="151" ht="15" customHeight="1" s="101">
      <c r="A151" s="72" t="inlineStr">
        <is>
          <t>DS</t>
        </is>
      </c>
      <c r="B151" s="72" t="inlineStr">
        <is>
          <t>2022-2023</t>
        </is>
      </c>
      <c r="C151" s="72" t="inlineStr">
        <is>
          <t>Palay</t>
        </is>
      </c>
      <c r="D151" s="72" t="inlineStr">
        <is>
          <t>Planting</t>
        </is>
      </c>
      <c r="E151" s="72" t="inlineStr">
        <is>
          <t>Sumabnit</t>
        </is>
      </c>
      <c r="F151" s="73" t="n">
        <v>10.55</v>
      </c>
      <c r="G151" s="73" t="n">
        <v>116.6</v>
      </c>
      <c r="H151" s="73" t="n">
        <v>72</v>
      </c>
      <c r="I151" s="84" t="n"/>
      <c r="J151" s="84" t="n"/>
      <c r="K151" s="84" t="n"/>
    </row>
    <row r="152" ht="15" customHeight="1" s="101">
      <c r="A152" s="74" t="inlineStr">
        <is>
          <t>DS</t>
        </is>
      </c>
      <c r="B152" s="74" t="inlineStr">
        <is>
          <t>2022-2023</t>
        </is>
      </c>
      <c r="C152" s="74" t="inlineStr">
        <is>
          <t>Palay</t>
        </is>
      </c>
      <c r="D152" s="74" t="inlineStr">
        <is>
          <t>Planting</t>
        </is>
      </c>
      <c r="E152" s="74" t="inlineStr">
        <is>
          <t>Tabuyoc</t>
        </is>
      </c>
      <c r="F152" s="75" t="n">
        <v>1.36</v>
      </c>
      <c r="G152" s="75" t="n">
        <v>44.8</v>
      </c>
      <c r="H152" s="75" t="n">
        <v>130</v>
      </c>
      <c r="I152" s="85" t="n"/>
      <c r="J152" s="85" t="n"/>
      <c r="K152" s="85" t="n"/>
    </row>
    <row r="153" ht="15" customHeight="1" s="101">
      <c r="A153" s="72" t="inlineStr">
        <is>
          <t>DS</t>
        </is>
      </c>
      <c r="B153" s="72" t="inlineStr">
        <is>
          <t>2007-2008</t>
        </is>
      </c>
      <c r="C153" s="72" t="inlineStr">
        <is>
          <t>Palay</t>
        </is>
      </c>
      <c r="D153" s="72" t="inlineStr">
        <is>
          <t>Harvest</t>
        </is>
      </c>
      <c r="E153" s="72" t="inlineStr">
        <is>
          <t>Pasileng Norte</t>
        </is>
      </c>
      <c r="F153" s="84" t="n"/>
      <c r="G153" s="84" t="n"/>
      <c r="H153" s="84" t="n"/>
      <c r="I153" s="73" t="n">
        <v>1</v>
      </c>
      <c r="J153" s="73" t="n">
        <v>6</v>
      </c>
      <c r="K153" s="73" t="n">
        <v>6</v>
      </c>
    </row>
    <row r="154" ht="15" customHeight="1" s="101">
      <c r="A154" s="74" t="inlineStr">
        <is>
          <t>DS</t>
        </is>
      </c>
      <c r="B154" s="74" t="inlineStr">
        <is>
          <t>2007-2008</t>
        </is>
      </c>
      <c r="C154" s="74" t="inlineStr">
        <is>
          <t>Palay</t>
        </is>
      </c>
      <c r="D154" s="74" t="inlineStr">
        <is>
          <t>Harvest</t>
        </is>
      </c>
      <c r="E154" s="74" t="inlineStr">
        <is>
          <t>Tabuyoc</t>
        </is>
      </c>
      <c r="F154" s="85" t="n"/>
      <c r="G154" s="85" t="n"/>
      <c r="H154" s="85" t="n"/>
      <c r="I154" s="75" t="n">
        <v>1</v>
      </c>
      <c r="J154" s="75" t="n">
        <v>6.1</v>
      </c>
      <c r="K154" s="75" t="n">
        <v>6.1</v>
      </c>
    </row>
    <row r="155" ht="15" customHeight="1" s="101">
      <c r="A155" s="72" t="inlineStr">
        <is>
          <t>DS</t>
        </is>
      </c>
      <c r="B155" s="72" t="inlineStr">
        <is>
          <t>2007-2008</t>
        </is>
      </c>
      <c r="C155" s="72" t="inlineStr">
        <is>
          <t>Palay</t>
        </is>
      </c>
      <c r="D155" s="72" t="inlineStr">
        <is>
          <t>Harvest</t>
        </is>
      </c>
      <c r="E155" s="72" t="inlineStr">
        <is>
          <t>Bued</t>
        </is>
      </c>
      <c r="F155" s="84" t="n"/>
      <c r="G155" s="84" t="n"/>
      <c r="H155" s="84" t="n"/>
      <c r="I155" s="73" t="n">
        <v>1.05</v>
      </c>
      <c r="J155" s="73" t="n">
        <v>8.4</v>
      </c>
      <c r="K155" s="73" t="n">
        <v>8</v>
      </c>
    </row>
    <row r="156" ht="15" customHeight="1" s="101">
      <c r="A156" s="74" t="inlineStr">
        <is>
          <t>DS</t>
        </is>
      </c>
      <c r="B156" s="74" t="inlineStr">
        <is>
          <t>2007-2008</t>
        </is>
      </c>
      <c r="C156" s="74" t="inlineStr">
        <is>
          <t>Palay</t>
        </is>
      </c>
      <c r="D156" s="74" t="inlineStr">
        <is>
          <t>Harvest</t>
        </is>
      </c>
      <c r="E156" s="74" t="inlineStr">
        <is>
          <t>Dumayat</t>
        </is>
      </c>
      <c r="F156" s="85" t="n"/>
      <c r="G156" s="85" t="n"/>
      <c r="H156" s="85" t="n"/>
      <c r="I156" s="75" t="n">
        <v>1.05</v>
      </c>
      <c r="J156" s="75" t="n">
        <v>8.4</v>
      </c>
      <c r="K156" s="75" t="n">
        <v>8</v>
      </c>
    </row>
    <row r="157" ht="15" customHeight="1" s="101">
      <c r="A157" s="72" t="inlineStr">
        <is>
          <t>DS</t>
        </is>
      </c>
      <c r="B157" s="72" t="inlineStr">
        <is>
          <t>2007-2008</t>
        </is>
      </c>
      <c r="C157" s="72" t="inlineStr">
        <is>
          <t>Palay</t>
        </is>
      </c>
      <c r="D157" s="72" t="inlineStr">
        <is>
          <t>Harvest</t>
        </is>
      </c>
      <c r="E157" s="72" t="inlineStr">
        <is>
          <t>Camanggaan</t>
        </is>
      </c>
      <c r="F157" s="84" t="n"/>
      <c r="G157" s="84" t="n"/>
      <c r="H157" s="84" t="n"/>
      <c r="I157" s="73" t="n">
        <v>1.05</v>
      </c>
      <c r="J157" s="73" t="n">
        <v>8.4</v>
      </c>
      <c r="K157" s="73" t="n">
        <v>8</v>
      </c>
    </row>
    <row r="158" ht="15" customHeight="1" s="101">
      <c r="A158" s="74" t="inlineStr">
        <is>
          <t>DS</t>
        </is>
      </c>
      <c r="B158" s="74" t="inlineStr">
        <is>
          <t>2007-2008</t>
        </is>
      </c>
      <c r="C158" s="74" t="inlineStr">
        <is>
          <t>Palay</t>
        </is>
      </c>
      <c r="D158" s="74" t="inlineStr">
        <is>
          <t>Harvest</t>
        </is>
      </c>
      <c r="E158" s="74" t="inlineStr">
        <is>
          <t>Bugayong</t>
        </is>
      </c>
      <c r="F158" s="85" t="n"/>
      <c r="G158" s="85" t="n"/>
      <c r="H158" s="85" t="n"/>
      <c r="I158" s="75" t="n">
        <v>2</v>
      </c>
      <c r="J158" s="75" t="n">
        <v>11.5</v>
      </c>
      <c r="K158" s="75" t="n">
        <v>5.75</v>
      </c>
    </row>
    <row r="159" ht="15" customHeight="1" s="101">
      <c r="A159" s="72" t="inlineStr">
        <is>
          <t>DS</t>
        </is>
      </c>
      <c r="B159" s="72" t="inlineStr">
        <is>
          <t>2007-2008</t>
        </is>
      </c>
      <c r="C159" s="72" t="inlineStr">
        <is>
          <t>Palay</t>
        </is>
      </c>
      <c r="D159" s="72" t="inlineStr">
        <is>
          <t>Harvest</t>
        </is>
      </c>
      <c r="E159" s="72" t="inlineStr">
        <is>
          <t>Vacante</t>
        </is>
      </c>
      <c r="F159" s="84" t="n"/>
      <c r="G159" s="84" t="n"/>
      <c r="H159" s="84" t="n"/>
      <c r="I159" s="73" t="n">
        <v>2.01</v>
      </c>
      <c r="J159" s="73" t="n">
        <v>16.08</v>
      </c>
      <c r="K159" s="73" t="n">
        <v>8</v>
      </c>
    </row>
    <row r="160" ht="15" customHeight="1" s="101">
      <c r="A160" s="74" t="inlineStr">
        <is>
          <t>DS</t>
        </is>
      </c>
      <c r="B160" s="74" t="inlineStr">
        <is>
          <t>2007-2008</t>
        </is>
      </c>
      <c r="C160" s="74" t="inlineStr">
        <is>
          <t>Palay</t>
        </is>
      </c>
      <c r="D160" s="74" t="inlineStr">
        <is>
          <t>Harvest</t>
        </is>
      </c>
      <c r="E160" s="74" t="inlineStr">
        <is>
          <t>Sta. Catalina</t>
        </is>
      </c>
      <c r="F160" s="85" t="n"/>
      <c r="G160" s="85" t="n"/>
      <c r="H160" s="85" t="n"/>
      <c r="I160" s="75" t="n">
        <v>3.39</v>
      </c>
      <c r="J160" s="75" t="n">
        <v>27.12</v>
      </c>
      <c r="K160" s="75" t="n">
        <v>8</v>
      </c>
    </row>
    <row r="161" ht="15" customHeight="1" s="101">
      <c r="A161" s="72" t="inlineStr">
        <is>
          <t>DS</t>
        </is>
      </c>
      <c r="B161" s="72" t="inlineStr">
        <is>
          <t>2007-2008</t>
        </is>
      </c>
      <c r="C161" s="72" t="inlineStr">
        <is>
          <t>Palay</t>
        </is>
      </c>
      <c r="D161" s="72" t="inlineStr">
        <is>
          <t>Harvest</t>
        </is>
      </c>
      <c r="E161" s="72" t="inlineStr">
        <is>
          <t>Moreno</t>
        </is>
      </c>
      <c r="F161" s="84" t="n"/>
      <c r="G161" s="84" t="n"/>
      <c r="H161" s="84" t="n"/>
      <c r="I161" s="73" t="n">
        <v>3.37</v>
      </c>
      <c r="J161" s="73" t="n">
        <v>26.96</v>
      </c>
      <c r="K161" s="73" t="n">
        <v>8</v>
      </c>
    </row>
    <row r="162" ht="15" customHeight="1" s="101">
      <c r="A162" s="74" t="inlineStr">
        <is>
          <t>DS</t>
        </is>
      </c>
      <c r="B162" s="74" t="inlineStr">
        <is>
          <t>2007-2008</t>
        </is>
      </c>
      <c r="C162" s="74" t="inlineStr">
        <is>
          <t>Palay</t>
        </is>
      </c>
      <c r="D162" s="74" t="inlineStr">
        <is>
          <t>Harvest</t>
        </is>
      </c>
      <c r="E162" s="74" t="inlineStr">
        <is>
          <t>Cili</t>
        </is>
      </c>
      <c r="F162" s="85" t="n"/>
      <c r="G162" s="85" t="n"/>
      <c r="H162" s="85" t="n"/>
      <c r="I162" s="75" t="n">
        <v>1.05</v>
      </c>
      <c r="J162" s="75" t="n">
        <v>8.4</v>
      </c>
      <c r="K162" s="75" t="n">
        <v>8</v>
      </c>
    </row>
    <row r="163" ht="15" customHeight="1" s="101">
      <c r="A163" s="72" t="inlineStr">
        <is>
          <t>DS</t>
        </is>
      </c>
      <c r="B163" s="72" t="inlineStr">
        <is>
          <t>2007-2008</t>
        </is>
      </c>
      <c r="C163" s="72" t="inlineStr">
        <is>
          <t>Palay</t>
        </is>
      </c>
      <c r="D163" s="72" t="inlineStr">
        <is>
          <t>Harvest</t>
        </is>
      </c>
      <c r="E163" s="72" t="inlineStr">
        <is>
          <t>San Pablo</t>
        </is>
      </c>
      <c r="F163" s="84" t="n"/>
      <c r="G163" s="84" t="n"/>
      <c r="H163" s="84" t="n"/>
      <c r="I163" s="73" t="n">
        <v>3</v>
      </c>
      <c r="J163" s="73" t="n">
        <v>19.5</v>
      </c>
      <c r="K163" s="73" t="n">
        <v>6.5</v>
      </c>
    </row>
    <row r="164" ht="15" customHeight="1" s="101">
      <c r="A164" s="74" t="inlineStr">
        <is>
          <t>DS</t>
        </is>
      </c>
      <c r="B164" s="74" t="inlineStr">
        <is>
          <t>2007-2008</t>
        </is>
      </c>
      <c r="C164" s="74" t="inlineStr">
        <is>
          <t>Palay</t>
        </is>
      </c>
      <c r="D164" s="74" t="inlineStr">
        <is>
          <t>Harvest</t>
        </is>
      </c>
      <c r="E164" s="74" t="inlineStr">
        <is>
          <t>Balangobong</t>
        </is>
      </c>
      <c r="F164" s="85" t="n"/>
      <c r="G164" s="85" t="n"/>
      <c r="H164" s="85" t="n"/>
      <c r="I164" s="75" t="n">
        <v>2</v>
      </c>
      <c r="J164" s="75" t="n">
        <v>13</v>
      </c>
      <c r="K164" s="75" t="n">
        <v>6.5</v>
      </c>
    </row>
    <row r="165" ht="15" customHeight="1" s="101">
      <c r="A165" s="72" t="inlineStr">
        <is>
          <t>DS</t>
        </is>
      </c>
      <c r="B165" s="72" t="inlineStr">
        <is>
          <t>2007-2008</t>
        </is>
      </c>
      <c r="C165" s="72" t="inlineStr">
        <is>
          <t>Palay</t>
        </is>
      </c>
      <c r="D165" s="72" t="inlineStr">
        <is>
          <t>Harvest</t>
        </is>
      </c>
      <c r="E165" s="72" t="inlineStr">
        <is>
          <t>San Felipe Central</t>
        </is>
      </c>
      <c r="F165" s="84" t="n"/>
      <c r="G165" s="84" t="n"/>
      <c r="H165" s="84" t="n"/>
      <c r="I165" s="73" t="n">
        <v>5</v>
      </c>
      <c r="J165" s="73" t="n">
        <v>30</v>
      </c>
      <c r="K165" s="73" t="n">
        <v>6</v>
      </c>
    </row>
    <row r="166" ht="15" customHeight="1" s="101">
      <c r="A166" s="74" t="inlineStr">
        <is>
          <t>DS</t>
        </is>
      </c>
      <c r="B166" s="74" t="inlineStr">
        <is>
          <t>2007-2008</t>
        </is>
      </c>
      <c r="C166" s="74" t="inlineStr">
        <is>
          <t>Palay</t>
        </is>
      </c>
      <c r="D166" s="74" t="inlineStr">
        <is>
          <t>Harvest</t>
        </is>
      </c>
      <c r="E166" s="74" t="inlineStr">
        <is>
          <t>Sumabnit</t>
        </is>
      </c>
      <c r="F166" s="85" t="n"/>
      <c r="G166" s="85" t="n"/>
      <c r="H166" s="85" t="n"/>
      <c r="I166" s="75" t="n">
        <v>1.89</v>
      </c>
      <c r="J166" s="75" t="n">
        <v>15.12</v>
      </c>
      <c r="K166" s="75" t="n">
        <v>8</v>
      </c>
    </row>
    <row r="167" ht="15" customHeight="1" s="101">
      <c r="A167" s="72" t="inlineStr">
        <is>
          <t>DS</t>
        </is>
      </c>
      <c r="B167" s="72" t="inlineStr">
        <is>
          <t>2007-2008</t>
        </is>
      </c>
      <c r="C167" s="72" t="inlineStr">
        <is>
          <t>Palay</t>
        </is>
      </c>
      <c r="D167" s="72" t="inlineStr">
        <is>
          <t>Harvest</t>
        </is>
      </c>
      <c r="E167" s="72" t="inlineStr">
        <is>
          <t>San Felipe Sur</t>
        </is>
      </c>
      <c r="F167" s="84" t="n"/>
      <c r="G167" s="84" t="n"/>
      <c r="H167" s="84" t="n"/>
      <c r="I167" s="73" t="n">
        <v>3</v>
      </c>
      <c r="J167" s="73" t="n">
        <v>18</v>
      </c>
      <c r="K167" s="73" t="n">
        <v>6</v>
      </c>
    </row>
    <row r="168" ht="15" customHeight="1" s="101">
      <c r="A168" s="74" t="inlineStr">
        <is>
          <t>DS</t>
        </is>
      </c>
      <c r="B168" s="74" t="inlineStr">
        <is>
          <t>2007-2008</t>
        </is>
      </c>
      <c r="C168" s="74" t="inlineStr">
        <is>
          <t>Palay</t>
        </is>
      </c>
      <c r="D168" s="74" t="inlineStr">
        <is>
          <t>Harvest</t>
        </is>
      </c>
      <c r="E168" s="74" t="inlineStr">
        <is>
          <t>Linmansangan</t>
        </is>
      </c>
      <c r="F168" s="85" t="n"/>
      <c r="G168" s="85" t="n"/>
      <c r="H168" s="85" t="n"/>
      <c r="I168" s="75" t="n">
        <v>6</v>
      </c>
      <c r="J168" s="75" t="n">
        <v>33</v>
      </c>
      <c r="K168" s="75" t="n">
        <v>5.5</v>
      </c>
    </row>
    <row r="169" ht="15" customHeight="1" s="101">
      <c r="A169" s="72" t="inlineStr">
        <is>
          <t>DS</t>
        </is>
      </c>
      <c r="B169" s="72" t="inlineStr">
        <is>
          <t>2007-2008</t>
        </is>
      </c>
      <c r="C169" s="72" t="inlineStr">
        <is>
          <t>Palay</t>
        </is>
      </c>
      <c r="D169" s="72" t="inlineStr">
        <is>
          <t>Harvest</t>
        </is>
      </c>
      <c r="E169" s="72" t="inlineStr">
        <is>
          <t>Pasileng Sur</t>
        </is>
      </c>
      <c r="F169" s="84" t="n"/>
      <c r="G169" s="84" t="n"/>
      <c r="H169" s="84" t="n"/>
      <c r="I169" s="73" t="n">
        <v>16</v>
      </c>
      <c r="J169" s="73" t="n">
        <v>120</v>
      </c>
      <c r="K169" s="73" t="n">
        <v>7.5</v>
      </c>
    </row>
    <row r="170" ht="15" customHeight="1" s="101">
      <c r="A170" s="74" t="inlineStr">
        <is>
          <t>DS</t>
        </is>
      </c>
      <c r="B170" s="74" t="inlineStr">
        <is>
          <t>2007-2008</t>
        </is>
      </c>
      <c r="C170" s="74" t="inlineStr">
        <is>
          <t>Palay</t>
        </is>
      </c>
      <c r="D170" s="74" t="inlineStr">
        <is>
          <t>Harvest</t>
        </is>
      </c>
      <c r="E170" s="74" t="inlineStr">
        <is>
          <t>Capas</t>
        </is>
      </c>
      <c r="F170" s="85" t="n"/>
      <c r="G170" s="85" t="n"/>
      <c r="H170" s="85" t="n"/>
      <c r="I170" s="75" t="n">
        <v>1</v>
      </c>
      <c r="J170" s="75" t="n">
        <v>5.5</v>
      </c>
      <c r="K170" s="75" t="n">
        <v>5.5</v>
      </c>
    </row>
    <row r="171" ht="15" customHeight="1" s="101">
      <c r="A171" s="72" t="inlineStr">
        <is>
          <t>DS</t>
        </is>
      </c>
      <c r="B171" s="72" t="inlineStr">
        <is>
          <t>2007-2008</t>
        </is>
      </c>
      <c r="C171" s="72" t="inlineStr">
        <is>
          <t>Palay</t>
        </is>
      </c>
      <c r="D171" s="72" t="inlineStr">
        <is>
          <t>Harvest</t>
        </is>
      </c>
      <c r="E171" s="72" t="inlineStr">
        <is>
          <t>Sta. Maria Norte</t>
        </is>
      </c>
      <c r="F171" s="84" t="n"/>
      <c r="G171" s="84" t="n"/>
      <c r="H171" s="84" t="n"/>
      <c r="I171" s="73" t="n">
        <v>5.34</v>
      </c>
      <c r="J171" s="73" t="n">
        <v>19.64</v>
      </c>
      <c r="K171" s="73" t="n">
        <v>3.68</v>
      </c>
    </row>
    <row r="172" ht="15" customHeight="1" s="101">
      <c r="A172" s="74" t="inlineStr">
        <is>
          <t>DS</t>
        </is>
      </c>
      <c r="B172" s="74" t="inlineStr">
        <is>
          <t>2007-2008</t>
        </is>
      </c>
      <c r="C172" s="74" t="inlineStr">
        <is>
          <t>Palay</t>
        </is>
      </c>
      <c r="D172" s="74" t="inlineStr">
        <is>
          <t>Harvest</t>
        </is>
      </c>
      <c r="E172" s="74" t="inlineStr">
        <is>
          <t>Mangkasuy</t>
        </is>
      </c>
      <c r="F172" s="85" t="n"/>
      <c r="G172" s="85" t="n"/>
      <c r="H172" s="85" t="n"/>
      <c r="I172" s="75" t="n">
        <v>5.11</v>
      </c>
      <c r="J172" s="75" t="n">
        <v>29.92</v>
      </c>
      <c r="K172" s="75" t="n">
        <v>5.86</v>
      </c>
    </row>
    <row r="173" ht="15" customHeight="1" s="101">
      <c r="A173" s="72" t="inlineStr">
        <is>
          <t>DS</t>
        </is>
      </c>
      <c r="B173" s="72" t="inlineStr">
        <is>
          <t>2007-2008</t>
        </is>
      </c>
      <c r="C173" s="72" t="inlineStr">
        <is>
          <t>Palay</t>
        </is>
      </c>
      <c r="D173" s="72" t="inlineStr">
        <is>
          <t>Harvest</t>
        </is>
      </c>
      <c r="E173" s="72" t="inlineStr">
        <is>
          <t>Santiago</t>
        </is>
      </c>
      <c r="F173" s="84" t="n"/>
      <c r="G173" s="84" t="n"/>
      <c r="H173" s="84" t="n"/>
      <c r="I173" s="73" t="n">
        <v>1.71</v>
      </c>
      <c r="J173" s="73" t="n">
        <v>13.68</v>
      </c>
      <c r="K173" s="73" t="n">
        <v>8</v>
      </c>
    </row>
    <row r="174" ht="15" customHeight="1" s="101">
      <c r="A174" s="74" t="inlineStr">
        <is>
          <t>DS</t>
        </is>
      </c>
      <c r="B174" s="74" t="inlineStr">
        <is>
          <t>2008-2009</t>
        </is>
      </c>
      <c r="C174" s="74" t="inlineStr">
        <is>
          <t>Palay</t>
        </is>
      </c>
      <c r="D174" s="74" t="inlineStr">
        <is>
          <t>Harvest</t>
        </is>
      </c>
      <c r="E174" s="74" t="inlineStr">
        <is>
          <t>Pasileng Norte</t>
        </is>
      </c>
      <c r="F174" s="85" t="n"/>
      <c r="G174" s="85" t="n"/>
      <c r="H174" s="85" t="n"/>
      <c r="I174" s="75" t="n">
        <v>3.83</v>
      </c>
      <c r="J174" s="75" t="n">
        <v>15.85</v>
      </c>
      <c r="K174" s="75" t="n">
        <v>4.14</v>
      </c>
    </row>
    <row r="175" ht="15" customHeight="1" s="101">
      <c r="A175" s="72" t="inlineStr">
        <is>
          <t>DS</t>
        </is>
      </c>
      <c r="B175" s="72" t="inlineStr">
        <is>
          <t>2008-2009</t>
        </is>
      </c>
      <c r="C175" s="72" t="inlineStr">
        <is>
          <t>Palay</t>
        </is>
      </c>
      <c r="D175" s="72" t="inlineStr">
        <is>
          <t>Harvest</t>
        </is>
      </c>
      <c r="E175" s="72" t="inlineStr">
        <is>
          <t>Tabuyoc</t>
        </is>
      </c>
      <c r="F175" s="84" t="n"/>
      <c r="G175" s="84" t="n"/>
      <c r="H175" s="84" t="n"/>
      <c r="I175" s="73" t="n">
        <v>1.29</v>
      </c>
      <c r="J175" s="73" t="n">
        <v>10.32</v>
      </c>
      <c r="K175" s="73" t="n">
        <v>8</v>
      </c>
    </row>
    <row r="176" ht="15" customHeight="1" s="101">
      <c r="A176" s="74" t="inlineStr">
        <is>
          <t>DS</t>
        </is>
      </c>
      <c r="B176" s="74" t="inlineStr">
        <is>
          <t>2008-2009</t>
        </is>
      </c>
      <c r="C176" s="74" t="inlineStr">
        <is>
          <t>Palay</t>
        </is>
      </c>
      <c r="D176" s="74" t="inlineStr">
        <is>
          <t>Harvest</t>
        </is>
      </c>
      <c r="E176" s="74" t="inlineStr">
        <is>
          <t>Bued</t>
        </is>
      </c>
      <c r="F176" s="85" t="n"/>
      <c r="G176" s="85" t="n"/>
      <c r="H176" s="85" t="n"/>
      <c r="I176" s="75" t="n">
        <v>1.05</v>
      </c>
      <c r="J176" s="75" t="n">
        <v>8.4</v>
      </c>
      <c r="K176" s="75" t="n">
        <v>8</v>
      </c>
    </row>
    <row r="177" ht="15" customHeight="1" s="101">
      <c r="A177" s="72" t="inlineStr">
        <is>
          <t>DS</t>
        </is>
      </c>
      <c r="B177" s="72" t="inlineStr">
        <is>
          <t>2008-2009</t>
        </is>
      </c>
      <c r="C177" s="72" t="inlineStr">
        <is>
          <t>Palay</t>
        </is>
      </c>
      <c r="D177" s="72" t="inlineStr">
        <is>
          <t>Harvest</t>
        </is>
      </c>
      <c r="E177" s="72" t="inlineStr">
        <is>
          <t>Dumayat</t>
        </is>
      </c>
      <c r="F177" s="84" t="n"/>
      <c r="G177" s="84" t="n"/>
      <c r="H177" s="84" t="n"/>
      <c r="I177" s="73" t="n">
        <v>1.05</v>
      </c>
      <c r="J177" s="73" t="n">
        <v>8.4</v>
      </c>
      <c r="K177" s="73" t="n">
        <v>8</v>
      </c>
    </row>
    <row r="178" ht="15" customHeight="1" s="101">
      <c r="A178" s="74" t="inlineStr">
        <is>
          <t>DS</t>
        </is>
      </c>
      <c r="B178" s="74" t="inlineStr">
        <is>
          <t>2008-2009</t>
        </is>
      </c>
      <c r="C178" s="74" t="inlineStr">
        <is>
          <t>Palay</t>
        </is>
      </c>
      <c r="D178" s="74" t="inlineStr">
        <is>
          <t>Harvest</t>
        </is>
      </c>
      <c r="E178" s="74" t="inlineStr">
        <is>
          <t>Camanggaan</t>
        </is>
      </c>
      <c r="F178" s="85" t="n"/>
      <c r="G178" s="85" t="n"/>
      <c r="H178" s="85" t="n"/>
      <c r="I178" s="75" t="n">
        <v>1.05</v>
      </c>
      <c r="J178" s="75" t="n">
        <v>8.4</v>
      </c>
      <c r="K178" s="75" t="n">
        <v>8</v>
      </c>
    </row>
    <row r="179" ht="15" customHeight="1" s="101">
      <c r="A179" s="72" t="inlineStr">
        <is>
          <t>DS</t>
        </is>
      </c>
      <c r="B179" s="72" t="inlineStr">
        <is>
          <t>2008-2009</t>
        </is>
      </c>
      <c r="C179" s="72" t="inlineStr">
        <is>
          <t>Palay</t>
        </is>
      </c>
      <c r="D179" s="72" t="inlineStr">
        <is>
          <t>Harvest</t>
        </is>
      </c>
      <c r="E179" s="72" t="inlineStr">
        <is>
          <t>Bugayong</t>
        </is>
      </c>
      <c r="F179" s="84" t="n"/>
      <c r="G179" s="84" t="n"/>
      <c r="H179" s="84" t="n"/>
      <c r="I179" s="73" t="n">
        <v>1.29</v>
      </c>
      <c r="J179" s="73" t="n">
        <v>10.32</v>
      </c>
      <c r="K179" s="73" t="n">
        <v>8</v>
      </c>
    </row>
    <row r="180" ht="15" customHeight="1" s="101">
      <c r="A180" s="74" t="inlineStr">
        <is>
          <t>DS</t>
        </is>
      </c>
      <c r="B180" s="74" t="inlineStr">
        <is>
          <t>2008-2009</t>
        </is>
      </c>
      <c r="C180" s="74" t="inlineStr">
        <is>
          <t>Palay</t>
        </is>
      </c>
      <c r="D180" s="74" t="inlineStr">
        <is>
          <t>Harvest</t>
        </is>
      </c>
      <c r="E180" s="74" t="inlineStr">
        <is>
          <t>Vacante</t>
        </is>
      </c>
      <c r="F180" s="85" t="n"/>
      <c r="G180" s="85" t="n"/>
      <c r="H180" s="85" t="n"/>
      <c r="I180" s="75" t="n">
        <v>2.02</v>
      </c>
      <c r="J180" s="75" t="n">
        <v>16.16</v>
      </c>
      <c r="K180" s="75" t="n">
        <v>8</v>
      </c>
    </row>
    <row r="181" ht="15" customHeight="1" s="101">
      <c r="A181" s="72" t="inlineStr">
        <is>
          <t>DS</t>
        </is>
      </c>
      <c r="B181" s="72" t="inlineStr">
        <is>
          <t>2008-2009</t>
        </is>
      </c>
      <c r="C181" s="72" t="inlineStr">
        <is>
          <t>Palay</t>
        </is>
      </c>
      <c r="D181" s="72" t="inlineStr">
        <is>
          <t>Harvest</t>
        </is>
      </c>
      <c r="E181" s="72" t="inlineStr">
        <is>
          <t>Sta. Catalina</t>
        </is>
      </c>
      <c r="F181" s="84" t="n"/>
      <c r="G181" s="84" t="n"/>
      <c r="H181" s="84" t="n"/>
      <c r="I181" s="73" t="n">
        <v>3.4</v>
      </c>
      <c r="J181" s="73" t="n">
        <v>27.2</v>
      </c>
      <c r="K181" s="73" t="n">
        <v>8</v>
      </c>
    </row>
    <row r="182" ht="15" customHeight="1" s="101">
      <c r="A182" s="74" t="inlineStr">
        <is>
          <t>DS</t>
        </is>
      </c>
      <c r="B182" s="74" t="inlineStr">
        <is>
          <t>2008-2009</t>
        </is>
      </c>
      <c r="C182" s="74" t="inlineStr">
        <is>
          <t>Palay</t>
        </is>
      </c>
      <c r="D182" s="74" t="inlineStr">
        <is>
          <t>Harvest</t>
        </is>
      </c>
      <c r="E182" s="74" t="inlineStr">
        <is>
          <t>Moreno</t>
        </is>
      </c>
      <c r="F182" s="85" t="n"/>
      <c r="G182" s="85" t="n"/>
      <c r="H182" s="85" t="n"/>
      <c r="I182" s="75" t="n">
        <v>3.37</v>
      </c>
      <c r="J182" s="75" t="n">
        <v>26.96</v>
      </c>
      <c r="K182" s="75" t="n">
        <v>8</v>
      </c>
    </row>
    <row r="183" ht="15" customHeight="1" s="101">
      <c r="A183" s="72" t="inlineStr">
        <is>
          <t>DS</t>
        </is>
      </c>
      <c r="B183" s="72" t="inlineStr">
        <is>
          <t>2008-2009</t>
        </is>
      </c>
      <c r="C183" s="72" t="inlineStr">
        <is>
          <t>Palay</t>
        </is>
      </c>
      <c r="D183" s="72" t="inlineStr">
        <is>
          <t>Harvest</t>
        </is>
      </c>
      <c r="E183" s="72" t="inlineStr">
        <is>
          <t>Cili</t>
        </is>
      </c>
      <c r="F183" s="84" t="n"/>
      <c r="G183" s="84" t="n"/>
      <c r="H183" s="84" t="n"/>
      <c r="I183" s="73" t="n">
        <v>1.05</v>
      </c>
      <c r="J183" s="73" t="n">
        <v>8.4</v>
      </c>
      <c r="K183" s="73" t="n">
        <v>8</v>
      </c>
    </row>
    <row r="184" ht="15" customHeight="1" s="101">
      <c r="A184" s="74" t="inlineStr">
        <is>
          <t>DS</t>
        </is>
      </c>
      <c r="B184" s="74" t="inlineStr">
        <is>
          <t>2008-2009</t>
        </is>
      </c>
      <c r="C184" s="74" t="inlineStr">
        <is>
          <t>Palay</t>
        </is>
      </c>
      <c r="D184" s="74" t="inlineStr">
        <is>
          <t>Harvest</t>
        </is>
      </c>
      <c r="E184" s="74" t="inlineStr">
        <is>
          <t>San Pablo</t>
        </is>
      </c>
      <c r="F184" s="85" t="n"/>
      <c r="G184" s="85" t="n"/>
      <c r="H184" s="85" t="n"/>
      <c r="I184" s="75" t="n">
        <v>5.11</v>
      </c>
      <c r="J184" s="75" t="n">
        <v>18.2</v>
      </c>
      <c r="K184" s="75" t="n">
        <v>3.56</v>
      </c>
    </row>
    <row r="185" ht="15" customHeight="1" s="101">
      <c r="A185" s="72" t="inlineStr">
        <is>
          <t>DS</t>
        </is>
      </c>
      <c r="B185" s="72" t="inlineStr">
        <is>
          <t>2008-2009</t>
        </is>
      </c>
      <c r="C185" s="72" t="inlineStr">
        <is>
          <t>Palay</t>
        </is>
      </c>
      <c r="D185" s="72" t="inlineStr">
        <is>
          <t>Harvest</t>
        </is>
      </c>
      <c r="E185" s="72" t="inlineStr">
        <is>
          <t>Balangobong</t>
        </is>
      </c>
      <c r="F185" s="84" t="n"/>
      <c r="G185" s="84" t="n"/>
      <c r="H185" s="84" t="n"/>
      <c r="I185" s="73" t="n">
        <v>1.31</v>
      </c>
      <c r="J185" s="73" t="n">
        <v>10.48</v>
      </c>
      <c r="K185" s="73" t="n">
        <v>8</v>
      </c>
    </row>
    <row r="186" ht="15" customHeight="1" s="101">
      <c r="A186" s="74" t="inlineStr">
        <is>
          <t>DS</t>
        </is>
      </c>
      <c r="B186" s="74" t="inlineStr">
        <is>
          <t>2008-2009</t>
        </is>
      </c>
      <c r="C186" s="74" t="inlineStr">
        <is>
          <t>Palay</t>
        </is>
      </c>
      <c r="D186" s="74" t="inlineStr">
        <is>
          <t>Harvest</t>
        </is>
      </c>
      <c r="E186" s="74" t="inlineStr">
        <is>
          <t>San Felipe Central</t>
        </is>
      </c>
      <c r="F186" s="85" t="n"/>
      <c r="G186" s="85" t="n"/>
      <c r="H186" s="85" t="n"/>
      <c r="I186" s="75" t="n">
        <v>1</v>
      </c>
      <c r="J186" s="75" t="n">
        <v>8</v>
      </c>
      <c r="K186" s="75" t="n">
        <v>8</v>
      </c>
    </row>
    <row r="187" ht="15" customHeight="1" s="101">
      <c r="A187" s="72" t="inlineStr">
        <is>
          <t>DS</t>
        </is>
      </c>
      <c r="B187" s="72" t="inlineStr">
        <is>
          <t>2008-2009</t>
        </is>
      </c>
      <c r="C187" s="72" t="inlineStr">
        <is>
          <t>Palay</t>
        </is>
      </c>
      <c r="D187" s="72" t="inlineStr">
        <is>
          <t>Harvest</t>
        </is>
      </c>
      <c r="E187" s="72" t="inlineStr">
        <is>
          <t>Sumabnit</t>
        </is>
      </c>
      <c r="F187" s="84" t="n"/>
      <c r="G187" s="84" t="n"/>
      <c r="H187" s="84" t="n"/>
      <c r="I187" s="73" t="n">
        <v>1.9</v>
      </c>
      <c r="J187" s="73" t="n">
        <v>15.2</v>
      </c>
      <c r="K187" s="73" t="n">
        <v>8</v>
      </c>
    </row>
    <row r="188" ht="15" customHeight="1" s="101">
      <c r="A188" s="74" t="inlineStr">
        <is>
          <t>DS</t>
        </is>
      </c>
      <c r="B188" s="74" t="inlineStr">
        <is>
          <t>2008-2009</t>
        </is>
      </c>
      <c r="C188" s="74" t="inlineStr">
        <is>
          <t>Palay</t>
        </is>
      </c>
      <c r="D188" s="74" t="inlineStr">
        <is>
          <t>Harvest</t>
        </is>
      </c>
      <c r="E188" s="74" t="inlineStr">
        <is>
          <t>San Felipe Sur</t>
        </is>
      </c>
      <c r="F188" s="85" t="n"/>
      <c r="G188" s="85" t="n"/>
      <c r="H188" s="85" t="n"/>
      <c r="I188" s="75" t="n">
        <v>4.46</v>
      </c>
      <c r="J188" s="75" t="n">
        <v>28.22</v>
      </c>
      <c r="K188" s="75" t="n">
        <v>6.33</v>
      </c>
    </row>
    <row r="189" ht="15" customHeight="1" s="101">
      <c r="A189" s="72" t="inlineStr">
        <is>
          <t>DS</t>
        </is>
      </c>
      <c r="B189" s="72" t="inlineStr">
        <is>
          <t>2008-2009</t>
        </is>
      </c>
      <c r="C189" s="72" t="inlineStr">
        <is>
          <t>Palay</t>
        </is>
      </c>
      <c r="D189" s="72" t="inlineStr">
        <is>
          <t>Harvest</t>
        </is>
      </c>
      <c r="E189" s="72" t="inlineStr">
        <is>
          <t>Linmansangan</t>
        </is>
      </c>
      <c r="F189" s="84" t="n"/>
      <c r="G189" s="84" t="n"/>
      <c r="H189" s="84" t="n"/>
      <c r="I189" s="73" t="n">
        <v>2.64</v>
      </c>
      <c r="J189" s="73" t="n">
        <v>21.12</v>
      </c>
      <c r="K189" s="73" t="n">
        <v>8</v>
      </c>
    </row>
    <row r="190" ht="15" customHeight="1" s="101">
      <c r="A190" s="74" t="inlineStr">
        <is>
          <t>DS</t>
        </is>
      </c>
      <c r="B190" s="74" t="inlineStr">
        <is>
          <t>2008-2009</t>
        </is>
      </c>
      <c r="C190" s="74" t="inlineStr">
        <is>
          <t>Palay</t>
        </is>
      </c>
      <c r="D190" s="74" t="inlineStr">
        <is>
          <t>Harvest</t>
        </is>
      </c>
      <c r="E190" s="74" t="inlineStr">
        <is>
          <t>Pasileng Sur</t>
        </is>
      </c>
      <c r="F190" s="85" t="n"/>
      <c r="G190" s="85" t="n"/>
      <c r="H190" s="85" t="n"/>
      <c r="I190" s="75" t="n">
        <v>6.21</v>
      </c>
      <c r="J190" s="75" t="n">
        <v>33.9</v>
      </c>
      <c r="K190" s="75" t="n">
        <v>5.46</v>
      </c>
    </row>
    <row r="191" ht="15" customHeight="1" s="101">
      <c r="A191" s="72" t="inlineStr">
        <is>
          <t>DS</t>
        </is>
      </c>
      <c r="B191" s="72" t="inlineStr">
        <is>
          <t>2008-2009</t>
        </is>
      </c>
      <c r="C191" s="72" t="inlineStr">
        <is>
          <t>Palay</t>
        </is>
      </c>
      <c r="D191" s="72" t="inlineStr">
        <is>
          <t>Harvest</t>
        </is>
      </c>
      <c r="E191" s="72" t="inlineStr">
        <is>
          <t>Capas</t>
        </is>
      </c>
      <c r="F191" s="84" t="n"/>
      <c r="G191" s="84" t="n"/>
      <c r="H191" s="84" t="n"/>
      <c r="I191" s="73" t="n">
        <v>2.01</v>
      </c>
      <c r="J191" s="73" t="n">
        <v>15.84</v>
      </c>
      <c r="K191" s="73" t="n">
        <v>7.88</v>
      </c>
    </row>
    <row r="192" ht="15" customHeight="1" s="101">
      <c r="A192" s="74" t="inlineStr">
        <is>
          <t>DS</t>
        </is>
      </c>
      <c r="B192" s="74" t="inlineStr">
        <is>
          <t>2008-2009</t>
        </is>
      </c>
      <c r="C192" s="74" t="inlineStr">
        <is>
          <t>Palay</t>
        </is>
      </c>
      <c r="D192" s="74" t="inlineStr">
        <is>
          <t>Harvest</t>
        </is>
      </c>
      <c r="E192" s="74" t="inlineStr">
        <is>
          <t>Sta. Maria Norte</t>
        </is>
      </c>
      <c r="F192" s="85" t="n"/>
      <c r="G192" s="85" t="n"/>
      <c r="H192" s="85" t="n"/>
      <c r="I192" s="75" t="n">
        <v>5.4</v>
      </c>
      <c r="J192" s="75" t="n">
        <v>19.94</v>
      </c>
      <c r="K192" s="75" t="n">
        <v>3.69</v>
      </c>
    </row>
    <row r="193" ht="15" customHeight="1" s="101">
      <c r="A193" s="72" t="inlineStr">
        <is>
          <t>DS</t>
        </is>
      </c>
      <c r="B193" s="72" t="inlineStr">
        <is>
          <t>2008-2009</t>
        </is>
      </c>
      <c r="C193" s="72" t="inlineStr">
        <is>
          <t>Palay</t>
        </is>
      </c>
      <c r="D193" s="72" t="inlineStr">
        <is>
          <t>Harvest</t>
        </is>
      </c>
      <c r="E193" s="72" t="inlineStr">
        <is>
          <t>Mangkasuy</t>
        </is>
      </c>
      <c r="F193" s="84" t="n"/>
      <c r="G193" s="84" t="n"/>
      <c r="H193" s="84" t="n"/>
      <c r="I193" s="73" t="n">
        <v>5.1</v>
      </c>
      <c r="J193" s="73" t="n">
        <v>29.92</v>
      </c>
      <c r="K193" s="73" t="n">
        <v>5.87</v>
      </c>
    </row>
    <row r="194" ht="15" customHeight="1" s="101">
      <c r="A194" s="74" t="inlineStr">
        <is>
          <t>DS</t>
        </is>
      </c>
      <c r="B194" s="74" t="inlineStr">
        <is>
          <t>2008-2009</t>
        </is>
      </c>
      <c r="C194" s="74" t="inlineStr">
        <is>
          <t>Palay</t>
        </is>
      </c>
      <c r="D194" s="74" t="inlineStr">
        <is>
          <t>Harvest</t>
        </is>
      </c>
      <c r="E194" s="74" t="inlineStr">
        <is>
          <t>Santiago</t>
        </is>
      </c>
      <c r="F194" s="85" t="n"/>
      <c r="G194" s="85" t="n"/>
      <c r="H194" s="85" t="n"/>
      <c r="I194" s="75" t="n">
        <v>1.74</v>
      </c>
      <c r="J194" s="75" t="n">
        <v>13.92</v>
      </c>
      <c r="K194" s="75" t="n">
        <v>8</v>
      </c>
    </row>
    <row r="195" ht="15" customHeight="1" s="101">
      <c r="A195" s="72" t="inlineStr">
        <is>
          <t>DS</t>
        </is>
      </c>
      <c r="B195" s="72" t="inlineStr">
        <is>
          <t>2011-2012</t>
        </is>
      </c>
      <c r="C195" s="72" t="inlineStr">
        <is>
          <t>Palay</t>
        </is>
      </c>
      <c r="D195" s="72" t="inlineStr">
        <is>
          <t>Harvest</t>
        </is>
      </c>
      <c r="E195" s="72" t="inlineStr">
        <is>
          <t>Pasileng Norte</t>
        </is>
      </c>
      <c r="F195" s="84" t="n"/>
      <c r="G195" s="84" t="n"/>
      <c r="H195" s="84" t="n"/>
      <c r="I195" s="73" t="n">
        <v>5.51</v>
      </c>
      <c r="J195" s="73" t="n">
        <v>22.63</v>
      </c>
      <c r="K195" s="73" t="n">
        <v>4.11</v>
      </c>
    </row>
    <row r="196" ht="15" customHeight="1" s="101">
      <c r="A196" s="74" t="inlineStr">
        <is>
          <t>DS</t>
        </is>
      </c>
      <c r="B196" s="74" t="inlineStr">
        <is>
          <t>2011-2012</t>
        </is>
      </c>
      <c r="C196" s="74" t="inlineStr">
        <is>
          <t>Palay</t>
        </is>
      </c>
      <c r="D196" s="74" t="inlineStr">
        <is>
          <t>Harvest</t>
        </is>
      </c>
      <c r="E196" s="74" t="inlineStr">
        <is>
          <t>Tabuyoc</t>
        </is>
      </c>
      <c r="F196" s="85" t="n"/>
      <c r="G196" s="85" t="n"/>
      <c r="H196" s="85" t="n"/>
      <c r="I196" s="75" t="n">
        <v>3.56</v>
      </c>
      <c r="J196" s="75" t="n">
        <v>28.48</v>
      </c>
      <c r="K196" s="75" t="n">
        <v>8</v>
      </c>
    </row>
    <row r="197" ht="15" customHeight="1" s="101">
      <c r="A197" s="72" t="inlineStr">
        <is>
          <t>DS</t>
        </is>
      </c>
      <c r="B197" s="72" t="inlineStr">
        <is>
          <t>2011-2012</t>
        </is>
      </c>
      <c r="C197" s="72" t="inlineStr">
        <is>
          <t>Palay</t>
        </is>
      </c>
      <c r="D197" s="72" t="inlineStr">
        <is>
          <t>Harvest</t>
        </is>
      </c>
      <c r="E197" s="72" t="inlineStr">
        <is>
          <t>Camanggaan</t>
        </is>
      </c>
      <c r="F197" s="84" t="n"/>
      <c r="G197" s="84" t="n"/>
      <c r="H197" s="84" t="n"/>
      <c r="I197" s="73" t="n">
        <v>1.05</v>
      </c>
      <c r="J197" s="73" t="n">
        <v>8.4</v>
      </c>
      <c r="K197" s="73" t="n">
        <v>8</v>
      </c>
    </row>
    <row r="198" ht="15" customHeight="1" s="101">
      <c r="A198" s="74" t="inlineStr">
        <is>
          <t>DS</t>
        </is>
      </c>
      <c r="B198" s="74" t="inlineStr">
        <is>
          <t>2011-2012</t>
        </is>
      </c>
      <c r="C198" s="74" t="inlineStr">
        <is>
          <t>Palay</t>
        </is>
      </c>
      <c r="D198" s="74" t="inlineStr">
        <is>
          <t>Harvest</t>
        </is>
      </c>
      <c r="E198" s="74" t="inlineStr">
        <is>
          <t>Cili</t>
        </is>
      </c>
      <c r="F198" s="85" t="n"/>
      <c r="G198" s="85" t="n"/>
      <c r="H198" s="85" t="n"/>
      <c r="I198" s="75" t="n">
        <v>1.05</v>
      </c>
      <c r="J198" s="75" t="n">
        <v>8.4</v>
      </c>
      <c r="K198" s="75" t="n">
        <v>8</v>
      </c>
    </row>
    <row r="199" ht="15" customHeight="1" s="101">
      <c r="A199" s="72" t="inlineStr">
        <is>
          <t>DS</t>
        </is>
      </c>
      <c r="B199" s="72" t="inlineStr">
        <is>
          <t>2011-2012</t>
        </is>
      </c>
      <c r="C199" s="72" t="inlineStr">
        <is>
          <t>Palay</t>
        </is>
      </c>
      <c r="D199" s="72" t="inlineStr">
        <is>
          <t>Harvest</t>
        </is>
      </c>
      <c r="E199" s="72" t="inlineStr">
        <is>
          <t>Sumabnit</t>
        </is>
      </c>
      <c r="F199" s="84" t="n"/>
      <c r="G199" s="84" t="n"/>
      <c r="H199" s="84" t="n"/>
      <c r="I199" s="73" t="n">
        <v>3.7</v>
      </c>
      <c r="J199" s="73" t="n">
        <v>29.6</v>
      </c>
      <c r="K199" s="73" t="n">
        <v>8</v>
      </c>
    </row>
    <row r="200" ht="15" customHeight="1" s="101">
      <c r="A200" s="74" t="inlineStr">
        <is>
          <t>DS</t>
        </is>
      </c>
      <c r="B200" s="74" t="inlineStr">
        <is>
          <t>2011-2012</t>
        </is>
      </c>
      <c r="C200" s="74" t="inlineStr">
        <is>
          <t>Palay</t>
        </is>
      </c>
      <c r="D200" s="74" t="inlineStr">
        <is>
          <t>Harvest</t>
        </is>
      </c>
      <c r="E200" s="74" t="inlineStr">
        <is>
          <t>Capas</t>
        </is>
      </c>
      <c r="F200" s="85" t="n"/>
      <c r="G200" s="85" t="n"/>
      <c r="H200" s="85" t="n"/>
      <c r="I200" s="75" t="n">
        <v>1.05</v>
      </c>
      <c r="J200" s="75" t="n">
        <v>8.4</v>
      </c>
      <c r="K200" s="75" t="n">
        <v>8</v>
      </c>
    </row>
    <row r="201" ht="15" customHeight="1" s="101">
      <c r="A201" s="72" t="inlineStr">
        <is>
          <t>DS</t>
        </is>
      </c>
      <c r="B201" s="72" t="inlineStr">
        <is>
          <t>2011-2012</t>
        </is>
      </c>
      <c r="C201" s="72" t="inlineStr">
        <is>
          <t>Palay</t>
        </is>
      </c>
      <c r="D201" s="72" t="inlineStr">
        <is>
          <t>Harvest</t>
        </is>
      </c>
      <c r="E201" s="72" t="inlineStr">
        <is>
          <t>San Pablo</t>
        </is>
      </c>
      <c r="F201" s="84" t="n"/>
      <c r="G201" s="84" t="n"/>
      <c r="H201" s="84" t="n"/>
      <c r="I201" s="73" t="n">
        <v>3.87</v>
      </c>
      <c r="J201" s="73" t="n">
        <v>23.54</v>
      </c>
      <c r="K201" s="73" t="n">
        <v>6.08</v>
      </c>
    </row>
    <row r="202" ht="15" customHeight="1" s="101">
      <c r="A202" s="74" t="inlineStr">
        <is>
          <t>DS</t>
        </is>
      </c>
      <c r="B202" s="74" t="inlineStr">
        <is>
          <t>2011-2012</t>
        </is>
      </c>
      <c r="C202" s="74" t="inlineStr">
        <is>
          <t>Palay</t>
        </is>
      </c>
      <c r="D202" s="74" t="inlineStr">
        <is>
          <t>Harvest</t>
        </is>
      </c>
      <c r="E202" s="74" t="inlineStr">
        <is>
          <t>Balangobong</t>
        </is>
      </c>
      <c r="F202" s="85" t="n"/>
      <c r="G202" s="85" t="n"/>
      <c r="H202" s="85" t="n"/>
      <c r="I202" s="75" t="n">
        <v>1.49</v>
      </c>
      <c r="J202" s="75" t="n">
        <v>11.92</v>
      </c>
      <c r="K202" s="75" t="n">
        <v>8</v>
      </c>
    </row>
    <row r="203" ht="15" customHeight="1" s="101">
      <c r="A203" s="72" t="inlineStr">
        <is>
          <t>DS</t>
        </is>
      </c>
      <c r="B203" s="72" t="inlineStr">
        <is>
          <t>2011-2012</t>
        </is>
      </c>
      <c r="C203" s="72" t="inlineStr">
        <is>
          <t>Palay</t>
        </is>
      </c>
      <c r="D203" s="72" t="inlineStr">
        <is>
          <t>Harvest</t>
        </is>
      </c>
      <c r="E203" s="72" t="inlineStr">
        <is>
          <t>San Felipe Central</t>
        </is>
      </c>
      <c r="F203" s="84" t="n"/>
      <c r="G203" s="84" t="n"/>
      <c r="H203" s="84" t="n"/>
      <c r="I203" s="73" t="n">
        <v>4.31</v>
      </c>
      <c r="J203" s="73" t="n">
        <v>34.48</v>
      </c>
      <c r="K203" s="73" t="n">
        <v>8</v>
      </c>
    </row>
    <row r="204" ht="15" customHeight="1" s="101">
      <c r="A204" s="74" t="inlineStr">
        <is>
          <t>DS</t>
        </is>
      </c>
      <c r="B204" s="74" t="inlineStr">
        <is>
          <t>2011-2012</t>
        </is>
      </c>
      <c r="C204" s="74" t="inlineStr">
        <is>
          <t>Palay</t>
        </is>
      </c>
      <c r="D204" s="74" t="inlineStr">
        <is>
          <t>Harvest</t>
        </is>
      </c>
      <c r="E204" s="74" t="inlineStr">
        <is>
          <t>San Felipe Sur</t>
        </is>
      </c>
      <c r="F204" s="85" t="n"/>
      <c r="G204" s="85" t="n"/>
      <c r="H204" s="85" t="n"/>
      <c r="I204" s="75" t="n">
        <v>3.02</v>
      </c>
      <c r="J204" s="75" t="n">
        <v>24.16</v>
      </c>
      <c r="K204" s="75" t="n">
        <v>8</v>
      </c>
    </row>
    <row r="205" ht="15" customHeight="1" s="101">
      <c r="A205" s="72" t="inlineStr">
        <is>
          <t>DS</t>
        </is>
      </c>
      <c r="B205" s="72" t="inlineStr">
        <is>
          <t>2011-2012</t>
        </is>
      </c>
      <c r="C205" s="72" t="inlineStr">
        <is>
          <t>Palay</t>
        </is>
      </c>
      <c r="D205" s="72" t="inlineStr">
        <is>
          <t>Harvest</t>
        </is>
      </c>
      <c r="E205" s="72" t="inlineStr">
        <is>
          <t>Pasileng Sur</t>
        </is>
      </c>
      <c r="F205" s="84" t="n"/>
      <c r="G205" s="84" t="n"/>
      <c r="H205" s="84" t="n"/>
      <c r="I205" s="73" t="n">
        <v>4.4</v>
      </c>
      <c r="J205" s="73" t="n">
        <v>35.2</v>
      </c>
      <c r="K205" s="73" t="n">
        <v>8</v>
      </c>
    </row>
    <row r="206" ht="15" customHeight="1" s="101">
      <c r="A206" s="74" t="inlineStr">
        <is>
          <t>DS</t>
        </is>
      </c>
      <c r="B206" s="74" t="inlineStr">
        <is>
          <t>2011-2012</t>
        </is>
      </c>
      <c r="C206" s="74" t="inlineStr">
        <is>
          <t>Palay</t>
        </is>
      </c>
      <c r="D206" s="74" t="inlineStr">
        <is>
          <t>Harvest</t>
        </is>
      </c>
      <c r="E206" s="74" t="inlineStr">
        <is>
          <t>Sta. Maria Norte</t>
        </is>
      </c>
      <c r="F206" s="85" t="n"/>
      <c r="G206" s="85" t="n"/>
      <c r="H206" s="85" t="n"/>
      <c r="I206" s="75" t="n">
        <v>1.86</v>
      </c>
      <c r="J206" s="75" t="n">
        <v>14.88</v>
      </c>
      <c r="K206" s="75" t="n">
        <v>8</v>
      </c>
    </row>
    <row r="207" ht="15" customHeight="1" s="101">
      <c r="A207" s="72" t="inlineStr">
        <is>
          <t>DS</t>
        </is>
      </c>
      <c r="B207" s="72" t="inlineStr">
        <is>
          <t>2011-2012</t>
        </is>
      </c>
      <c r="C207" s="72" t="inlineStr">
        <is>
          <t>Palay</t>
        </is>
      </c>
      <c r="D207" s="72" t="inlineStr">
        <is>
          <t>Harvest</t>
        </is>
      </c>
      <c r="E207" s="72" t="inlineStr">
        <is>
          <t>Bugayong</t>
        </is>
      </c>
      <c r="F207" s="84" t="n"/>
      <c r="G207" s="84" t="n"/>
      <c r="H207" s="84" t="n"/>
      <c r="I207" s="73" t="n">
        <v>1.49</v>
      </c>
      <c r="J207" s="73" t="n">
        <v>11.92</v>
      </c>
      <c r="K207" s="73" t="n">
        <v>8</v>
      </c>
    </row>
    <row r="208" ht="15" customHeight="1" s="101">
      <c r="A208" s="74" t="inlineStr">
        <is>
          <t>DS</t>
        </is>
      </c>
      <c r="B208" s="74" t="inlineStr">
        <is>
          <t>2011-2012</t>
        </is>
      </c>
      <c r="C208" s="74" t="inlineStr">
        <is>
          <t>Palay</t>
        </is>
      </c>
      <c r="D208" s="74" t="inlineStr">
        <is>
          <t>Harvest</t>
        </is>
      </c>
      <c r="E208" s="74" t="inlineStr">
        <is>
          <t>Mangkasuy</t>
        </is>
      </c>
      <c r="F208" s="85" t="n"/>
      <c r="G208" s="85" t="n"/>
      <c r="H208" s="85" t="n"/>
      <c r="I208" s="75" t="n">
        <v>5.37</v>
      </c>
      <c r="J208" s="75" t="n">
        <v>35.25</v>
      </c>
      <c r="K208" s="75" t="n">
        <v>6.56</v>
      </c>
    </row>
    <row r="209" ht="15" customHeight="1" s="101">
      <c r="A209" s="72" t="inlineStr">
        <is>
          <t>DS</t>
        </is>
      </c>
      <c r="B209" s="72" t="inlineStr">
        <is>
          <t>2011-2012</t>
        </is>
      </c>
      <c r="C209" s="72" t="inlineStr">
        <is>
          <t>Palay</t>
        </is>
      </c>
      <c r="D209" s="72" t="inlineStr">
        <is>
          <t>Harvest</t>
        </is>
      </c>
      <c r="E209" s="72" t="inlineStr">
        <is>
          <t>Santiago</t>
        </is>
      </c>
      <c r="F209" s="84" t="n"/>
      <c r="G209" s="84" t="n"/>
      <c r="H209" s="84" t="n"/>
      <c r="I209" s="73" t="n">
        <v>3.32</v>
      </c>
      <c r="J209" s="73" t="n">
        <v>26.56</v>
      </c>
      <c r="K209" s="73" t="n">
        <v>8</v>
      </c>
    </row>
    <row r="210" ht="15" customHeight="1" s="101">
      <c r="A210" s="74" t="inlineStr">
        <is>
          <t>DS</t>
        </is>
      </c>
      <c r="B210" s="74" t="inlineStr">
        <is>
          <t>2012-2013</t>
        </is>
      </c>
      <c r="C210" s="74" t="inlineStr">
        <is>
          <t>Palay</t>
        </is>
      </c>
      <c r="D210" s="74" t="inlineStr">
        <is>
          <t>Harvest</t>
        </is>
      </c>
      <c r="E210" s="74" t="inlineStr">
        <is>
          <t>Pasileng Norte</t>
        </is>
      </c>
      <c r="F210" s="85" t="n"/>
      <c r="G210" s="85" t="n"/>
      <c r="H210" s="85" t="n"/>
      <c r="I210" s="75" t="n">
        <v>2.77</v>
      </c>
      <c r="J210" s="75" t="n">
        <v>22.16</v>
      </c>
      <c r="K210" s="75" t="n">
        <v>8</v>
      </c>
    </row>
    <row r="211" ht="15" customHeight="1" s="101">
      <c r="A211" s="72" t="inlineStr">
        <is>
          <t>DS</t>
        </is>
      </c>
      <c r="B211" s="72" t="inlineStr">
        <is>
          <t>2012-2013</t>
        </is>
      </c>
      <c r="C211" s="72" t="inlineStr">
        <is>
          <t>Palay</t>
        </is>
      </c>
      <c r="D211" s="72" t="inlineStr">
        <is>
          <t>Harvest</t>
        </is>
      </c>
      <c r="E211" s="72" t="inlineStr">
        <is>
          <t>Tabuyoc</t>
        </is>
      </c>
      <c r="F211" s="84" t="n"/>
      <c r="G211" s="84" t="n"/>
      <c r="H211" s="84" t="n"/>
      <c r="I211" s="73" t="n">
        <v>6.19</v>
      </c>
      <c r="J211" s="73" t="n">
        <v>33.89</v>
      </c>
      <c r="K211" s="73" t="n">
        <v>5.47</v>
      </c>
    </row>
    <row r="212" ht="15" customHeight="1" s="101">
      <c r="A212" s="74" t="inlineStr">
        <is>
          <t>DS</t>
        </is>
      </c>
      <c r="B212" s="74" t="inlineStr">
        <is>
          <t>2012-2013</t>
        </is>
      </c>
      <c r="C212" s="74" t="inlineStr">
        <is>
          <t>Palay</t>
        </is>
      </c>
      <c r="D212" s="74" t="inlineStr">
        <is>
          <t>Harvest</t>
        </is>
      </c>
      <c r="E212" s="74" t="inlineStr">
        <is>
          <t>Camanggaan</t>
        </is>
      </c>
      <c r="F212" s="85" t="n"/>
      <c r="G212" s="85" t="n"/>
      <c r="H212" s="85" t="n"/>
      <c r="I212" s="75" t="n">
        <v>3.19</v>
      </c>
      <c r="J212" s="75" t="n">
        <v>23.39</v>
      </c>
      <c r="K212" s="75" t="n">
        <v>7.33</v>
      </c>
    </row>
    <row r="213" ht="15" customHeight="1" s="101">
      <c r="A213" s="72" t="inlineStr">
        <is>
          <t>DS</t>
        </is>
      </c>
      <c r="B213" s="72" t="inlineStr">
        <is>
          <t>2012-2013</t>
        </is>
      </c>
      <c r="C213" s="72" t="inlineStr">
        <is>
          <t>Palay</t>
        </is>
      </c>
      <c r="D213" s="72" t="inlineStr">
        <is>
          <t>Harvest</t>
        </is>
      </c>
      <c r="E213" s="72" t="inlineStr">
        <is>
          <t>Cili</t>
        </is>
      </c>
      <c r="F213" s="84" t="n"/>
      <c r="G213" s="84" t="n"/>
      <c r="H213" s="84" t="n"/>
      <c r="I213" s="73" t="n">
        <v>1.05</v>
      </c>
      <c r="J213" s="73" t="n">
        <v>8.4</v>
      </c>
      <c r="K213" s="73" t="n">
        <v>8</v>
      </c>
    </row>
    <row r="214" ht="15" customHeight="1" s="101">
      <c r="A214" s="74" t="inlineStr">
        <is>
          <t>DS</t>
        </is>
      </c>
      <c r="B214" s="74" t="inlineStr">
        <is>
          <t>2012-2013</t>
        </is>
      </c>
      <c r="C214" s="74" t="inlineStr">
        <is>
          <t>Palay</t>
        </is>
      </c>
      <c r="D214" s="74" t="inlineStr">
        <is>
          <t>Harvest</t>
        </is>
      </c>
      <c r="E214" s="74" t="inlineStr">
        <is>
          <t>Sumabnit</t>
        </is>
      </c>
      <c r="F214" s="85" t="n"/>
      <c r="G214" s="85" t="n"/>
      <c r="H214" s="85" t="n"/>
      <c r="I214" s="75" t="n">
        <v>6.13</v>
      </c>
      <c r="J214" s="75" t="n">
        <v>34.61</v>
      </c>
      <c r="K214" s="75" t="n">
        <v>5.65</v>
      </c>
    </row>
    <row r="215" ht="15" customHeight="1" s="101">
      <c r="A215" s="72" t="inlineStr">
        <is>
          <t>DS</t>
        </is>
      </c>
      <c r="B215" s="72" t="inlineStr">
        <is>
          <t>2012-2013</t>
        </is>
      </c>
      <c r="C215" s="72" t="inlineStr">
        <is>
          <t>Palay</t>
        </is>
      </c>
      <c r="D215" s="72" t="inlineStr">
        <is>
          <t>Harvest</t>
        </is>
      </c>
      <c r="E215" s="72" t="inlineStr">
        <is>
          <t>Capas</t>
        </is>
      </c>
      <c r="F215" s="84" t="n"/>
      <c r="G215" s="84" t="n"/>
      <c r="H215" s="84" t="n"/>
      <c r="I215" s="73" t="n">
        <v>3.12</v>
      </c>
      <c r="J215" s="73" t="n">
        <v>23.2</v>
      </c>
      <c r="K215" s="73" t="n">
        <v>7.44</v>
      </c>
    </row>
    <row r="216" ht="15" customHeight="1" s="101">
      <c r="A216" s="74" t="inlineStr">
        <is>
          <t>DS</t>
        </is>
      </c>
      <c r="B216" s="74" t="inlineStr">
        <is>
          <t>2012-2013</t>
        </is>
      </c>
      <c r="C216" s="74" t="inlineStr">
        <is>
          <t>Palay</t>
        </is>
      </c>
      <c r="D216" s="74" t="inlineStr">
        <is>
          <t>Harvest</t>
        </is>
      </c>
      <c r="E216" s="74" t="inlineStr">
        <is>
          <t>San Pablo</t>
        </is>
      </c>
      <c r="F216" s="85" t="n"/>
      <c r="G216" s="85" t="n"/>
      <c r="H216" s="85" t="n"/>
      <c r="I216" s="75" t="n">
        <v>2.82</v>
      </c>
      <c r="J216" s="75" t="n">
        <v>22.56</v>
      </c>
      <c r="K216" s="75" t="n">
        <v>8</v>
      </c>
    </row>
    <row r="217" ht="15" customHeight="1" s="101">
      <c r="A217" s="72" t="inlineStr">
        <is>
          <t>DS</t>
        </is>
      </c>
      <c r="B217" s="72" t="inlineStr">
        <is>
          <t>2012-2013</t>
        </is>
      </c>
      <c r="C217" s="72" t="inlineStr">
        <is>
          <t>Palay</t>
        </is>
      </c>
      <c r="D217" s="72" t="inlineStr">
        <is>
          <t>Harvest</t>
        </is>
      </c>
      <c r="E217" s="72" t="inlineStr">
        <is>
          <t>Balangobong</t>
        </is>
      </c>
      <c r="F217" s="84" t="n"/>
      <c r="G217" s="84" t="n"/>
      <c r="H217" s="84" t="n"/>
      <c r="I217" s="73" t="n">
        <v>7.7</v>
      </c>
      <c r="J217" s="73" t="n">
        <v>13.5</v>
      </c>
      <c r="K217" s="73" t="n">
        <v>1.75</v>
      </c>
    </row>
    <row r="218" ht="15" customHeight="1" s="101">
      <c r="A218" s="74" t="inlineStr">
        <is>
          <t>DS</t>
        </is>
      </c>
      <c r="B218" s="74" t="inlineStr">
        <is>
          <t>2012-2013</t>
        </is>
      </c>
      <c r="C218" s="74" t="inlineStr">
        <is>
          <t>Palay</t>
        </is>
      </c>
      <c r="D218" s="74" t="inlineStr">
        <is>
          <t>Harvest</t>
        </is>
      </c>
      <c r="E218" s="74" t="inlineStr">
        <is>
          <t>San Felipe Central</t>
        </is>
      </c>
      <c r="F218" s="85" t="n"/>
      <c r="G218" s="85" t="n"/>
      <c r="H218" s="85" t="n"/>
      <c r="I218" s="75" t="n">
        <v>4.26</v>
      </c>
      <c r="J218" s="75" t="n">
        <v>34.08</v>
      </c>
      <c r="K218" s="75" t="n">
        <v>8</v>
      </c>
    </row>
    <row r="219" ht="15" customHeight="1" s="101">
      <c r="A219" s="72" t="inlineStr">
        <is>
          <t>DS</t>
        </is>
      </c>
      <c r="B219" s="72" t="inlineStr">
        <is>
          <t>2012-2013</t>
        </is>
      </c>
      <c r="C219" s="72" t="inlineStr">
        <is>
          <t>Palay</t>
        </is>
      </c>
      <c r="D219" s="72" t="inlineStr">
        <is>
          <t>Harvest</t>
        </is>
      </c>
      <c r="E219" s="72" t="inlineStr">
        <is>
          <t>San Felipe Sur</t>
        </is>
      </c>
      <c r="F219" s="84" t="n"/>
      <c r="G219" s="84" t="n"/>
      <c r="H219" s="84" t="n"/>
      <c r="I219" s="73" t="n">
        <v>3.41</v>
      </c>
      <c r="J219" s="73" t="n">
        <v>27.28</v>
      </c>
      <c r="K219" s="73" t="n">
        <v>8</v>
      </c>
    </row>
    <row r="220" ht="15" customHeight="1" s="101">
      <c r="A220" s="74" t="inlineStr">
        <is>
          <t>DS</t>
        </is>
      </c>
      <c r="B220" s="74" t="inlineStr">
        <is>
          <t>2012-2013</t>
        </is>
      </c>
      <c r="C220" s="74" t="inlineStr">
        <is>
          <t>Palay</t>
        </is>
      </c>
      <c r="D220" s="74" t="inlineStr">
        <is>
          <t>Harvest</t>
        </is>
      </c>
      <c r="E220" s="74" t="inlineStr">
        <is>
          <t>Pasileng Sur</t>
        </is>
      </c>
      <c r="F220" s="85" t="n"/>
      <c r="G220" s="85" t="n"/>
      <c r="H220" s="85" t="n"/>
      <c r="I220" s="75" t="n">
        <v>4.35</v>
      </c>
      <c r="J220" s="75" t="n">
        <v>34.8</v>
      </c>
      <c r="K220" s="75" t="n">
        <v>8</v>
      </c>
    </row>
    <row r="221" ht="15" customHeight="1" s="101">
      <c r="A221" s="72" t="inlineStr">
        <is>
          <t>DS</t>
        </is>
      </c>
      <c r="B221" s="72" t="inlineStr">
        <is>
          <t>2012-2013</t>
        </is>
      </c>
      <c r="C221" s="72" t="inlineStr">
        <is>
          <t>Palay</t>
        </is>
      </c>
      <c r="D221" s="72" t="inlineStr">
        <is>
          <t>Harvest</t>
        </is>
      </c>
      <c r="E221" s="72" t="inlineStr">
        <is>
          <t>Sta. Maria Norte</t>
        </is>
      </c>
      <c r="F221" s="84" t="n"/>
      <c r="G221" s="84" t="n"/>
      <c r="H221" s="84" t="n"/>
      <c r="I221" s="73" t="n">
        <v>3.95</v>
      </c>
      <c r="J221" s="73" t="n">
        <v>25.27</v>
      </c>
      <c r="K221" s="73" t="n">
        <v>6.4</v>
      </c>
    </row>
    <row r="222" ht="15" customHeight="1" s="101">
      <c r="A222" s="74" t="inlineStr">
        <is>
          <t>DS</t>
        </is>
      </c>
      <c r="B222" s="74" t="inlineStr">
        <is>
          <t>2012-2013</t>
        </is>
      </c>
      <c r="C222" s="74" t="inlineStr">
        <is>
          <t>Palay</t>
        </is>
      </c>
      <c r="D222" s="74" t="inlineStr">
        <is>
          <t>Harvest</t>
        </is>
      </c>
      <c r="E222" s="74" t="inlineStr">
        <is>
          <t>Bugayong</t>
        </is>
      </c>
      <c r="F222" s="85" t="n"/>
      <c r="G222" s="85" t="n"/>
      <c r="H222" s="85" t="n"/>
      <c r="I222" s="75" t="n">
        <v>3</v>
      </c>
      <c r="J222" s="75" t="n">
        <v>13.5</v>
      </c>
      <c r="K222" s="75" t="n">
        <v>4.5</v>
      </c>
    </row>
    <row r="223" ht="15" customHeight="1" s="101">
      <c r="A223" s="72" t="inlineStr">
        <is>
          <t>DS</t>
        </is>
      </c>
      <c r="B223" s="72" t="inlineStr">
        <is>
          <t>2012-2013</t>
        </is>
      </c>
      <c r="C223" s="72" t="inlineStr">
        <is>
          <t>Palay</t>
        </is>
      </c>
      <c r="D223" s="72" t="inlineStr">
        <is>
          <t>Harvest</t>
        </is>
      </c>
      <c r="E223" s="72" t="inlineStr">
        <is>
          <t>Mangkasuy</t>
        </is>
      </c>
      <c r="F223" s="84" t="n"/>
      <c r="G223" s="84" t="n"/>
      <c r="H223" s="84" t="n"/>
      <c r="I223" s="73" t="n">
        <v>6.14</v>
      </c>
      <c r="J223" s="73" t="n">
        <v>30.76</v>
      </c>
      <c r="K223" s="73" t="n">
        <v>5.01</v>
      </c>
    </row>
    <row r="224" ht="15" customHeight="1" s="101">
      <c r="A224" s="74" t="inlineStr">
        <is>
          <t>DS</t>
        </is>
      </c>
      <c r="B224" s="74" t="inlineStr">
        <is>
          <t>2012-2013</t>
        </is>
      </c>
      <c r="C224" s="74" t="inlineStr">
        <is>
          <t>Palay</t>
        </is>
      </c>
      <c r="D224" s="74" t="inlineStr">
        <is>
          <t>Harvest</t>
        </is>
      </c>
      <c r="E224" s="74" t="inlineStr">
        <is>
          <t>Santiago</t>
        </is>
      </c>
      <c r="F224" s="85" t="n"/>
      <c r="G224" s="85" t="n"/>
      <c r="H224" s="85" t="n"/>
      <c r="I224" s="75" t="n">
        <v>3.8</v>
      </c>
      <c r="J224" s="75" t="n">
        <v>30.4</v>
      </c>
      <c r="K224" s="75" t="n">
        <v>8</v>
      </c>
    </row>
    <row r="225" ht="15" customHeight="1" s="101">
      <c r="A225" s="72" t="inlineStr">
        <is>
          <t>DS</t>
        </is>
      </c>
      <c r="B225" s="72" t="inlineStr">
        <is>
          <t>2013-2014</t>
        </is>
      </c>
      <c r="C225" s="72" t="inlineStr">
        <is>
          <t>Palay</t>
        </is>
      </c>
      <c r="D225" s="72" t="inlineStr">
        <is>
          <t>Harvest</t>
        </is>
      </c>
      <c r="E225" s="72" t="inlineStr">
        <is>
          <t>Pasileng Norte</t>
        </is>
      </c>
      <c r="F225" s="84" t="n"/>
      <c r="G225" s="84" t="n"/>
      <c r="H225" s="84" t="n"/>
      <c r="I225" s="73" t="n">
        <v>6.85</v>
      </c>
      <c r="J225" s="73" t="n">
        <v>36.02</v>
      </c>
      <c r="K225" s="73" t="n">
        <v>5.26</v>
      </c>
    </row>
    <row r="226" ht="15" customHeight="1" s="101">
      <c r="A226" s="74" t="inlineStr">
        <is>
          <t>DS</t>
        </is>
      </c>
      <c r="B226" s="74" t="inlineStr">
        <is>
          <t>2013-2014</t>
        </is>
      </c>
      <c r="C226" s="74" t="inlineStr">
        <is>
          <t>Palay</t>
        </is>
      </c>
      <c r="D226" s="74" t="inlineStr">
        <is>
          <t>Harvest</t>
        </is>
      </c>
      <c r="E226" s="74" t="inlineStr">
        <is>
          <t>Tabuyoc</t>
        </is>
      </c>
      <c r="F226" s="85" t="n"/>
      <c r="G226" s="85" t="n"/>
      <c r="H226" s="85" t="n"/>
      <c r="I226" s="75" t="n">
        <v>6.75</v>
      </c>
      <c r="J226" s="75" t="n">
        <v>35.53</v>
      </c>
      <c r="K226" s="75" t="n">
        <v>5.26</v>
      </c>
    </row>
    <row r="227" ht="15" customHeight="1" s="101">
      <c r="A227" s="72" t="inlineStr">
        <is>
          <t>DS</t>
        </is>
      </c>
      <c r="B227" s="72" t="inlineStr">
        <is>
          <t>2013-2014</t>
        </is>
      </c>
      <c r="C227" s="72" t="inlineStr">
        <is>
          <t>Palay</t>
        </is>
      </c>
      <c r="D227" s="72" t="inlineStr">
        <is>
          <t>Harvest</t>
        </is>
      </c>
      <c r="E227" s="72" t="inlineStr">
        <is>
          <t>Camanggaan</t>
        </is>
      </c>
      <c r="F227" s="84" t="n"/>
      <c r="G227" s="84" t="n"/>
      <c r="H227" s="84" t="n"/>
      <c r="I227" s="73" t="n">
        <v>6.15</v>
      </c>
      <c r="J227" s="73" t="n">
        <v>29.9</v>
      </c>
      <c r="K227" s="73" t="n">
        <v>4.86</v>
      </c>
    </row>
    <row r="228" ht="15" customHeight="1" s="101">
      <c r="A228" s="74" t="inlineStr">
        <is>
          <t>DS</t>
        </is>
      </c>
      <c r="B228" s="74" t="inlineStr">
        <is>
          <t>2013-2014</t>
        </is>
      </c>
      <c r="C228" s="74" t="inlineStr">
        <is>
          <t>Palay</t>
        </is>
      </c>
      <c r="D228" s="74" t="inlineStr">
        <is>
          <t>Harvest</t>
        </is>
      </c>
      <c r="E228" s="74" t="inlineStr">
        <is>
          <t>Sumabnit</t>
        </is>
      </c>
      <c r="F228" s="85" t="n"/>
      <c r="G228" s="85" t="n"/>
      <c r="H228" s="85" t="n"/>
      <c r="I228" s="75" t="n">
        <v>6.37</v>
      </c>
      <c r="J228" s="75" t="n">
        <v>35.79</v>
      </c>
      <c r="K228" s="75" t="n">
        <v>5.62</v>
      </c>
    </row>
    <row r="229" ht="15" customHeight="1" s="101">
      <c r="A229" s="72" t="inlineStr">
        <is>
          <t>DS</t>
        </is>
      </c>
      <c r="B229" s="72" t="inlineStr">
        <is>
          <t>2013-2014</t>
        </is>
      </c>
      <c r="C229" s="72" t="inlineStr">
        <is>
          <t>Palay</t>
        </is>
      </c>
      <c r="D229" s="72" t="inlineStr">
        <is>
          <t>Harvest</t>
        </is>
      </c>
      <c r="E229" s="72" t="inlineStr">
        <is>
          <t>Capas</t>
        </is>
      </c>
      <c r="F229" s="84" t="n"/>
      <c r="G229" s="84" t="n"/>
      <c r="H229" s="84" t="n"/>
      <c r="I229" s="73" t="n">
        <v>6.2</v>
      </c>
      <c r="J229" s="73" t="n">
        <v>30.22</v>
      </c>
      <c r="K229" s="73" t="n">
        <v>4.87</v>
      </c>
    </row>
    <row r="230" ht="15" customHeight="1" s="101">
      <c r="A230" s="74" t="inlineStr">
        <is>
          <t>DS</t>
        </is>
      </c>
      <c r="B230" s="74" t="inlineStr">
        <is>
          <t>2013-2014</t>
        </is>
      </c>
      <c r="C230" s="74" t="inlineStr">
        <is>
          <t>Palay</t>
        </is>
      </c>
      <c r="D230" s="74" t="inlineStr">
        <is>
          <t>Harvest</t>
        </is>
      </c>
      <c r="E230" s="74" t="inlineStr">
        <is>
          <t>San Pablo</t>
        </is>
      </c>
      <c r="F230" s="85" t="n"/>
      <c r="G230" s="85" t="n"/>
      <c r="H230" s="85" t="n"/>
      <c r="I230" s="75" t="n">
        <v>8.970000000000001</v>
      </c>
      <c r="J230" s="75" t="n">
        <v>36.81</v>
      </c>
      <c r="K230" s="75" t="n">
        <v>4.1</v>
      </c>
    </row>
    <row r="231" ht="15" customHeight="1" s="101">
      <c r="A231" s="72" t="inlineStr">
        <is>
          <t>DS</t>
        </is>
      </c>
      <c r="B231" s="72" t="inlineStr">
        <is>
          <t>2013-2014</t>
        </is>
      </c>
      <c r="C231" s="72" t="inlineStr">
        <is>
          <t>Palay</t>
        </is>
      </c>
      <c r="D231" s="72" t="inlineStr">
        <is>
          <t>Harvest</t>
        </is>
      </c>
      <c r="E231" s="72" t="inlineStr">
        <is>
          <t>Balangobong</t>
        </is>
      </c>
      <c r="F231" s="84" t="n"/>
      <c r="G231" s="84" t="n"/>
      <c r="H231" s="84" t="n"/>
      <c r="I231" s="73" t="n">
        <v>8.67</v>
      </c>
      <c r="J231" s="73" t="n">
        <v>19.47</v>
      </c>
      <c r="K231" s="73" t="n">
        <v>2.25</v>
      </c>
    </row>
    <row r="232" ht="15" customHeight="1" s="101">
      <c r="A232" s="74" t="inlineStr">
        <is>
          <t>DS</t>
        </is>
      </c>
      <c r="B232" s="74" t="inlineStr">
        <is>
          <t>2013-2014</t>
        </is>
      </c>
      <c r="C232" s="74" t="inlineStr">
        <is>
          <t>Palay</t>
        </is>
      </c>
      <c r="D232" s="74" t="inlineStr">
        <is>
          <t>Harvest</t>
        </is>
      </c>
      <c r="E232" s="74" t="inlineStr">
        <is>
          <t>San Felipe Sur</t>
        </is>
      </c>
      <c r="F232" s="85" t="n"/>
      <c r="G232" s="85" t="n"/>
      <c r="H232" s="85" t="n"/>
      <c r="I232" s="75" t="n">
        <v>4.3</v>
      </c>
      <c r="J232" s="75" t="n">
        <v>34.4</v>
      </c>
      <c r="K232" s="75" t="n">
        <v>8</v>
      </c>
    </row>
    <row r="233" ht="15" customHeight="1" s="101">
      <c r="A233" s="72" t="inlineStr">
        <is>
          <t>DS</t>
        </is>
      </c>
      <c r="B233" s="72" t="inlineStr">
        <is>
          <t>2013-2014</t>
        </is>
      </c>
      <c r="C233" s="72" t="inlineStr">
        <is>
          <t>Palay</t>
        </is>
      </c>
      <c r="D233" s="72" t="inlineStr">
        <is>
          <t>Harvest</t>
        </is>
      </c>
      <c r="E233" s="72" t="inlineStr">
        <is>
          <t>Pasileng Sur</t>
        </is>
      </c>
      <c r="F233" s="84" t="n"/>
      <c r="G233" s="84" t="n"/>
      <c r="H233" s="84" t="n"/>
      <c r="I233" s="73" t="n">
        <v>4.36</v>
      </c>
      <c r="J233" s="73" t="n">
        <v>34.88</v>
      </c>
      <c r="K233" s="73" t="n">
        <v>8</v>
      </c>
    </row>
    <row r="234" ht="15" customHeight="1" s="101">
      <c r="A234" s="74" t="inlineStr">
        <is>
          <t>DS</t>
        </is>
      </c>
      <c r="B234" s="74" t="inlineStr">
        <is>
          <t>2013-2014</t>
        </is>
      </c>
      <c r="C234" s="74" t="inlineStr">
        <is>
          <t>Palay</t>
        </is>
      </c>
      <c r="D234" s="74" t="inlineStr">
        <is>
          <t>Harvest</t>
        </is>
      </c>
      <c r="E234" s="74" t="inlineStr">
        <is>
          <t>Sta. Maria Norte</t>
        </is>
      </c>
      <c r="F234" s="85" t="n"/>
      <c r="G234" s="85" t="n"/>
      <c r="H234" s="85" t="n"/>
      <c r="I234" s="75" t="n">
        <v>6.28</v>
      </c>
      <c r="J234" s="75" t="n">
        <v>31.75</v>
      </c>
      <c r="K234" s="75" t="n">
        <v>5.06</v>
      </c>
    </row>
    <row r="235" ht="15" customHeight="1" s="101">
      <c r="A235" s="72" t="inlineStr">
        <is>
          <t>DS</t>
        </is>
      </c>
      <c r="B235" s="72" t="inlineStr">
        <is>
          <t>2013-2014</t>
        </is>
      </c>
      <c r="C235" s="72" t="inlineStr">
        <is>
          <t>Palay</t>
        </is>
      </c>
      <c r="D235" s="72" t="inlineStr">
        <is>
          <t>Harvest</t>
        </is>
      </c>
      <c r="E235" s="72" t="inlineStr">
        <is>
          <t>Bugayong</t>
        </is>
      </c>
      <c r="F235" s="84" t="n"/>
      <c r="G235" s="84" t="n"/>
      <c r="H235" s="84" t="n"/>
      <c r="I235" s="73" t="n">
        <v>8.199999999999999</v>
      </c>
      <c r="J235" s="73" t="n">
        <v>24.47</v>
      </c>
      <c r="K235" s="73" t="n">
        <v>2.98</v>
      </c>
    </row>
    <row r="236" ht="15" customHeight="1" s="101">
      <c r="A236" s="74" t="inlineStr">
        <is>
          <t>DS</t>
        </is>
      </c>
      <c r="B236" s="74" t="inlineStr">
        <is>
          <t>2013-2014</t>
        </is>
      </c>
      <c r="C236" s="74" t="inlineStr">
        <is>
          <t>Palay</t>
        </is>
      </c>
      <c r="D236" s="74" t="inlineStr">
        <is>
          <t>Harvest</t>
        </is>
      </c>
      <c r="E236" s="74" t="inlineStr">
        <is>
          <t>Mangkasuy</t>
        </is>
      </c>
      <c r="F236" s="85" t="n"/>
      <c r="G236" s="85" t="n"/>
      <c r="H236" s="85" t="n"/>
      <c r="I236" s="75" t="n">
        <v>22.9</v>
      </c>
      <c r="J236" s="75" t="n">
        <v>113.01</v>
      </c>
      <c r="K236" s="75" t="n">
        <v>4.93</v>
      </c>
    </row>
    <row r="237" ht="15" customHeight="1" s="101">
      <c r="A237" s="72" t="inlineStr">
        <is>
          <t>DS</t>
        </is>
      </c>
      <c r="B237" s="72" t="inlineStr">
        <is>
          <t>2013-2014</t>
        </is>
      </c>
      <c r="C237" s="72" t="inlineStr">
        <is>
          <t>Palay</t>
        </is>
      </c>
      <c r="D237" s="72" t="inlineStr">
        <is>
          <t>Harvest</t>
        </is>
      </c>
      <c r="E237" s="72" t="inlineStr">
        <is>
          <t>Santiago</t>
        </is>
      </c>
      <c r="F237" s="84" t="n"/>
      <c r="G237" s="84" t="n"/>
      <c r="H237" s="84" t="n"/>
      <c r="I237" s="73" t="n">
        <v>6.59</v>
      </c>
      <c r="J237" s="73" t="n">
        <v>35.52</v>
      </c>
      <c r="K237" s="73" t="n">
        <v>5.39</v>
      </c>
    </row>
    <row r="238" ht="15" customHeight="1" s="101">
      <c r="A238" s="74" t="inlineStr">
        <is>
          <t>DS</t>
        </is>
      </c>
      <c r="B238" s="74" t="inlineStr">
        <is>
          <t>2019-2020</t>
        </is>
      </c>
      <c r="C238" s="74" t="inlineStr">
        <is>
          <t>Palay</t>
        </is>
      </c>
      <c r="D238" s="74" t="inlineStr">
        <is>
          <t>Harvest</t>
        </is>
      </c>
      <c r="E238" s="74" t="inlineStr">
        <is>
          <t>Pasileng Norte</t>
        </is>
      </c>
      <c r="F238" s="85" t="n"/>
      <c r="G238" s="85" t="n"/>
      <c r="H238" s="85" t="n"/>
      <c r="I238" s="75" t="n">
        <v>4.85</v>
      </c>
      <c r="J238" s="75" t="n">
        <v>29.41</v>
      </c>
      <c r="K238" s="75" t="n">
        <v>6.06</v>
      </c>
    </row>
    <row r="239" ht="15" customHeight="1" s="101">
      <c r="A239" s="72" t="inlineStr">
        <is>
          <t>DS</t>
        </is>
      </c>
      <c r="B239" s="72" t="inlineStr">
        <is>
          <t>2019-2020</t>
        </is>
      </c>
      <c r="C239" s="72" t="inlineStr">
        <is>
          <t>Palay</t>
        </is>
      </c>
      <c r="D239" s="72" t="inlineStr">
        <is>
          <t>Harvest</t>
        </is>
      </c>
      <c r="E239" s="72" t="inlineStr">
        <is>
          <t>Tabuyoc</t>
        </is>
      </c>
      <c r="F239" s="84" t="n"/>
      <c r="G239" s="84" t="n"/>
      <c r="H239" s="84" t="n"/>
      <c r="I239" s="73" t="n">
        <v>12.55</v>
      </c>
      <c r="J239" s="73" t="n">
        <v>68.22</v>
      </c>
      <c r="K239" s="73" t="n">
        <v>5.44</v>
      </c>
    </row>
    <row r="240" ht="15" customHeight="1" s="101">
      <c r="A240" s="74" t="inlineStr">
        <is>
          <t>DS</t>
        </is>
      </c>
      <c r="B240" s="74" t="inlineStr">
        <is>
          <t>2019-2020</t>
        </is>
      </c>
      <c r="C240" s="74" t="inlineStr">
        <is>
          <t>Palay</t>
        </is>
      </c>
      <c r="D240" s="74" t="inlineStr">
        <is>
          <t>Harvest</t>
        </is>
      </c>
      <c r="E240" s="74" t="inlineStr">
        <is>
          <t>Sumabnit</t>
        </is>
      </c>
      <c r="F240" s="85" t="n"/>
      <c r="G240" s="85" t="n"/>
      <c r="H240" s="85" t="n"/>
      <c r="I240" s="75" t="n">
        <v>5.45</v>
      </c>
      <c r="J240" s="75" t="n">
        <v>28.38</v>
      </c>
      <c r="K240" s="75" t="n">
        <v>5.21</v>
      </c>
    </row>
    <row r="241" ht="15" customHeight="1" s="101">
      <c r="A241" s="72" t="inlineStr">
        <is>
          <t>DS</t>
        </is>
      </c>
      <c r="B241" s="72" t="inlineStr">
        <is>
          <t>2019-2020</t>
        </is>
      </c>
      <c r="C241" s="72" t="inlineStr">
        <is>
          <t>Palay</t>
        </is>
      </c>
      <c r="D241" s="72" t="inlineStr">
        <is>
          <t>Harvest</t>
        </is>
      </c>
      <c r="E241" s="72" t="inlineStr">
        <is>
          <t>Capas</t>
        </is>
      </c>
      <c r="F241" s="84" t="n"/>
      <c r="G241" s="84" t="n"/>
      <c r="H241" s="84" t="n"/>
      <c r="I241" s="73" t="n">
        <v>15</v>
      </c>
      <c r="J241" s="73" t="n">
        <v>74.25</v>
      </c>
      <c r="K241" s="73" t="n">
        <v>4.95</v>
      </c>
    </row>
    <row r="242" ht="15" customHeight="1" s="101">
      <c r="A242" s="74" t="inlineStr">
        <is>
          <t>DS</t>
        </is>
      </c>
      <c r="B242" s="74" t="inlineStr">
        <is>
          <t>2019-2020</t>
        </is>
      </c>
      <c r="C242" s="74" t="inlineStr">
        <is>
          <t>Palay</t>
        </is>
      </c>
      <c r="D242" s="74" t="inlineStr">
        <is>
          <t>Harvest</t>
        </is>
      </c>
      <c r="E242" s="74" t="inlineStr">
        <is>
          <t>Mangkasuy</t>
        </is>
      </c>
      <c r="F242" s="85" t="n"/>
      <c r="G242" s="85" t="n"/>
      <c r="H242" s="85" t="n"/>
      <c r="I242" s="75" t="n">
        <v>6.4</v>
      </c>
      <c r="J242" s="75" t="n">
        <v>34.79</v>
      </c>
      <c r="K242" s="75" t="n">
        <v>5.44</v>
      </c>
    </row>
    <row r="243" ht="15" customHeight="1" s="101">
      <c r="A243" s="72" t="inlineStr">
        <is>
          <t>DS</t>
        </is>
      </c>
      <c r="B243" s="72" t="inlineStr">
        <is>
          <t>2019-2020</t>
        </is>
      </c>
      <c r="C243" s="72" t="inlineStr">
        <is>
          <t>Palay</t>
        </is>
      </c>
      <c r="D243" s="72" t="inlineStr">
        <is>
          <t>Harvest</t>
        </is>
      </c>
      <c r="E243" s="72" t="inlineStr">
        <is>
          <t>San Pablo</t>
        </is>
      </c>
      <c r="F243" s="84" t="n"/>
      <c r="G243" s="84" t="n"/>
      <c r="H243" s="84" t="n"/>
      <c r="I243" s="73" t="n">
        <v>7</v>
      </c>
      <c r="J243" s="73" t="n">
        <v>31.99</v>
      </c>
      <c r="K243" s="73" t="n">
        <v>4.57</v>
      </c>
    </row>
    <row r="244" ht="15" customHeight="1" s="101">
      <c r="A244" s="74" t="inlineStr">
        <is>
          <t>DS</t>
        </is>
      </c>
      <c r="B244" s="74" t="inlineStr">
        <is>
          <t>2019-2020</t>
        </is>
      </c>
      <c r="C244" s="74" t="inlineStr">
        <is>
          <t>Palay</t>
        </is>
      </c>
      <c r="D244" s="74" t="inlineStr">
        <is>
          <t>Harvest</t>
        </is>
      </c>
      <c r="E244" s="74" t="inlineStr">
        <is>
          <t>Balangobong</t>
        </is>
      </c>
      <c r="F244" s="85" t="n"/>
      <c r="G244" s="85" t="n"/>
      <c r="H244" s="85" t="n"/>
      <c r="I244" s="75" t="n">
        <v>14</v>
      </c>
      <c r="J244" s="75" t="n">
        <v>82.01000000000001</v>
      </c>
      <c r="K244" s="75" t="n">
        <v>5.86</v>
      </c>
    </row>
    <row r="245" ht="15" customHeight="1" s="101">
      <c r="A245" s="72" t="inlineStr">
        <is>
          <t>DS</t>
        </is>
      </c>
      <c r="B245" s="72" t="inlineStr">
        <is>
          <t>2019-2020</t>
        </is>
      </c>
      <c r="C245" s="72" t="inlineStr">
        <is>
          <t>Palay</t>
        </is>
      </c>
      <c r="D245" s="72" t="inlineStr">
        <is>
          <t>Harvest</t>
        </is>
      </c>
      <c r="E245" s="72" t="inlineStr">
        <is>
          <t>San Felipe Central</t>
        </is>
      </c>
      <c r="F245" s="84" t="n"/>
      <c r="G245" s="84" t="n"/>
      <c r="H245" s="84" t="n"/>
      <c r="I245" s="73" t="n">
        <v>5</v>
      </c>
      <c r="J245" s="73" t="n">
        <v>25</v>
      </c>
      <c r="K245" s="73" t="n">
        <v>5</v>
      </c>
    </row>
    <row r="246" ht="15" customHeight="1" s="101">
      <c r="A246" s="74" t="inlineStr">
        <is>
          <t>DS</t>
        </is>
      </c>
      <c r="B246" s="74" t="inlineStr">
        <is>
          <t>2019-2020</t>
        </is>
      </c>
      <c r="C246" s="74" t="inlineStr">
        <is>
          <t>Palay</t>
        </is>
      </c>
      <c r="D246" s="74" t="inlineStr">
        <is>
          <t>Harvest</t>
        </is>
      </c>
      <c r="E246" s="74" t="inlineStr">
        <is>
          <t>San Felipe Sur</t>
        </is>
      </c>
      <c r="F246" s="85" t="n"/>
      <c r="G246" s="85" t="n"/>
      <c r="H246" s="85" t="n"/>
      <c r="I246" s="75" t="n">
        <v>26.4</v>
      </c>
      <c r="J246" s="75" t="n">
        <v>131.1</v>
      </c>
      <c r="K246" s="75" t="n">
        <v>4.97</v>
      </c>
    </row>
    <row r="247" ht="15" customHeight="1" s="101">
      <c r="A247" s="72" t="inlineStr">
        <is>
          <t>DS</t>
        </is>
      </c>
      <c r="B247" s="72" t="inlineStr">
        <is>
          <t>2019-2020</t>
        </is>
      </c>
      <c r="C247" s="72" t="inlineStr">
        <is>
          <t>Palay</t>
        </is>
      </c>
      <c r="D247" s="72" t="inlineStr">
        <is>
          <t>Harvest</t>
        </is>
      </c>
      <c r="E247" s="72" t="inlineStr">
        <is>
          <t>Pasileng Sur</t>
        </is>
      </c>
      <c r="F247" s="84" t="n"/>
      <c r="G247" s="84" t="n"/>
      <c r="H247" s="84" t="n"/>
      <c r="I247" s="73" t="n">
        <v>15</v>
      </c>
      <c r="J247" s="73" t="n">
        <v>100.38</v>
      </c>
      <c r="K247" s="73" t="n">
        <v>6.69</v>
      </c>
    </row>
    <row r="248" ht="15" customHeight="1" s="101">
      <c r="A248" s="74" t="inlineStr">
        <is>
          <t>DS</t>
        </is>
      </c>
      <c r="B248" s="74" t="inlineStr">
        <is>
          <t>2019-2020</t>
        </is>
      </c>
      <c r="C248" s="74" t="inlineStr">
        <is>
          <t>Palay</t>
        </is>
      </c>
      <c r="D248" s="74" t="inlineStr">
        <is>
          <t>Harvest</t>
        </is>
      </c>
      <c r="E248" s="74" t="inlineStr">
        <is>
          <t>Santiago</t>
        </is>
      </c>
      <c r="F248" s="85" t="n"/>
      <c r="G248" s="85" t="n"/>
      <c r="H248" s="85" t="n"/>
      <c r="I248" s="75" t="n">
        <v>5.57</v>
      </c>
      <c r="J248" s="75" t="n">
        <v>34.76</v>
      </c>
      <c r="K248" s="75" t="n">
        <v>6.24</v>
      </c>
    </row>
    <row r="249" ht="15" customHeight="1" s="101">
      <c r="A249" s="72" t="inlineStr">
        <is>
          <t>DS</t>
        </is>
      </c>
      <c r="B249" s="72" t="inlineStr">
        <is>
          <t>2019-2020</t>
        </is>
      </c>
      <c r="C249" s="72" t="inlineStr">
        <is>
          <t>Palay</t>
        </is>
      </c>
      <c r="D249" s="72" t="inlineStr">
        <is>
          <t>Harvest</t>
        </is>
      </c>
      <c r="E249" s="72" t="inlineStr">
        <is>
          <t>Camanggaan</t>
        </is>
      </c>
      <c r="F249" s="84" t="n"/>
      <c r="G249" s="84" t="n"/>
      <c r="H249" s="84" t="n"/>
      <c r="I249" s="73" t="n">
        <v>7.15</v>
      </c>
      <c r="J249" s="73" t="n">
        <v>18.64</v>
      </c>
      <c r="K249" s="73" t="n">
        <v>2.61</v>
      </c>
    </row>
    <row r="250" ht="15" customHeight="1" s="101">
      <c r="A250" s="74" t="inlineStr">
        <is>
          <t>DS</t>
        </is>
      </c>
      <c r="B250" s="74" t="inlineStr">
        <is>
          <t>2019-2020</t>
        </is>
      </c>
      <c r="C250" s="74" t="inlineStr">
        <is>
          <t>Palay</t>
        </is>
      </c>
      <c r="D250" s="74" t="inlineStr">
        <is>
          <t>Harvest</t>
        </is>
      </c>
      <c r="E250" s="74" t="inlineStr">
        <is>
          <t>Cili</t>
        </is>
      </c>
      <c r="F250" s="85" t="n"/>
      <c r="G250" s="85" t="n"/>
      <c r="H250" s="85" t="n"/>
      <c r="I250" s="75" t="n">
        <v>8.81</v>
      </c>
      <c r="J250" s="75" t="n">
        <v>23.95</v>
      </c>
      <c r="K250" s="75" t="n">
        <v>2.72</v>
      </c>
    </row>
    <row r="251" ht="15" customHeight="1" s="101">
      <c r="A251" s="72" t="inlineStr">
        <is>
          <t>DS</t>
        </is>
      </c>
      <c r="B251" s="72" t="inlineStr">
        <is>
          <t>2019-2020</t>
        </is>
      </c>
      <c r="C251" s="72" t="inlineStr">
        <is>
          <t>Palay</t>
        </is>
      </c>
      <c r="D251" s="72" t="inlineStr">
        <is>
          <t>Harvest</t>
        </is>
      </c>
      <c r="E251" s="72" t="inlineStr">
        <is>
          <t>Moreno</t>
        </is>
      </c>
      <c r="F251" s="84" t="n"/>
      <c r="G251" s="84" t="n"/>
      <c r="H251" s="84" t="n"/>
      <c r="I251" s="73" t="n">
        <v>3.55</v>
      </c>
      <c r="J251" s="73" t="n">
        <v>28.4</v>
      </c>
      <c r="K251" s="73" t="n">
        <v>8</v>
      </c>
    </row>
    <row r="252" ht="15" customHeight="1" s="101">
      <c r="A252" s="74" t="inlineStr">
        <is>
          <t>DS</t>
        </is>
      </c>
      <c r="B252" s="74" t="inlineStr">
        <is>
          <t>2019-2020</t>
        </is>
      </c>
      <c r="C252" s="74" t="inlineStr">
        <is>
          <t>Palay</t>
        </is>
      </c>
      <c r="D252" s="74" t="inlineStr">
        <is>
          <t>Harvest</t>
        </is>
      </c>
      <c r="E252" s="74" t="inlineStr">
        <is>
          <t>Bugayong</t>
        </is>
      </c>
      <c r="F252" s="85" t="n"/>
      <c r="G252" s="85" t="n"/>
      <c r="H252" s="85" t="n"/>
      <c r="I252" s="75" t="n">
        <v>7.58</v>
      </c>
      <c r="J252" s="75" t="n">
        <v>21.83</v>
      </c>
      <c r="K252" s="75" t="n">
        <v>2.88</v>
      </c>
    </row>
    <row r="253" ht="15" customHeight="1" s="101">
      <c r="A253" s="72" t="inlineStr">
        <is>
          <t>DS</t>
        </is>
      </c>
      <c r="B253" s="72" t="inlineStr">
        <is>
          <t>2019-2020</t>
        </is>
      </c>
      <c r="C253" s="72" t="inlineStr">
        <is>
          <t>Palay</t>
        </is>
      </c>
      <c r="D253" s="72" t="inlineStr">
        <is>
          <t>Harvest</t>
        </is>
      </c>
      <c r="E253" s="72" t="inlineStr">
        <is>
          <t>Sta. Maria Norte</t>
        </is>
      </c>
      <c r="F253" s="84" t="n"/>
      <c r="G253" s="84" t="n"/>
      <c r="H253" s="84" t="n"/>
      <c r="I253" s="73" t="n">
        <v>0.5</v>
      </c>
      <c r="J253" s="73" t="n">
        <v>4</v>
      </c>
      <c r="K253" s="73" t="n">
        <v>8</v>
      </c>
    </row>
    <row r="254" ht="15" customHeight="1" s="101">
      <c r="A254" s="74" t="inlineStr">
        <is>
          <t>DS</t>
        </is>
      </c>
      <c r="B254" s="74" t="inlineStr">
        <is>
          <t>2020-2021</t>
        </is>
      </c>
      <c r="C254" s="74" t="inlineStr">
        <is>
          <t>Palay</t>
        </is>
      </c>
      <c r="D254" s="74" t="inlineStr">
        <is>
          <t>Harvest</t>
        </is>
      </c>
      <c r="E254" s="74" t="inlineStr">
        <is>
          <t>Pasileng Norte</t>
        </is>
      </c>
      <c r="F254" s="85" t="n"/>
      <c r="G254" s="85" t="n"/>
      <c r="H254" s="85" t="n"/>
      <c r="I254" s="75" t="n">
        <v>1.1</v>
      </c>
      <c r="J254" s="75" t="n">
        <v>5.23</v>
      </c>
      <c r="K254" s="75" t="n">
        <v>4.75</v>
      </c>
    </row>
    <row r="255" ht="15" customHeight="1" s="101">
      <c r="A255" s="72" t="inlineStr">
        <is>
          <t>DS</t>
        </is>
      </c>
      <c r="B255" s="72" t="inlineStr">
        <is>
          <t>2020-2021</t>
        </is>
      </c>
      <c r="C255" s="72" t="inlineStr">
        <is>
          <t>Palay</t>
        </is>
      </c>
      <c r="D255" s="72" t="inlineStr">
        <is>
          <t>Harvest</t>
        </is>
      </c>
      <c r="E255" s="72" t="inlineStr">
        <is>
          <t>Tabuyoc</t>
        </is>
      </c>
      <c r="F255" s="84" t="n"/>
      <c r="G255" s="84" t="n"/>
      <c r="H255" s="84" t="n"/>
      <c r="I255" s="73" t="n">
        <v>12.56</v>
      </c>
      <c r="J255" s="73" t="n">
        <v>40.76</v>
      </c>
      <c r="K255" s="73" t="n">
        <v>3.25</v>
      </c>
    </row>
    <row r="256" ht="15" customHeight="1" s="101">
      <c r="A256" s="74" t="inlineStr">
        <is>
          <t>DS</t>
        </is>
      </c>
      <c r="B256" s="74" t="inlineStr">
        <is>
          <t>2020-2021</t>
        </is>
      </c>
      <c r="C256" s="74" t="inlineStr">
        <is>
          <t>Palay</t>
        </is>
      </c>
      <c r="D256" s="74" t="inlineStr">
        <is>
          <t>Harvest</t>
        </is>
      </c>
      <c r="E256" s="74" t="inlineStr">
        <is>
          <t>Camanggaan</t>
        </is>
      </c>
      <c r="F256" s="85" t="n"/>
      <c r="G256" s="85" t="n"/>
      <c r="H256" s="85" t="n"/>
      <c r="I256" s="75" t="n">
        <v>5.46</v>
      </c>
      <c r="J256" s="75" t="n">
        <v>13.5</v>
      </c>
      <c r="K256" s="75" t="n">
        <v>2.47</v>
      </c>
    </row>
    <row r="257" ht="15" customHeight="1" s="101">
      <c r="A257" s="72" t="inlineStr">
        <is>
          <t>DS</t>
        </is>
      </c>
      <c r="B257" s="72" t="inlineStr">
        <is>
          <t>2020-2021</t>
        </is>
      </c>
      <c r="C257" s="72" t="inlineStr">
        <is>
          <t>Palay</t>
        </is>
      </c>
      <c r="D257" s="72" t="inlineStr">
        <is>
          <t>Harvest</t>
        </is>
      </c>
      <c r="E257" s="72" t="inlineStr">
        <is>
          <t>Sta. Catalina</t>
        </is>
      </c>
      <c r="F257" s="84" t="n"/>
      <c r="G257" s="84" t="n"/>
      <c r="H257" s="84" t="n"/>
      <c r="I257" s="73" t="n">
        <v>3.19</v>
      </c>
      <c r="J257" s="73" t="n">
        <v>25.52</v>
      </c>
      <c r="K257" s="73" t="n">
        <v>8</v>
      </c>
    </row>
    <row r="258" ht="15" customHeight="1" s="101">
      <c r="A258" s="74" t="inlineStr">
        <is>
          <t>DS</t>
        </is>
      </c>
      <c r="B258" s="74" t="inlineStr">
        <is>
          <t>2020-2021</t>
        </is>
      </c>
      <c r="C258" s="74" t="inlineStr">
        <is>
          <t>Palay</t>
        </is>
      </c>
      <c r="D258" s="74" t="inlineStr">
        <is>
          <t>Harvest</t>
        </is>
      </c>
      <c r="E258" s="74" t="inlineStr">
        <is>
          <t>Sumabnit</t>
        </is>
      </c>
      <c r="F258" s="85" t="n"/>
      <c r="G258" s="85" t="n"/>
      <c r="H258" s="85" t="n"/>
      <c r="I258" s="75" t="n">
        <v>19.73</v>
      </c>
      <c r="J258" s="75" t="n">
        <v>102.68</v>
      </c>
      <c r="K258" s="75" t="n">
        <v>5.2</v>
      </c>
    </row>
    <row r="259" ht="15" customHeight="1" s="101">
      <c r="A259" s="72" t="inlineStr">
        <is>
          <t>DS</t>
        </is>
      </c>
      <c r="B259" s="72" t="inlineStr">
        <is>
          <t>2020-2021</t>
        </is>
      </c>
      <c r="C259" s="72" t="inlineStr">
        <is>
          <t>Palay</t>
        </is>
      </c>
      <c r="D259" s="72" t="inlineStr">
        <is>
          <t>Harvest</t>
        </is>
      </c>
      <c r="E259" s="72" t="inlineStr">
        <is>
          <t>Capas</t>
        </is>
      </c>
      <c r="F259" s="84" t="n"/>
      <c r="G259" s="84" t="n"/>
      <c r="H259" s="84" t="n"/>
      <c r="I259" s="73" t="n">
        <v>7.87</v>
      </c>
      <c r="J259" s="73" t="n">
        <v>62.96</v>
      </c>
      <c r="K259" s="73" t="n">
        <v>8</v>
      </c>
    </row>
    <row r="260" ht="15" customHeight="1" s="101">
      <c r="A260" s="74" t="inlineStr">
        <is>
          <t>DS</t>
        </is>
      </c>
      <c r="B260" s="74" t="inlineStr">
        <is>
          <t>2020-2021</t>
        </is>
      </c>
      <c r="C260" s="74" t="inlineStr">
        <is>
          <t>Palay</t>
        </is>
      </c>
      <c r="D260" s="74" t="inlineStr">
        <is>
          <t>Harvest</t>
        </is>
      </c>
      <c r="E260" s="74" t="inlineStr">
        <is>
          <t>Mangkasuy</t>
        </is>
      </c>
      <c r="F260" s="85" t="n"/>
      <c r="G260" s="85" t="n"/>
      <c r="H260" s="85" t="n"/>
      <c r="I260" s="75" t="n">
        <v>43.32</v>
      </c>
      <c r="J260" s="75" t="n">
        <v>110.05</v>
      </c>
      <c r="K260" s="75" t="n">
        <v>2.54</v>
      </c>
    </row>
    <row r="261" ht="15" customHeight="1" s="101">
      <c r="A261" s="72" t="inlineStr">
        <is>
          <t>DS</t>
        </is>
      </c>
      <c r="B261" s="72" t="inlineStr">
        <is>
          <t>2020-2021</t>
        </is>
      </c>
      <c r="C261" s="72" t="inlineStr">
        <is>
          <t>Palay</t>
        </is>
      </c>
      <c r="D261" s="72" t="inlineStr">
        <is>
          <t>Harvest</t>
        </is>
      </c>
      <c r="E261" s="72" t="inlineStr">
        <is>
          <t>San Pablo</t>
        </is>
      </c>
      <c r="F261" s="84" t="n"/>
      <c r="G261" s="84" t="n"/>
      <c r="H261" s="84" t="n"/>
      <c r="I261" s="73" t="n">
        <v>8.35</v>
      </c>
      <c r="J261" s="73" t="n">
        <v>66.8</v>
      </c>
      <c r="K261" s="73" t="n">
        <v>8</v>
      </c>
    </row>
    <row r="262" ht="15" customHeight="1" s="101">
      <c r="A262" s="74" t="inlineStr">
        <is>
          <t>DS</t>
        </is>
      </c>
      <c r="B262" s="74" t="inlineStr">
        <is>
          <t>2020-2021</t>
        </is>
      </c>
      <c r="C262" s="74" t="inlineStr">
        <is>
          <t>Palay</t>
        </is>
      </c>
      <c r="D262" s="74" t="inlineStr">
        <is>
          <t>Harvest</t>
        </is>
      </c>
      <c r="E262" s="74" t="inlineStr">
        <is>
          <t>Balangobong</t>
        </is>
      </c>
      <c r="F262" s="85" t="n"/>
      <c r="G262" s="85" t="n"/>
      <c r="H262" s="85" t="n"/>
      <c r="I262" s="75" t="n">
        <v>8.220000000000001</v>
      </c>
      <c r="J262" s="75" t="n">
        <v>65.76000000000001</v>
      </c>
      <c r="K262" s="75" t="n">
        <v>8</v>
      </c>
    </row>
    <row r="263" ht="15" customHeight="1" s="101">
      <c r="A263" s="72" t="inlineStr">
        <is>
          <t>DS</t>
        </is>
      </c>
      <c r="B263" s="72" t="inlineStr">
        <is>
          <t>2020-2021</t>
        </is>
      </c>
      <c r="C263" s="72" t="inlineStr">
        <is>
          <t>Palay</t>
        </is>
      </c>
      <c r="D263" s="72" t="inlineStr">
        <is>
          <t>Harvest</t>
        </is>
      </c>
      <c r="E263" s="72" t="inlineStr">
        <is>
          <t>San Felipe Central</t>
        </is>
      </c>
      <c r="F263" s="84" t="n"/>
      <c r="G263" s="84" t="n"/>
      <c r="H263" s="84" t="n"/>
      <c r="I263" s="73" t="n">
        <v>5.06</v>
      </c>
      <c r="J263" s="73" t="n">
        <v>23.91</v>
      </c>
      <c r="K263" s="73" t="n">
        <v>4.73</v>
      </c>
    </row>
    <row r="264" ht="15" customHeight="1" s="101">
      <c r="A264" s="74" t="inlineStr">
        <is>
          <t>DS</t>
        </is>
      </c>
      <c r="B264" s="74" t="inlineStr">
        <is>
          <t>2020-2021</t>
        </is>
      </c>
      <c r="C264" s="74" t="inlineStr">
        <is>
          <t>Palay</t>
        </is>
      </c>
      <c r="D264" s="74" t="inlineStr">
        <is>
          <t>Harvest</t>
        </is>
      </c>
      <c r="E264" s="74" t="inlineStr">
        <is>
          <t>San Felipe Sur</t>
        </is>
      </c>
      <c r="F264" s="85" t="n"/>
      <c r="G264" s="85" t="n"/>
      <c r="H264" s="85" t="n"/>
      <c r="I264" s="75" t="n">
        <v>6.05</v>
      </c>
      <c r="J264" s="75" t="n">
        <v>48.4</v>
      </c>
      <c r="K264" s="75" t="n">
        <v>8</v>
      </c>
    </row>
    <row r="265" ht="15" customHeight="1" s="101">
      <c r="A265" s="72" t="inlineStr">
        <is>
          <t>DS</t>
        </is>
      </c>
      <c r="B265" s="72" t="inlineStr">
        <is>
          <t>2020-2021</t>
        </is>
      </c>
      <c r="C265" s="72" t="inlineStr">
        <is>
          <t>Palay</t>
        </is>
      </c>
      <c r="D265" s="72" t="inlineStr">
        <is>
          <t>Harvest</t>
        </is>
      </c>
      <c r="E265" s="72" t="inlineStr">
        <is>
          <t>Pasileng Sur</t>
        </is>
      </c>
      <c r="F265" s="84" t="n"/>
      <c r="G265" s="84" t="n"/>
      <c r="H265" s="84" t="n"/>
      <c r="I265" s="73" t="n">
        <v>6.89</v>
      </c>
      <c r="J265" s="73" t="n">
        <v>30.26</v>
      </c>
      <c r="K265" s="73" t="n">
        <v>4.39</v>
      </c>
    </row>
    <row r="266" ht="15" customHeight="1" s="101">
      <c r="A266" s="74" t="inlineStr">
        <is>
          <t>DS</t>
        </is>
      </c>
      <c r="B266" s="74" t="inlineStr">
        <is>
          <t>2020-2021</t>
        </is>
      </c>
      <c r="C266" s="74" t="inlineStr">
        <is>
          <t>Palay</t>
        </is>
      </c>
      <c r="D266" s="74" t="inlineStr">
        <is>
          <t>Harvest</t>
        </is>
      </c>
      <c r="E266" s="74" t="inlineStr">
        <is>
          <t>Bugayong</t>
        </is>
      </c>
      <c r="F266" s="85" t="n"/>
      <c r="G266" s="85" t="n"/>
      <c r="H266" s="85" t="n"/>
      <c r="I266" s="75" t="n">
        <v>4.12</v>
      </c>
      <c r="J266" s="75" t="n">
        <v>16.46</v>
      </c>
      <c r="K266" s="75" t="n">
        <v>4</v>
      </c>
    </row>
    <row r="267" ht="15" customHeight="1" s="101">
      <c r="A267" s="72" t="inlineStr">
        <is>
          <t>DS</t>
        </is>
      </c>
      <c r="B267" s="72" t="inlineStr">
        <is>
          <t>2020-2021</t>
        </is>
      </c>
      <c r="C267" s="72" t="inlineStr">
        <is>
          <t>Palay</t>
        </is>
      </c>
      <c r="D267" s="72" t="inlineStr">
        <is>
          <t>Harvest</t>
        </is>
      </c>
      <c r="E267" s="72" t="inlineStr">
        <is>
          <t>Santiago</t>
        </is>
      </c>
      <c r="F267" s="84" t="n"/>
      <c r="G267" s="84" t="n"/>
      <c r="H267" s="84" t="n"/>
      <c r="I267" s="73" t="n">
        <v>4.39</v>
      </c>
      <c r="J267" s="73" t="n">
        <v>31.59</v>
      </c>
      <c r="K267" s="73" t="n">
        <v>7.2</v>
      </c>
    </row>
    <row r="268" ht="15" customHeight="1" s="101">
      <c r="A268" s="74" t="inlineStr">
        <is>
          <t>DS</t>
        </is>
      </c>
      <c r="B268" s="74" t="inlineStr">
        <is>
          <t>2022-2023</t>
        </is>
      </c>
      <c r="C268" s="74" t="inlineStr">
        <is>
          <t>Palay</t>
        </is>
      </c>
      <c r="D268" s="74" t="inlineStr">
        <is>
          <t>Harvest</t>
        </is>
      </c>
      <c r="E268" s="74" t="inlineStr">
        <is>
          <t>Pasileng Norte</t>
        </is>
      </c>
      <c r="F268" s="85" t="n"/>
      <c r="G268" s="85" t="n"/>
      <c r="H268" s="85" t="n"/>
      <c r="I268" s="75" t="n">
        <v>75</v>
      </c>
      <c r="J268" s="75" t="n">
        <v>397.92</v>
      </c>
      <c r="K268" s="75" t="n">
        <v>5.31</v>
      </c>
    </row>
    <row r="269" ht="15" customHeight="1" s="101">
      <c r="A269" s="72" t="inlineStr">
        <is>
          <t>DS</t>
        </is>
      </c>
      <c r="B269" s="72" t="inlineStr">
        <is>
          <t>2022-2023</t>
        </is>
      </c>
      <c r="C269" s="72" t="inlineStr">
        <is>
          <t>Palay</t>
        </is>
      </c>
      <c r="D269" s="72" t="inlineStr">
        <is>
          <t>Harvest</t>
        </is>
      </c>
      <c r="E269" s="72" t="inlineStr">
        <is>
          <t>Tabuyoc</t>
        </is>
      </c>
      <c r="F269" s="84" t="n"/>
      <c r="G269" s="84" t="n"/>
      <c r="H269" s="84" t="n"/>
      <c r="I269" s="73" t="n">
        <v>130</v>
      </c>
      <c r="J269" s="73" t="n">
        <v>724.9400000000001</v>
      </c>
      <c r="K269" s="73" t="n">
        <v>5.58</v>
      </c>
    </row>
    <row r="270" ht="15" customHeight="1" s="101">
      <c r="A270" s="74" t="inlineStr">
        <is>
          <t>DS</t>
        </is>
      </c>
      <c r="B270" s="74" t="inlineStr">
        <is>
          <t>2022-2023</t>
        </is>
      </c>
      <c r="C270" s="74" t="inlineStr">
        <is>
          <t>Palay</t>
        </is>
      </c>
      <c r="D270" s="74" t="inlineStr">
        <is>
          <t>Harvest</t>
        </is>
      </c>
      <c r="E270" s="74" t="inlineStr">
        <is>
          <t>Camanggaan</t>
        </is>
      </c>
      <c r="F270" s="85" t="n"/>
      <c r="G270" s="85" t="n"/>
      <c r="H270" s="85" t="n"/>
      <c r="I270" s="75" t="n">
        <v>9.66</v>
      </c>
      <c r="J270" s="75" t="n">
        <v>23.18</v>
      </c>
      <c r="K270" s="75" t="n">
        <v>2.4</v>
      </c>
    </row>
    <row r="271" ht="15" customHeight="1" s="101">
      <c r="A271" s="72" t="inlineStr">
        <is>
          <t>DS</t>
        </is>
      </c>
      <c r="B271" s="72" t="inlineStr">
        <is>
          <t>2022-2023</t>
        </is>
      </c>
      <c r="C271" s="72" t="inlineStr">
        <is>
          <t>Palay</t>
        </is>
      </c>
      <c r="D271" s="72" t="inlineStr">
        <is>
          <t>Harvest</t>
        </is>
      </c>
      <c r="E271" s="72" t="inlineStr">
        <is>
          <t>Sta. Catalina</t>
        </is>
      </c>
      <c r="F271" s="84" t="n"/>
      <c r="G271" s="84" t="n"/>
      <c r="H271" s="84" t="n"/>
      <c r="I271" s="73" t="n">
        <v>9</v>
      </c>
      <c r="J271" s="73" t="n">
        <v>33.61</v>
      </c>
      <c r="K271" s="73" t="n">
        <v>3.73</v>
      </c>
    </row>
    <row r="272" ht="15" customHeight="1" s="101">
      <c r="A272" s="74" t="inlineStr">
        <is>
          <t>DS</t>
        </is>
      </c>
      <c r="B272" s="74" t="inlineStr">
        <is>
          <t>2022-2023</t>
        </is>
      </c>
      <c r="C272" s="74" t="inlineStr">
        <is>
          <t>Palay</t>
        </is>
      </c>
      <c r="D272" s="74" t="inlineStr">
        <is>
          <t>Harvest</t>
        </is>
      </c>
      <c r="E272" s="74" t="inlineStr">
        <is>
          <t>Sumabnit</t>
        </is>
      </c>
      <c r="F272" s="85" t="n"/>
      <c r="G272" s="85" t="n"/>
      <c r="H272" s="85" t="n"/>
      <c r="I272" s="75" t="n">
        <v>72</v>
      </c>
      <c r="J272" s="75" t="n">
        <v>358.04</v>
      </c>
      <c r="K272" s="75" t="n">
        <v>4.97</v>
      </c>
    </row>
    <row r="273" ht="15" customHeight="1" s="101">
      <c r="A273" s="72" t="inlineStr">
        <is>
          <t>DS</t>
        </is>
      </c>
      <c r="B273" s="72" t="inlineStr">
        <is>
          <t>2022-2023</t>
        </is>
      </c>
      <c r="C273" s="72" t="inlineStr">
        <is>
          <t>Palay</t>
        </is>
      </c>
      <c r="D273" s="72" t="inlineStr">
        <is>
          <t>Harvest</t>
        </is>
      </c>
      <c r="E273" s="72" t="inlineStr">
        <is>
          <t>Capas</t>
        </is>
      </c>
      <c r="F273" s="84" t="n"/>
      <c r="G273" s="84" t="n"/>
      <c r="H273" s="84" t="n"/>
      <c r="I273" s="73" t="n">
        <v>105</v>
      </c>
      <c r="J273" s="73" t="n">
        <v>576.4400000000001</v>
      </c>
      <c r="K273" s="73" t="n">
        <v>5.49</v>
      </c>
    </row>
    <row r="274" ht="15" customHeight="1" s="101">
      <c r="A274" s="74" t="inlineStr">
        <is>
          <t>DS</t>
        </is>
      </c>
      <c r="B274" s="74" t="inlineStr">
        <is>
          <t>2022-2023</t>
        </is>
      </c>
      <c r="C274" s="74" t="inlineStr">
        <is>
          <t>Palay</t>
        </is>
      </c>
      <c r="D274" s="74" t="inlineStr">
        <is>
          <t>Harvest</t>
        </is>
      </c>
      <c r="E274" s="74" t="inlineStr">
        <is>
          <t>Mangkasuy</t>
        </is>
      </c>
      <c r="F274" s="85" t="n"/>
      <c r="G274" s="85" t="n"/>
      <c r="H274" s="85" t="n"/>
      <c r="I274" s="75" t="n">
        <v>50</v>
      </c>
      <c r="J274" s="75" t="n">
        <v>279.34</v>
      </c>
      <c r="K274" s="75" t="n">
        <v>5.59</v>
      </c>
    </row>
    <row r="275" ht="15" customHeight="1" s="101">
      <c r="A275" s="72" t="inlineStr">
        <is>
          <t>DS</t>
        </is>
      </c>
      <c r="B275" s="72" t="inlineStr">
        <is>
          <t>2022-2023</t>
        </is>
      </c>
      <c r="C275" s="72" t="inlineStr">
        <is>
          <t>Palay</t>
        </is>
      </c>
      <c r="D275" s="72" t="inlineStr">
        <is>
          <t>Harvest</t>
        </is>
      </c>
      <c r="E275" s="72" t="inlineStr">
        <is>
          <t>San Pablo</t>
        </is>
      </c>
      <c r="F275" s="84" t="n"/>
      <c r="G275" s="84" t="n"/>
      <c r="H275" s="84" t="n"/>
      <c r="I275" s="73" t="n">
        <v>103</v>
      </c>
      <c r="J275" s="73" t="n">
        <v>607.49</v>
      </c>
      <c r="K275" s="73" t="n">
        <v>5.9</v>
      </c>
    </row>
    <row r="276" ht="15" customHeight="1" s="101">
      <c r="A276" s="74" t="inlineStr">
        <is>
          <t>DS</t>
        </is>
      </c>
      <c r="B276" s="74" t="inlineStr">
        <is>
          <t>2022-2023</t>
        </is>
      </c>
      <c r="C276" s="74" t="inlineStr">
        <is>
          <t>Palay</t>
        </is>
      </c>
      <c r="D276" s="74" t="inlineStr">
        <is>
          <t>Harvest</t>
        </is>
      </c>
      <c r="E276" s="74" t="inlineStr">
        <is>
          <t>Balangobong</t>
        </is>
      </c>
      <c r="F276" s="85" t="n"/>
      <c r="G276" s="85" t="n"/>
      <c r="H276" s="85" t="n"/>
      <c r="I276" s="75" t="n">
        <v>110</v>
      </c>
      <c r="J276" s="75" t="n">
        <v>569.35</v>
      </c>
      <c r="K276" s="75" t="n">
        <v>5.18</v>
      </c>
    </row>
    <row r="277" ht="15" customHeight="1" s="101">
      <c r="A277" s="72" t="inlineStr">
        <is>
          <t>DS</t>
        </is>
      </c>
      <c r="B277" s="72" t="inlineStr">
        <is>
          <t>2022-2023</t>
        </is>
      </c>
      <c r="C277" s="72" t="inlineStr">
        <is>
          <t>Palay</t>
        </is>
      </c>
      <c r="D277" s="72" t="inlineStr">
        <is>
          <t>Harvest</t>
        </is>
      </c>
      <c r="E277" s="72" t="inlineStr">
        <is>
          <t>San Felipe Central</t>
        </is>
      </c>
      <c r="F277" s="84" t="n"/>
      <c r="G277" s="84" t="n"/>
      <c r="H277" s="84" t="n"/>
      <c r="I277" s="73" t="n">
        <v>100</v>
      </c>
      <c r="J277" s="73" t="n">
        <v>516.55</v>
      </c>
      <c r="K277" s="73" t="n">
        <v>5.17</v>
      </c>
    </row>
    <row r="278" ht="15" customHeight="1" s="101">
      <c r="A278" s="74" t="inlineStr">
        <is>
          <t>DS</t>
        </is>
      </c>
      <c r="B278" s="74" t="inlineStr">
        <is>
          <t>2022-2023</t>
        </is>
      </c>
      <c r="C278" s="74" t="inlineStr">
        <is>
          <t>Palay</t>
        </is>
      </c>
      <c r="D278" s="74" t="inlineStr">
        <is>
          <t>Harvest</t>
        </is>
      </c>
      <c r="E278" s="74" t="inlineStr">
        <is>
          <t>San Felipe Sur</t>
        </is>
      </c>
      <c r="F278" s="85" t="n"/>
      <c r="G278" s="85" t="n"/>
      <c r="H278" s="85" t="n"/>
      <c r="I278" s="75" t="n">
        <v>115</v>
      </c>
      <c r="J278" s="75" t="n">
        <v>615.52</v>
      </c>
      <c r="K278" s="75" t="n">
        <v>5.35</v>
      </c>
    </row>
    <row r="279" ht="15" customHeight="1" s="101">
      <c r="A279" s="72" t="inlineStr">
        <is>
          <t>DS</t>
        </is>
      </c>
      <c r="B279" s="72" t="inlineStr">
        <is>
          <t>2022-2023</t>
        </is>
      </c>
      <c r="C279" s="72" t="inlineStr">
        <is>
          <t>Palay</t>
        </is>
      </c>
      <c r="D279" s="72" t="inlineStr">
        <is>
          <t>Harvest</t>
        </is>
      </c>
      <c r="E279" s="72" t="inlineStr">
        <is>
          <t>Pasileng Sur</t>
        </is>
      </c>
      <c r="F279" s="84" t="n"/>
      <c r="G279" s="84" t="n"/>
      <c r="H279" s="84" t="n"/>
      <c r="I279" s="73" t="n">
        <v>120</v>
      </c>
      <c r="J279" s="73" t="n">
        <v>649.12</v>
      </c>
      <c r="K279" s="73" t="n">
        <v>5.41</v>
      </c>
    </row>
    <row r="280" ht="15" customHeight="1" s="101">
      <c r="A280" s="74" t="inlineStr">
        <is>
          <t>DS</t>
        </is>
      </c>
      <c r="B280" s="74" t="inlineStr">
        <is>
          <t>2022-2023</t>
        </is>
      </c>
      <c r="C280" s="74" t="inlineStr">
        <is>
          <t>Palay</t>
        </is>
      </c>
      <c r="D280" s="74" t="inlineStr">
        <is>
          <t>Harvest</t>
        </is>
      </c>
      <c r="E280" s="74" t="inlineStr">
        <is>
          <t>Bugayong</t>
        </is>
      </c>
      <c r="F280" s="85" t="n"/>
      <c r="G280" s="85" t="n"/>
      <c r="H280" s="85" t="n"/>
      <c r="I280" s="75" t="n">
        <v>2</v>
      </c>
      <c r="J280" s="75" t="n">
        <v>6.77</v>
      </c>
      <c r="K280" s="75" t="n">
        <v>3.38</v>
      </c>
    </row>
    <row r="281" ht="15" customHeight="1" s="101">
      <c r="A281" s="72" t="inlineStr">
        <is>
          <t>DS</t>
        </is>
      </c>
      <c r="B281" s="72" t="inlineStr">
        <is>
          <t>2022-2023</t>
        </is>
      </c>
      <c r="C281" s="72" t="inlineStr">
        <is>
          <t>Palay</t>
        </is>
      </c>
      <c r="D281" s="72" t="inlineStr">
        <is>
          <t>Harvest</t>
        </is>
      </c>
      <c r="E281" s="72" t="inlineStr">
        <is>
          <t>Santiago</t>
        </is>
      </c>
      <c r="F281" s="84" t="n"/>
      <c r="G281" s="84" t="n"/>
      <c r="H281" s="84" t="n"/>
      <c r="I281" s="73" t="n">
        <v>18</v>
      </c>
      <c r="J281" s="73" t="n">
        <v>103.91</v>
      </c>
      <c r="K281" s="73" t="n">
        <v>5.77</v>
      </c>
    </row>
    <row r="282" ht="15" customHeight="1" s="101">
      <c r="A282" s="74" t="inlineStr">
        <is>
          <t>WS</t>
        </is>
      </c>
      <c r="B282" s="74" t="inlineStr">
        <is>
          <t>2015</t>
        </is>
      </c>
      <c r="C282" s="74" t="inlineStr">
        <is>
          <t>Palay</t>
        </is>
      </c>
      <c r="D282" s="74" t="inlineStr">
        <is>
          <t>Planting</t>
        </is>
      </c>
      <c r="E282" s="74" t="inlineStr">
        <is>
          <t>Pasileng Norte</t>
        </is>
      </c>
      <c r="F282" s="75" t="n">
        <v>2</v>
      </c>
      <c r="G282" s="75" t="n">
        <v>19.81</v>
      </c>
      <c r="H282" s="75" t="n">
        <v>81</v>
      </c>
      <c r="I282" s="85" t="n"/>
      <c r="J282" s="85" t="n"/>
      <c r="K282" s="85" t="n"/>
    </row>
    <row r="283" ht="15" customHeight="1" s="101">
      <c r="A283" s="72" t="inlineStr">
        <is>
          <t>WS</t>
        </is>
      </c>
      <c r="B283" s="72" t="inlineStr">
        <is>
          <t>2015</t>
        </is>
      </c>
      <c r="C283" s="72" t="inlineStr">
        <is>
          <t>Palay</t>
        </is>
      </c>
      <c r="D283" s="72" t="inlineStr">
        <is>
          <t>Planting</t>
        </is>
      </c>
      <c r="E283" s="72" t="inlineStr">
        <is>
          <t>Tabuyoc</t>
        </is>
      </c>
      <c r="F283" s="73" t="n">
        <v>130.4</v>
      </c>
      <c r="G283" s="73" t="n">
        <v>5</v>
      </c>
      <c r="H283" s="73" t="n">
        <v>139</v>
      </c>
      <c r="I283" s="84" t="n"/>
      <c r="J283" s="84" t="n"/>
      <c r="K283" s="84" t="n"/>
    </row>
    <row r="284" ht="15" customHeight="1" s="101">
      <c r="A284" s="74" t="inlineStr">
        <is>
          <t>WS</t>
        </is>
      </c>
      <c r="B284" s="74" t="inlineStr">
        <is>
          <t>2015</t>
        </is>
      </c>
      <c r="C284" s="74" t="inlineStr">
        <is>
          <t>Palay</t>
        </is>
      </c>
      <c r="D284" s="74" t="inlineStr">
        <is>
          <t>Planting</t>
        </is>
      </c>
      <c r="E284" s="74" t="inlineStr">
        <is>
          <t>Bued</t>
        </is>
      </c>
      <c r="F284" s="75" t="n">
        <v>50.8</v>
      </c>
      <c r="G284" s="75" t="n">
        <v>20</v>
      </c>
      <c r="H284" s="75" t="n">
        <v>94</v>
      </c>
      <c r="I284" s="85" t="n"/>
      <c r="J284" s="85" t="n"/>
      <c r="K284" s="85" t="n"/>
    </row>
    <row r="285" ht="15" customHeight="1" s="101">
      <c r="A285" s="72" t="inlineStr">
        <is>
          <t>WS</t>
        </is>
      </c>
      <c r="B285" s="72" t="inlineStr">
        <is>
          <t>2015</t>
        </is>
      </c>
      <c r="C285" s="72" t="inlineStr">
        <is>
          <t>Palay</t>
        </is>
      </c>
      <c r="D285" s="72" t="inlineStr">
        <is>
          <t>Planting</t>
        </is>
      </c>
      <c r="E285" s="72" t="inlineStr">
        <is>
          <t>Dumayat</t>
        </is>
      </c>
      <c r="F285" s="73" t="n">
        <v>42.88</v>
      </c>
      <c r="G285" s="73" t="n">
        <v>16</v>
      </c>
      <c r="H285" s="73" t="n">
        <v>86</v>
      </c>
      <c r="I285" s="84" t="n"/>
      <c r="J285" s="84" t="n"/>
      <c r="K285" s="84" t="n"/>
    </row>
    <row r="286" ht="15" customHeight="1" s="101">
      <c r="A286" s="74" t="inlineStr">
        <is>
          <t>WS</t>
        </is>
      </c>
      <c r="B286" s="74" t="inlineStr">
        <is>
          <t>2015</t>
        </is>
      </c>
      <c r="C286" s="74" t="inlineStr">
        <is>
          <t>Palay</t>
        </is>
      </c>
      <c r="D286" s="74" t="inlineStr">
        <is>
          <t>Planting</t>
        </is>
      </c>
      <c r="E286" s="74" t="inlineStr">
        <is>
          <t>Camanggaan</t>
        </is>
      </c>
      <c r="F286" s="75" t="n">
        <v>24.5</v>
      </c>
      <c r="G286" s="75" t="n">
        <v>38</v>
      </c>
      <c r="H286" s="75" t="n">
        <v>87</v>
      </c>
      <c r="I286" s="85" t="n"/>
      <c r="J286" s="85" t="n"/>
      <c r="K286" s="85" t="n"/>
    </row>
    <row r="287" ht="15" customHeight="1" s="101">
      <c r="A287" s="72" t="inlineStr">
        <is>
          <t>WS</t>
        </is>
      </c>
      <c r="B287" s="72" t="inlineStr">
        <is>
          <t>2015</t>
        </is>
      </c>
      <c r="C287" s="72" t="inlineStr">
        <is>
          <t>Palay</t>
        </is>
      </c>
      <c r="D287" s="72" t="inlineStr">
        <is>
          <t>Planting</t>
        </is>
      </c>
      <c r="E287" s="72" t="inlineStr">
        <is>
          <t>Vacante</t>
        </is>
      </c>
      <c r="F287" s="73" t="n">
        <v>24.5</v>
      </c>
      <c r="G287" s="73" t="n">
        <v>47</v>
      </c>
      <c r="H287" s="73" t="n">
        <v>109</v>
      </c>
      <c r="I287" s="84" t="n"/>
      <c r="J287" s="84" t="n"/>
      <c r="K287" s="84" t="n"/>
    </row>
    <row r="288" ht="15" customHeight="1" s="101">
      <c r="A288" s="74" t="inlineStr">
        <is>
          <t>WS</t>
        </is>
      </c>
      <c r="B288" s="74" t="inlineStr">
        <is>
          <t>2015</t>
        </is>
      </c>
      <c r="C288" s="74" t="inlineStr">
        <is>
          <t>Palay</t>
        </is>
      </c>
      <c r="D288" s="74" t="inlineStr">
        <is>
          <t>Planting</t>
        </is>
      </c>
      <c r="E288" s="74" t="inlineStr">
        <is>
          <t>Sta. Catalina</t>
        </is>
      </c>
      <c r="F288" s="75" t="n">
        <v>65.5</v>
      </c>
      <c r="G288" s="75" t="n">
        <v>130</v>
      </c>
      <c r="H288" s="75" t="n">
        <v>229</v>
      </c>
      <c r="I288" s="85" t="n"/>
      <c r="J288" s="85" t="n"/>
      <c r="K288" s="85" t="n"/>
    </row>
    <row r="289" ht="15" customHeight="1" s="101">
      <c r="A289" s="72" t="inlineStr">
        <is>
          <t>WS</t>
        </is>
      </c>
      <c r="B289" s="72" t="inlineStr">
        <is>
          <t>2015</t>
        </is>
      </c>
      <c r="C289" s="72" t="inlineStr">
        <is>
          <t>Palay</t>
        </is>
      </c>
      <c r="D289" s="72" t="inlineStr">
        <is>
          <t>Planting</t>
        </is>
      </c>
      <c r="E289" s="72" t="inlineStr">
        <is>
          <t>Moreno</t>
        </is>
      </c>
      <c r="F289" s="73" t="n">
        <v>65.5</v>
      </c>
      <c r="G289" s="73" t="n">
        <v>79</v>
      </c>
      <c r="H289" s="73" t="n">
        <v>164</v>
      </c>
      <c r="I289" s="84" t="n"/>
      <c r="J289" s="84" t="n"/>
      <c r="K289" s="84" t="n"/>
    </row>
    <row r="290" ht="15" customHeight="1" s="101">
      <c r="A290" s="74" t="inlineStr">
        <is>
          <t>WS</t>
        </is>
      </c>
      <c r="B290" s="74" t="inlineStr">
        <is>
          <t>2015</t>
        </is>
      </c>
      <c r="C290" s="74" t="inlineStr">
        <is>
          <t>Palay</t>
        </is>
      </c>
      <c r="D290" s="74" t="inlineStr">
        <is>
          <t>Planting</t>
        </is>
      </c>
      <c r="E290" s="74" t="inlineStr">
        <is>
          <t>Cili</t>
        </is>
      </c>
      <c r="F290" s="75" t="n">
        <v>35.21</v>
      </c>
      <c r="G290" s="75" t="n">
        <v>75</v>
      </c>
      <c r="H290" s="75" t="n">
        <v>168</v>
      </c>
      <c r="I290" s="85" t="n"/>
      <c r="J290" s="85" t="n"/>
      <c r="K290" s="85" t="n"/>
    </row>
    <row r="291" ht="15" customHeight="1" s="101">
      <c r="A291" s="72" t="inlineStr">
        <is>
          <t>WS</t>
        </is>
      </c>
      <c r="B291" s="72" t="inlineStr">
        <is>
          <t>2015</t>
        </is>
      </c>
      <c r="C291" s="72" t="inlineStr">
        <is>
          <t>Palay</t>
        </is>
      </c>
      <c r="D291" s="72" t="inlineStr">
        <is>
          <t>Planting</t>
        </is>
      </c>
      <c r="E291" s="72" t="inlineStr">
        <is>
          <t>Linmansangan</t>
        </is>
      </c>
      <c r="F291" s="73" t="n">
        <v>65.5</v>
      </c>
      <c r="G291" s="73" t="n">
        <v>83</v>
      </c>
      <c r="H291" s="73" t="n">
        <v>216</v>
      </c>
      <c r="I291" s="84" t="n"/>
      <c r="J291" s="84" t="n"/>
      <c r="K291" s="84" t="n"/>
    </row>
    <row r="292" ht="15" customHeight="1" s="101">
      <c r="A292" s="74" t="inlineStr">
        <is>
          <t>WS</t>
        </is>
      </c>
      <c r="B292" s="74" t="inlineStr">
        <is>
          <t>2015</t>
        </is>
      </c>
      <c r="C292" s="74" t="inlineStr">
        <is>
          <t>Palay</t>
        </is>
      </c>
      <c r="D292" s="74" t="inlineStr">
        <is>
          <t>Planting</t>
        </is>
      </c>
      <c r="E292" s="74" t="inlineStr">
        <is>
          <t>Sumabnit</t>
        </is>
      </c>
      <c r="F292" s="75" t="n">
        <v>130.4</v>
      </c>
      <c r="G292" s="75" t="n">
        <v>71</v>
      </c>
      <c r="H292" s="75" t="n">
        <v>257</v>
      </c>
      <c r="I292" s="85" t="n"/>
      <c r="J292" s="85" t="n"/>
      <c r="K292" s="85" t="n"/>
    </row>
    <row r="293" ht="15" customHeight="1" s="101">
      <c r="A293" s="72" t="inlineStr">
        <is>
          <t>WS</t>
        </is>
      </c>
      <c r="B293" s="72" t="inlineStr">
        <is>
          <t>2015</t>
        </is>
      </c>
      <c r="C293" s="72" t="inlineStr">
        <is>
          <t>Palay</t>
        </is>
      </c>
      <c r="D293" s="72" t="inlineStr">
        <is>
          <t>Planting</t>
        </is>
      </c>
      <c r="E293" s="72" t="inlineStr">
        <is>
          <t>Capas</t>
        </is>
      </c>
      <c r="F293" s="73" t="n">
        <v>3</v>
      </c>
      <c r="G293" s="73" t="n">
        <v>91</v>
      </c>
      <c r="H293" s="73" t="n">
        <v>303</v>
      </c>
      <c r="I293" s="84" t="n"/>
      <c r="J293" s="84" t="n"/>
      <c r="K293" s="84" t="n"/>
    </row>
    <row r="294" ht="15" customHeight="1" s="101">
      <c r="A294" s="74" t="inlineStr">
        <is>
          <t>WS</t>
        </is>
      </c>
      <c r="B294" s="74" t="inlineStr">
        <is>
          <t>2015</t>
        </is>
      </c>
      <c r="C294" s="74" t="inlineStr">
        <is>
          <t>Palay</t>
        </is>
      </c>
      <c r="D294" s="74" t="inlineStr">
        <is>
          <t>Planting</t>
        </is>
      </c>
      <c r="E294" s="74" t="inlineStr">
        <is>
          <t>Mangkasuy</t>
        </is>
      </c>
      <c r="F294" s="75" t="n">
        <v>5</v>
      </c>
      <c r="G294" s="75" t="n">
        <v>158</v>
      </c>
      <c r="H294" s="75" t="n">
        <v>352</v>
      </c>
      <c r="I294" s="85" t="n"/>
      <c r="J294" s="85" t="n"/>
      <c r="K294" s="85" t="n"/>
    </row>
    <row r="295" ht="15" customHeight="1" s="101">
      <c r="A295" s="72" t="inlineStr">
        <is>
          <t>WS</t>
        </is>
      </c>
      <c r="B295" s="72" t="inlineStr">
        <is>
          <t>2015</t>
        </is>
      </c>
      <c r="C295" s="72" t="inlineStr">
        <is>
          <t>Palay</t>
        </is>
      </c>
      <c r="D295" s="72" t="inlineStr">
        <is>
          <t>Planting</t>
        </is>
      </c>
      <c r="E295" s="72" t="inlineStr">
        <is>
          <t>San Pablo</t>
        </is>
      </c>
      <c r="F295" s="73" t="n">
        <v>5</v>
      </c>
      <c r="G295" s="73" t="n">
        <v>19</v>
      </c>
      <c r="H295" s="73" t="n">
        <v>134</v>
      </c>
      <c r="I295" s="84" t="n"/>
      <c r="J295" s="84" t="n"/>
      <c r="K295" s="84" t="n"/>
    </row>
    <row r="296" ht="15" customHeight="1" s="101">
      <c r="A296" s="74" t="inlineStr">
        <is>
          <t>WS</t>
        </is>
      </c>
      <c r="B296" s="74" t="inlineStr">
        <is>
          <t>2015</t>
        </is>
      </c>
      <c r="C296" s="74" t="inlineStr">
        <is>
          <t>Palay</t>
        </is>
      </c>
      <c r="D296" s="74" t="inlineStr">
        <is>
          <t>Planting</t>
        </is>
      </c>
      <c r="E296" s="74" t="inlineStr">
        <is>
          <t>Balangobong</t>
        </is>
      </c>
      <c r="F296" s="75" t="n">
        <v>10</v>
      </c>
      <c r="G296" s="75" t="n">
        <v>10</v>
      </c>
      <c r="H296" s="75" t="n">
        <v>135</v>
      </c>
      <c r="I296" s="85" t="n"/>
      <c r="J296" s="85" t="n"/>
      <c r="K296" s="85" t="n"/>
    </row>
    <row r="297" ht="15" customHeight="1" s="101">
      <c r="A297" s="72" t="inlineStr">
        <is>
          <t>WS</t>
        </is>
      </c>
      <c r="B297" s="72" t="inlineStr">
        <is>
          <t>2015</t>
        </is>
      </c>
      <c r="C297" s="72" t="inlineStr">
        <is>
          <t>Palay</t>
        </is>
      </c>
      <c r="D297" s="72" t="inlineStr">
        <is>
          <t>Planting</t>
        </is>
      </c>
      <c r="E297" s="72" t="inlineStr">
        <is>
          <t>San Felipe Central</t>
        </is>
      </c>
      <c r="F297" s="73" t="n">
        <v>5</v>
      </c>
      <c r="G297" s="73" t="n">
        <v>39</v>
      </c>
      <c r="H297" s="73" t="n">
        <v>179</v>
      </c>
      <c r="I297" s="84" t="n"/>
      <c r="J297" s="84" t="n"/>
      <c r="K297" s="84" t="n"/>
    </row>
    <row r="298" ht="15" customHeight="1" s="101">
      <c r="A298" s="74" t="inlineStr">
        <is>
          <t>WS</t>
        </is>
      </c>
      <c r="B298" s="74" t="inlineStr">
        <is>
          <t>2015</t>
        </is>
      </c>
      <c r="C298" s="74" t="inlineStr">
        <is>
          <t>Palay</t>
        </is>
      </c>
      <c r="D298" s="74" t="inlineStr">
        <is>
          <t>Planting</t>
        </is>
      </c>
      <c r="E298" s="74" t="inlineStr">
        <is>
          <t>San Felipe Sur</t>
        </is>
      </c>
      <c r="F298" s="75" t="n">
        <v>5</v>
      </c>
      <c r="G298" s="75" t="n">
        <v>27</v>
      </c>
      <c r="H298" s="75" t="n">
        <v>178</v>
      </c>
      <c r="I298" s="85" t="n"/>
      <c r="J298" s="85" t="n"/>
      <c r="K298" s="85" t="n"/>
    </row>
    <row r="299" ht="15" customHeight="1" s="101">
      <c r="A299" s="72" t="inlineStr">
        <is>
          <t>WS</t>
        </is>
      </c>
      <c r="B299" s="72" t="inlineStr">
        <is>
          <t>2015</t>
        </is>
      </c>
      <c r="C299" s="72" t="inlineStr">
        <is>
          <t>Palay</t>
        </is>
      </c>
      <c r="D299" s="72" t="inlineStr">
        <is>
          <t>Planting</t>
        </is>
      </c>
      <c r="E299" s="72" t="inlineStr">
        <is>
          <t>Pasileng Sur</t>
        </is>
      </c>
      <c r="F299" s="73" t="n">
        <v>10</v>
      </c>
      <c r="G299" s="73" t="n">
        <v>15</v>
      </c>
      <c r="H299" s="73" t="n">
        <v>180</v>
      </c>
      <c r="I299" s="84" t="n"/>
      <c r="J299" s="84" t="n"/>
      <c r="K299" s="84" t="n"/>
    </row>
    <row r="300" ht="15" customHeight="1" s="101">
      <c r="A300" s="74" t="inlineStr">
        <is>
          <t>WS</t>
        </is>
      </c>
      <c r="B300" s="74" t="inlineStr">
        <is>
          <t>2015</t>
        </is>
      </c>
      <c r="C300" s="74" t="inlineStr">
        <is>
          <t>Palay</t>
        </is>
      </c>
      <c r="D300" s="74" t="inlineStr">
        <is>
          <t>Planting</t>
        </is>
      </c>
      <c r="E300" s="74" t="inlineStr">
        <is>
          <t>Sta. Maria Norte</t>
        </is>
      </c>
      <c r="F300" s="75" t="n">
        <v>26.92</v>
      </c>
      <c r="G300" s="75" t="n">
        <v>28</v>
      </c>
      <c r="H300" s="75" t="n">
        <v>68</v>
      </c>
      <c r="I300" s="85" t="n"/>
      <c r="J300" s="85" t="n"/>
      <c r="K300" s="85" t="n"/>
    </row>
    <row r="301" ht="15" customHeight="1" s="101">
      <c r="A301" s="72" t="inlineStr">
        <is>
          <t>WS</t>
        </is>
      </c>
      <c r="B301" s="72" t="inlineStr">
        <is>
          <t>2015</t>
        </is>
      </c>
      <c r="C301" s="72" t="inlineStr">
        <is>
          <t>Palay</t>
        </is>
      </c>
      <c r="D301" s="72" t="inlineStr">
        <is>
          <t>Planting</t>
        </is>
      </c>
      <c r="E301" s="72" t="inlineStr">
        <is>
          <t>Bugayong</t>
        </is>
      </c>
      <c r="F301" s="73" t="n">
        <v>24.5</v>
      </c>
      <c r="G301" s="73" t="n">
        <v>31</v>
      </c>
      <c r="H301" s="73" t="n">
        <v>78</v>
      </c>
      <c r="I301" s="84" t="n"/>
      <c r="J301" s="84" t="n"/>
      <c r="K301" s="84" t="n"/>
    </row>
    <row r="302" ht="15" customHeight="1" s="101">
      <c r="A302" s="74" t="inlineStr">
        <is>
          <t>WS</t>
        </is>
      </c>
      <c r="B302" s="74" t="inlineStr">
        <is>
          <t>2015</t>
        </is>
      </c>
      <c r="C302" s="74" t="inlineStr">
        <is>
          <t>Palay</t>
        </is>
      </c>
      <c r="D302" s="74" t="inlineStr">
        <is>
          <t>Planting</t>
        </is>
      </c>
      <c r="E302" s="74" t="inlineStr">
        <is>
          <t>Santiago</t>
        </is>
      </c>
      <c r="F302" s="75" t="n">
        <v>130.4</v>
      </c>
      <c r="G302" s="75" t="n">
        <v>84</v>
      </c>
      <c r="H302" s="75" t="n">
        <v>251</v>
      </c>
      <c r="I302" s="85" t="n"/>
      <c r="J302" s="85" t="n"/>
      <c r="K302" s="85" t="n"/>
    </row>
    <row r="303" ht="15" customHeight="1" s="101">
      <c r="A303" s="72" t="inlineStr">
        <is>
          <t>WS</t>
        </is>
      </c>
      <c r="B303" s="72" t="inlineStr">
        <is>
          <t>2016</t>
        </is>
      </c>
      <c r="C303" s="72" t="inlineStr">
        <is>
          <t>Palay</t>
        </is>
      </c>
      <c r="D303" s="72" t="inlineStr">
        <is>
          <t>Planting</t>
        </is>
      </c>
      <c r="E303" s="72" t="inlineStr">
        <is>
          <t>Pasileng Norte</t>
        </is>
      </c>
      <c r="F303" s="73" t="n">
        <v>78.34999999999999</v>
      </c>
      <c r="G303" s="73" t="n">
        <v>2.65</v>
      </c>
      <c r="H303" s="73" t="n">
        <v>81</v>
      </c>
      <c r="I303" s="84" t="n"/>
      <c r="J303" s="84" t="n"/>
      <c r="K303" s="84" t="n"/>
    </row>
    <row r="304" ht="15" customHeight="1" s="101">
      <c r="A304" s="74" t="inlineStr">
        <is>
          <t>WS</t>
        </is>
      </c>
      <c r="B304" s="74" t="inlineStr">
        <is>
          <t>2016</t>
        </is>
      </c>
      <c r="C304" s="74" t="inlineStr">
        <is>
          <t>Palay</t>
        </is>
      </c>
      <c r="D304" s="74" t="inlineStr">
        <is>
          <t>Planting</t>
        </is>
      </c>
      <c r="E304" s="74" t="inlineStr">
        <is>
          <t>Tabuyoc</t>
        </is>
      </c>
      <c r="F304" s="75" t="n">
        <v>134</v>
      </c>
      <c r="G304" s="75" t="n">
        <v>5</v>
      </c>
      <c r="H304" s="75" t="n">
        <v>139</v>
      </c>
      <c r="I304" s="85" t="n"/>
      <c r="J304" s="85" t="n"/>
      <c r="K304" s="85" t="n"/>
    </row>
    <row r="305" ht="15" customHeight="1" s="101">
      <c r="A305" s="72" t="inlineStr">
        <is>
          <t>WS</t>
        </is>
      </c>
      <c r="B305" s="72" t="inlineStr">
        <is>
          <t>2016</t>
        </is>
      </c>
      <c r="C305" s="72" t="inlineStr">
        <is>
          <t>Palay</t>
        </is>
      </c>
      <c r="D305" s="72" t="inlineStr">
        <is>
          <t>Planting</t>
        </is>
      </c>
      <c r="E305" s="72" t="inlineStr">
        <is>
          <t>Bued</t>
        </is>
      </c>
      <c r="F305" s="73" t="n">
        <v>56.5</v>
      </c>
      <c r="G305" s="73" t="n">
        <v>37.5</v>
      </c>
      <c r="H305" s="73" t="n">
        <v>94</v>
      </c>
      <c r="I305" s="84" t="n"/>
      <c r="J305" s="84" t="n"/>
      <c r="K305" s="84" t="n"/>
    </row>
    <row r="306" ht="15" customHeight="1" s="101">
      <c r="A306" s="74" t="inlineStr">
        <is>
          <t>WS</t>
        </is>
      </c>
      <c r="B306" s="74" t="inlineStr">
        <is>
          <t>2016</t>
        </is>
      </c>
      <c r="C306" s="74" t="inlineStr">
        <is>
          <t>Palay</t>
        </is>
      </c>
      <c r="D306" s="74" t="inlineStr">
        <is>
          <t>Planting</t>
        </is>
      </c>
      <c r="E306" s="74" t="inlineStr">
        <is>
          <t>Dumayat</t>
        </is>
      </c>
      <c r="F306" s="75" t="n">
        <v>56</v>
      </c>
      <c r="G306" s="75" t="n">
        <v>30</v>
      </c>
      <c r="H306" s="75" t="n">
        <v>86</v>
      </c>
      <c r="I306" s="85" t="n"/>
      <c r="J306" s="85" t="n"/>
      <c r="K306" s="85" t="n"/>
    </row>
    <row r="307" ht="15" customHeight="1" s="101">
      <c r="A307" s="72" t="inlineStr">
        <is>
          <t>WS</t>
        </is>
      </c>
      <c r="B307" s="72" t="inlineStr">
        <is>
          <t>2016</t>
        </is>
      </c>
      <c r="C307" s="72" t="inlineStr">
        <is>
          <t>Palay</t>
        </is>
      </c>
      <c r="D307" s="72" t="inlineStr">
        <is>
          <t>Planting</t>
        </is>
      </c>
      <c r="E307" s="72" t="inlineStr">
        <is>
          <t>Camanggaan</t>
        </is>
      </c>
      <c r="F307" s="73" t="n">
        <v>19</v>
      </c>
      <c r="G307" s="73" t="n">
        <v>68</v>
      </c>
      <c r="H307" s="73" t="n">
        <v>87</v>
      </c>
      <c r="I307" s="84" t="n"/>
      <c r="J307" s="84" t="n"/>
      <c r="K307" s="84" t="n"/>
    </row>
    <row r="308" ht="15" customHeight="1" s="101">
      <c r="A308" s="74" t="inlineStr">
        <is>
          <t>WS</t>
        </is>
      </c>
      <c r="B308" s="74" t="inlineStr">
        <is>
          <t>2016</t>
        </is>
      </c>
      <c r="C308" s="74" t="inlineStr">
        <is>
          <t>Palay</t>
        </is>
      </c>
      <c r="D308" s="74" t="inlineStr">
        <is>
          <t>Planting</t>
        </is>
      </c>
      <c r="E308" s="74" t="inlineStr">
        <is>
          <t>Vacante</t>
        </is>
      </c>
      <c r="F308" s="75" t="n">
        <v>28</v>
      </c>
      <c r="G308" s="75" t="n">
        <v>81</v>
      </c>
      <c r="H308" s="75" t="n">
        <v>109</v>
      </c>
      <c r="I308" s="85" t="n"/>
      <c r="J308" s="85" t="n"/>
      <c r="K308" s="85" t="n"/>
    </row>
    <row r="309" ht="15" customHeight="1" s="101">
      <c r="A309" s="72" t="inlineStr">
        <is>
          <t>WS</t>
        </is>
      </c>
      <c r="B309" s="72" t="inlineStr">
        <is>
          <t>2016</t>
        </is>
      </c>
      <c r="C309" s="72" t="inlineStr">
        <is>
          <t>Palay</t>
        </is>
      </c>
      <c r="D309" s="72" t="inlineStr">
        <is>
          <t>Planting</t>
        </is>
      </c>
      <c r="E309" s="72" t="inlineStr">
        <is>
          <t>Sta. Catalina</t>
        </is>
      </c>
      <c r="F309" s="73" t="n">
        <v>49</v>
      </c>
      <c r="G309" s="73" t="n">
        <v>180</v>
      </c>
      <c r="H309" s="73" t="n">
        <v>229</v>
      </c>
      <c r="I309" s="84" t="n"/>
      <c r="J309" s="84" t="n"/>
      <c r="K309" s="84" t="n"/>
    </row>
    <row r="310" ht="15" customHeight="1" s="101">
      <c r="A310" s="74" t="inlineStr">
        <is>
          <t>WS</t>
        </is>
      </c>
      <c r="B310" s="74" t="inlineStr">
        <is>
          <t>2016</t>
        </is>
      </c>
      <c r="C310" s="74" t="inlineStr">
        <is>
          <t>Palay</t>
        </is>
      </c>
      <c r="D310" s="74" t="inlineStr">
        <is>
          <t>Planting</t>
        </is>
      </c>
      <c r="E310" s="74" t="inlineStr">
        <is>
          <t>Moreno</t>
        </is>
      </c>
      <c r="F310" s="75" t="n">
        <v>47.4</v>
      </c>
      <c r="G310" s="75" t="n">
        <v>116.6</v>
      </c>
      <c r="H310" s="75" t="n">
        <v>164</v>
      </c>
      <c r="I310" s="85" t="n"/>
      <c r="J310" s="85" t="n"/>
      <c r="K310" s="85" t="n"/>
    </row>
    <row r="311" ht="15" customHeight="1" s="101">
      <c r="A311" s="72" t="inlineStr">
        <is>
          <t>WS</t>
        </is>
      </c>
      <c r="B311" s="72" t="inlineStr">
        <is>
          <t>2016</t>
        </is>
      </c>
      <c r="C311" s="72" t="inlineStr">
        <is>
          <t>Palay</t>
        </is>
      </c>
      <c r="D311" s="72" t="inlineStr">
        <is>
          <t>Planting</t>
        </is>
      </c>
      <c r="E311" s="72" t="inlineStr">
        <is>
          <t>Cili</t>
        </is>
      </c>
      <c r="F311" s="73" t="n">
        <v>40</v>
      </c>
      <c r="G311" s="73" t="n">
        <v>128</v>
      </c>
      <c r="H311" s="73" t="n">
        <v>168</v>
      </c>
      <c r="I311" s="84" t="n"/>
      <c r="J311" s="84" t="n"/>
      <c r="K311" s="84" t="n"/>
    </row>
    <row r="312" ht="15" customHeight="1" s="101">
      <c r="A312" s="74" t="inlineStr">
        <is>
          <t>WS</t>
        </is>
      </c>
      <c r="B312" s="74" t="inlineStr">
        <is>
          <t>2016</t>
        </is>
      </c>
      <c r="C312" s="74" t="inlineStr">
        <is>
          <t>Palay</t>
        </is>
      </c>
      <c r="D312" s="74" t="inlineStr">
        <is>
          <t>Planting</t>
        </is>
      </c>
      <c r="E312" s="74" t="inlineStr">
        <is>
          <t>Linmansangan</t>
        </is>
      </c>
      <c r="F312" s="75" t="n">
        <v>65.5</v>
      </c>
      <c r="G312" s="75" t="n">
        <v>150.5</v>
      </c>
      <c r="H312" s="75" t="n">
        <v>216</v>
      </c>
      <c r="I312" s="85" t="n"/>
      <c r="J312" s="85" t="n"/>
      <c r="K312" s="85" t="n"/>
    </row>
    <row r="313" ht="15" customHeight="1" s="101">
      <c r="A313" s="72" t="inlineStr">
        <is>
          <t>WS</t>
        </is>
      </c>
      <c r="B313" s="72" t="inlineStr">
        <is>
          <t>2016</t>
        </is>
      </c>
      <c r="C313" s="72" t="inlineStr">
        <is>
          <t>Palay</t>
        </is>
      </c>
      <c r="D313" s="72" t="inlineStr">
        <is>
          <t>Planting</t>
        </is>
      </c>
      <c r="E313" s="72" t="inlineStr">
        <is>
          <t>Sumabnit</t>
        </is>
      </c>
      <c r="F313" s="73" t="n">
        <v>133.3</v>
      </c>
      <c r="G313" s="73" t="n">
        <v>123.7</v>
      </c>
      <c r="H313" s="73" t="n">
        <v>257</v>
      </c>
      <c r="I313" s="84" t="n"/>
      <c r="J313" s="84" t="n"/>
      <c r="K313" s="84" t="n"/>
    </row>
    <row r="314" ht="15" customHeight="1" s="101">
      <c r="A314" s="74" t="inlineStr">
        <is>
          <t>WS</t>
        </is>
      </c>
      <c r="B314" s="74" t="inlineStr">
        <is>
          <t>2016</t>
        </is>
      </c>
      <c r="C314" s="74" t="inlineStr">
        <is>
          <t>Palay</t>
        </is>
      </c>
      <c r="D314" s="74" t="inlineStr">
        <is>
          <t>Planting</t>
        </is>
      </c>
      <c r="E314" s="74" t="inlineStr">
        <is>
          <t>Capas</t>
        </is>
      </c>
      <c r="F314" s="75" t="n">
        <v>139</v>
      </c>
      <c r="G314" s="75" t="n">
        <v>164</v>
      </c>
      <c r="H314" s="75" t="n">
        <v>303</v>
      </c>
      <c r="I314" s="85" t="n"/>
      <c r="J314" s="85" t="n"/>
      <c r="K314" s="85" t="n"/>
    </row>
    <row r="315" ht="15" customHeight="1" s="101">
      <c r="A315" s="72" t="inlineStr">
        <is>
          <t>WS</t>
        </is>
      </c>
      <c r="B315" s="72" t="inlineStr">
        <is>
          <t>2016</t>
        </is>
      </c>
      <c r="C315" s="72" t="inlineStr">
        <is>
          <t>Palay</t>
        </is>
      </c>
      <c r="D315" s="72" t="inlineStr">
        <is>
          <t>Planting</t>
        </is>
      </c>
      <c r="E315" s="72" t="inlineStr">
        <is>
          <t>Mangkasuy</t>
        </is>
      </c>
      <c r="F315" s="73" t="n">
        <v>90</v>
      </c>
      <c r="G315" s="73" t="n">
        <v>262</v>
      </c>
      <c r="H315" s="73" t="n">
        <v>352</v>
      </c>
      <c r="I315" s="84" t="n"/>
      <c r="J315" s="84" t="n"/>
      <c r="K315" s="84" t="n"/>
    </row>
    <row r="316" ht="15" customHeight="1" s="101">
      <c r="A316" s="74" t="inlineStr">
        <is>
          <t>WS</t>
        </is>
      </c>
      <c r="B316" s="74" t="inlineStr">
        <is>
          <t>2016</t>
        </is>
      </c>
      <c r="C316" s="74" t="inlineStr">
        <is>
          <t>Palay</t>
        </is>
      </c>
      <c r="D316" s="74" t="inlineStr">
        <is>
          <t>Planting</t>
        </is>
      </c>
      <c r="E316" s="74" t="inlineStr">
        <is>
          <t>San Pablo</t>
        </is>
      </c>
      <c r="F316" s="75" t="n">
        <v>103.5</v>
      </c>
      <c r="G316" s="75" t="n">
        <v>30.5</v>
      </c>
      <c r="H316" s="75" t="n">
        <v>134</v>
      </c>
      <c r="I316" s="85" t="n"/>
      <c r="J316" s="85" t="n"/>
      <c r="K316" s="85" t="n"/>
    </row>
    <row r="317" ht="15" customHeight="1" s="101">
      <c r="A317" s="72" t="inlineStr">
        <is>
          <t>WS</t>
        </is>
      </c>
      <c r="B317" s="72" t="inlineStr">
        <is>
          <t>2016</t>
        </is>
      </c>
      <c r="C317" s="72" t="inlineStr">
        <is>
          <t>Palay</t>
        </is>
      </c>
      <c r="D317" s="72" t="inlineStr">
        <is>
          <t>Planting</t>
        </is>
      </c>
      <c r="E317" s="72" t="inlineStr">
        <is>
          <t>Balangobong</t>
        </is>
      </c>
      <c r="F317" s="73" t="n">
        <v>120</v>
      </c>
      <c r="G317" s="73" t="n">
        <v>15</v>
      </c>
      <c r="H317" s="73" t="n">
        <v>135</v>
      </c>
      <c r="I317" s="84" t="n"/>
      <c r="J317" s="84" t="n"/>
      <c r="K317" s="84" t="n"/>
    </row>
    <row r="318" ht="15" customHeight="1" s="101">
      <c r="A318" s="74" t="inlineStr">
        <is>
          <t>WS</t>
        </is>
      </c>
      <c r="B318" s="74" t="inlineStr">
        <is>
          <t>2016</t>
        </is>
      </c>
      <c r="C318" s="74" t="inlineStr">
        <is>
          <t>Palay</t>
        </is>
      </c>
      <c r="D318" s="74" t="inlineStr">
        <is>
          <t>Planting</t>
        </is>
      </c>
      <c r="E318" s="74" t="inlineStr">
        <is>
          <t>San Felipe Central</t>
        </is>
      </c>
      <c r="F318" s="75" t="n">
        <v>117</v>
      </c>
      <c r="G318" s="75" t="n">
        <v>62</v>
      </c>
      <c r="H318" s="75" t="n">
        <v>179</v>
      </c>
      <c r="I318" s="85" t="n"/>
      <c r="J318" s="85" t="n"/>
      <c r="K318" s="85" t="n"/>
    </row>
    <row r="319" ht="15" customHeight="1" s="101">
      <c r="A319" s="72" t="inlineStr">
        <is>
          <t>WS</t>
        </is>
      </c>
      <c r="B319" s="72" t="inlineStr">
        <is>
          <t>2016</t>
        </is>
      </c>
      <c r="C319" s="72" t="inlineStr">
        <is>
          <t>Palay</t>
        </is>
      </c>
      <c r="D319" s="72" t="inlineStr">
        <is>
          <t>Planting</t>
        </is>
      </c>
      <c r="E319" s="72" t="inlineStr">
        <is>
          <t>San Felipe Sur</t>
        </is>
      </c>
      <c r="F319" s="73" t="n">
        <v>127.5</v>
      </c>
      <c r="G319" s="73" t="n">
        <v>50.5</v>
      </c>
      <c r="H319" s="73" t="n">
        <v>178</v>
      </c>
      <c r="I319" s="84" t="n"/>
      <c r="J319" s="84" t="n"/>
      <c r="K319" s="84" t="n"/>
    </row>
    <row r="320" ht="15" customHeight="1" s="101">
      <c r="A320" s="74" t="inlineStr">
        <is>
          <t>WS</t>
        </is>
      </c>
      <c r="B320" s="74" t="inlineStr">
        <is>
          <t>2016</t>
        </is>
      </c>
      <c r="C320" s="74" t="inlineStr">
        <is>
          <t>Palay</t>
        </is>
      </c>
      <c r="D320" s="74" t="inlineStr">
        <is>
          <t>Planting</t>
        </is>
      </c>
      <c r="E320" s="74" t="inlineStr">
        <is>
          <t>Pasileng Sur</t>
        </is>
      </c>
      <c r="F320" s="75" t="n">
        <v>150.9</v>
      </c>
      <c r="G320" s="75" t="n">
        <v>29.1</v>
      </c>
      <c r="H320" s="75" t="n">
        <v>180</v>
      </c>
      <c r="I320" s="85" t="n"/>
      <c r="J320" s="85" t="n"/>
      <c r="K320" s="85" t="n"/>
    </row>
    <row r="321" ht="15" customHeight="1" s="101">
      <c r="A321" s="72" t="inlineStr">
        <is>
          <t>WS</t>
        </is>
      </c>
      <c r="B321" s="72" t="inlineStr">
        <is>
          <t>2016</t>
        </is>
      </c>
      <c r="C321" s="72" t="inlineStr">
        <is>
          <t>Palay</t>
        </is>
      </c>
      <c r="D321" s="72" t="inlineStr">
        <is>
          <t>Planting</t>
        </is>
      </c>
      <c r="E321" s="72" t="inlineStr">
        <is>
          <t>Sta. Maria Norte</t>
        </is>
      </c>
      <c r="F321" s="73" t="n">
        <v>24.5</v>
      </c>
      <c r="G321" s="73" t="n">
        <v>43.5</v>
      </c>
      <c r="H321" s="73" t="n">
        <v>68</v>
      </c>
      <c r="I321" s="84" t="n"/>
      <c r="J321" s="84" t="n"/>
      <c r="K321" s="84" t="n"/>
    </row>
    <row r="322" ht="15" customHeight="1" s="101">
      <c r="A322" s="74" t="inlineStr">
        <is>
          <t>WS</t>
        </is>
      </c>
      <c r="B322" s="74" t="inlineStr">
        <is>
          <t>2016</t>
        </is>
      </c>
      <c r="C322" s="74" t="inlineStr">
        <is>
          <t>Palay</t>
        </is>
      </c>
      <c r="D322" s="74" t="inlineStr">
        <is>
          <t>Planting</t>
        </is>
      </c>
      <c r="E322" s="74" t="inlineStr">
        <is>
          <t>Bugayong</t>
        </is>
      </c>
      <c r="F322" s="75" t="n">
        <v>25.95</v>
      </c>
      <c r="G322" s="75" t="n">
        <v>52.05</v>
      </c>
      <c r="H322" s="75" t="n">
        <v>78</v>
      </c>
      <c r="I322" s="85" t="n"/>
      <c r="J322" s="85" t="n"/>
      <c r="K322" s="85" t="n"/>
    </row>
    <row r="323" ht="15" customHeight="1" s="101">
      <c r="A323" s="72" t="inlineStr">
        <is>
          <t>WS</t>
        </is>
      </c>
      <c r="B323" s="72" t="inlineStr">
        <is>
          <t>2016</t>
        </is>
      </c>
      <c r="C323" s="72" t="inlineStr">
        <is>
          <t>Palay</t>
        </is>
      </c>
      <c r="D323" s="72" t="inlineStr">
        <is>
          <t>Planting</t>
        </is>
      </c>
      <c r="E323" s="72" t="inlineStr">
        <is>
          <t>Santiago</t>
        </is>
      </c>
      <c r="F323" s="73" t="n">
        <v>103.6</v>
      </c>
      <c r="G323" s="73" t="n">
        <v>147.4</v>
      </c>
      <c r="H323" s="73" t="n">
        <v>251</v>
      </c>
      <c r="I323" s="84" t="n"/>
      <c r="J323" s="84" t="n"/>
      <c r="K323" s="84" t="n"/>
    </row>
    <row r="324" ht="15" customHeight="1" s="101">
      <c r="A324" s="74" t="inlineStr">
        <is>
          <t>WS</t>
        </is>
      </c>
      <c r="B324" s="74" t="inlineStr">
        <is>
          <t>2017</t>
        </is>
      </c>
      <c r="C324" s="74" t="inlineStr">
        <is>
          <t>Palay</t>
        </is>
      </c>
      <c r="D324" s="74" t="inlineStr">
        <is>
          <t>Planting</t>
        </is>
      </c>
      <c r="E324" s="74" t="inlineStr">
        <is>
          <t>Pasileng Norte</t>
        </is>
      </c>
      <c r="F324" s="75" t="n">
        <v>78.34999999999999</v>
      </c>
      <c r="G324" s="75" t="n">
        <v>2.65</v>
      </c>
      <c r="H324" s="75" t="n">
        <v>81</v>
      </c>
      <c r="I324" s="85" t="n"/>
      <c r="J324" s="85" t="n"/>
      <c r="K324" s="85" t="n"/>
    </row>
    <row r="325" ht="15" customHeight="1" s="101">
      <c r="A325" s="72" t="inlineStr">
        <is>
          <t>WS</t>
        </is>
      </c>
      <c r="B325" s="72" t="inlineStr">
        <is>
          <t>2017</t>
        </is>
      </c>
      <c r="C325" s="72" t="inlineStr">
        <is>
          <t>Palay</t>
        </is>
      </c>
      <c r="D325" s="72" t="inlineStr">
        <is>
          <t>Planting</t>
        </is>
      </c>
      <c r="E325" s="72" t="inlineStr">
        <is>
          <t>Tabuyoc</t>
        </is>
      </c>
      <c r="F325" s="73" t="n">
        <v>134</v>
      </c>
      <c r="G325" s="73" t="n">
        <v>5</v>
      </c>
      <c r="H325" s="73" t="n">
        <v>139</v>
      </c>
      <c r="I325" s="84" t="n"/>
      <c r="J325" s="84" t="n"/>
      <c r="K325" s="84" t="n"/>
    </row>
    <row r="326" ht="15" customHeight="1" s="101">
      <c r="A326" s="74" t="inlineStr">
        <is>
          <t>WS</t>
        </is>
      </c>
      <c r="B326" s="74" t="inlineStr">
        <is>
          <t>2017</t>
        </is>
      </c>
      <c r="C326" s="74" t="inlineStr">
        <is>
          <t>Palay</t>
        </is>
      </c>
      <c r="D326" s="74" t="inlineStr">
        <is>
          <t>Planting</t>
        </is>
      </c>
      <c r="E326" s="74" t="inlineStr">
        <is>
          <t>Bued</t>
        </is>
      </c>
      <c r="F326" s="75" t="n">
        <v>56.5</v>
      </c>
      <c r="G326" s="75" t="n">
        <v>37.5</v>
      </c>
      <c r="H326" s="75" t="n">
        <v>94</v>
      </c>
      <c r="I326" s="85" t="n"/>
      <c r="J326" s="85" t="n"/>
      <c r="K326" s="85" t="n"/>
    </row>
    <row r="327" ht="15" customHeight="1" s="101">
      <c r="A327" s="72" t="inlineStr">
        <is>
          <t>WS</t>
        </is>
      </c>
      <c r="B327" s="72" t="inlineStr">
        <is>
          <t>2017</t>
        </is>
      </c>
      <c r="C327" s="72" t="inlineStr">
        <is>
          <t>Palay</t>
        </is>
      </c>
      <c r="D327" s="72" t="inlineStr">
        <is>
          <t>Planting</t>
        </is>
      </c>
      <c r="E327" s="72" t="inlineStr">
        <is>
          <t>Dumayat</t>
        </is>
      </c>
      <c r="F327" s="73" t="n">
        <v>56</v>
      </c>
      <c r="G327" s="73" t="n">
        <v>30</v>
      </c>
      <c r="H327" s="73" t="n">
        <v>86</v>
      </c>
      <c r="I327" s="84" t="n"/>
      <c r="J327" s="84" t="n"/>
      <c r="K327" s="84" t="n"/>
    </row>
    <row r="328" ht="15" customHeight="1" s="101">
      <c r="A328" s="74" t="inlineStr">
        <is>
          <t>WS</t>
        </is>
      </c>
      <c r="B328" s="74" t="inlineStr">
        <is>
          <t>2017</t>
        </is>
      </c>
      <c r="C328" s="74" t="inlineStr">
        <is>
          <t>Palay</t>
        </is>
      </c>
      <c r="D328" s="74" t="inlineStr">
        <is>
          <t>Planting</t>
        </is>
      </c>
      <c r="E328" s="74" t="inlineStr">
        <is>
          <t>Camanggaan</t>
        </is>
      </c>
      <c r="F328" s="75" t="n">
        <v>19</v>
      </c>
      <c r="G328" s="75" t="n">
        <v>68</v>
      </c>
      <c r="H328" s="75" t="n">
        <v>87</v>
      </c>
      <c r="I328" s="85" t="n"/>
      <c r="J328" s="85" t="n"/>
      <c r="K328" s="85" t="n"/>
    </row>
    <row r="329" ht="15" customHeight="1" s="101">
      <c r="A329" s="72" t="inlineStr">
        <is>
          <t>WS</t>
        </is>
      </c>
      <c r="B329" s="72" t="inlineStr">
        <is>
          <t>2017</t>
        </is>
      </c>
      <c r="C329" s="72" t="inlineStr">
        <is>
          <t>Palay</t>
        </is>
      </c>
      <c r="D329" s="72" t="inlineStr">
        <is>
          <t>Planting</t>
        </is>
      </c>
      <c r="E329" s="72" t="inlineStr">
        <is>
          <t>Vacante</t>
        </is>
      </c>
      <c r="F329" s="73" t="n">
        <v>28</v>
      </c>
      <c r="G329" s="73" t="n">
        <v>81</v>
      </c>
      <c r="H329" s="73" t="n">
        <v>109</v>
      </c>
      <c r="I329" s="84" t="n"/>
      <c r="J329" s="84" t="n"/>
      <c r="K329" s="84" t="n"/>
    </row>
    <row r="330" ht="15" customHeight="1" s="101">
      <c r="A330" s="74" t="inlineStr">
        <is>
          <t>WS</t>
        </is>
      </c>
      <c r="B330" s="74" t="inlineStr">
        <is>
          <t>2017</t>
        </is>
      </c>
      <c r="C330" s="74" t="inlineStr">
        <is>
          <t>Palay</t>
        </is>
      </c>
      <c r="D330" s="74" t="inlineStr">
        <is>
          <t>Planting</t>
        </is>
      </c>
      <c r="E330" s="74" t="inlineStr">
        <is>
          <t>Sta. Catalina</t>
        </is>
      </c>
      <c r="F330" s="75" t="n">
        <v>49</v>
      </c>
      <c r="G330" s="75" t="n">
        <v>180</v>
      </c>
      <c r="H330" s="75" t="n">
        <v>229</v>
      </c>
      <c r="I330" s="85" t="n"/>
      <c r="J330" s="85" t="n"/>
      <c r="K330" s="85" t="n"/>
    </row>
    <row r="331" ht="15" customHeight="1" s="101">
      <c r="A331" s="72" t="inlineStr">
        <is>
          <t>WS</t>
        </is>
      </c>
      <c r="B331" s="72" t="inlineStr">
        <is>
          <t>2017</t>
        </is>
      </c>
      <c r="C331" s="72" t="inlineStr">
        <is>
          <t>Palay</t>
        </is>
      </c>
      <c r="D331" s="72" t="inlineStr">
        <is>
          <t>Planting</t>
        </is>
      </c>
      <c r="E331" s="72" t="inlineStr">
        <is>
          <t>Moreno</t>
        </is>
      </c>
      <c r="F331" s="73" t="n">
        <v>47.4</v>
      </c>
      <c r="G331" s="73" t="n">
        <v>116.6</v>
      </c>
      <c r="H331" s="73" t="n">
        <v>164</v>
      </c>
      <c r="I331" s="84" t="n"/>
      <c r="J331" s="84" t="n"/>
      <c r="K331" s="84" t="n"/>
    </row>
    <row r="332" ht="15" customHeight="1" s="101">
      <c r="A332" s="74" t="inlineStr">
        <is>
          <t>WS</t>
        </is>
      </c>
      <c r="B332" s="74" t="inlineStr">
        <is>
          <t>2017</t>
        </is>
      </c>
      <c r="C332" s="74" t="inlineStr">
        <is>
          <t>Palay</t>
        </is>
      </c>
      <c r="D332" s="74" t="inlineStr">
        <is>
          <t>Planting</t>
        </is>
      </c>
      <c r="E332" s="74" t="inlineStr">
        <is>
          <t>Cili</t>
        </is>
      </c>
      <c r="F332" s="75" t="n">
        <v>40</v>
      </c>
      <c r="G332" s="75" t="n">
        <v>128</v>
      </c>
      <c r="H332" s="75" t="n">
        <v>168</v>
      </c>
      <c r="I332" s="85" t="n"/>
      <c r="J332" s="85" t="n"/>
      <c r="K332" s="85" t="n"/>
    </row>
    <row r="333" ht="15" customHeight="1" s="101">
      <c r="A333" s="72" t="inlineStr">
        <is>
          <t>WS</t>
        </is>
      </c>
      <c r="B333" s="72" t="inlineStr">
        <is>
          <t>2017</t>
        </is>
      </c>
      <c r="C333" s="72" t="inlineStr">
        <is>
          <t>Palay</t>
        </is>
      </c>
      <c r="D333" s="72" t="inlineStr">
        <is>
          <t>Planting</t>
        </is>
      </c>
      <c r="E333" s="72" t="inlineStr">
        <is>
          <t>Linmansangan</t>
        </is>
      </c>
      <c r="F333" s="73" t="n">
        <v>65.5</v>
      </c>
      <c r="G333" s="73" t="n">
        <v>150.5</v>
      </c>
      <c r="H333" s="73" t="n">
        <v>216</v>
      </c>
      <c r="I333" s="84" t="n"/>
      <c r="J333" s="84" t="n"/>
      <c r="K333" s="84" t="n"/>
    </row>
    <row r="334" ht="15" customHeight="1" s="101">
      <c r="A334" s="74" t="inlineStr">
        <is>
          <t>WS</t>
        </is>
      </c>
      <c r="B334" s="74" t="inlineStr">
        <is>
          <t>2017</t>
        </is>
      </c>
      <c r="C334" s="74" t="inlineStr">
        <is>
          <t>Palay</t>
        </is>
      </c>
      <c r="D334" s="74" t="inlineStr">
        <is>
          <t>Planting</t>
        </is>
      </c>
      <c r="E334" s="74" t="inlineStr">
        <is>
          <t>Sumabnit</t>
        </is>
      </c>
      <c r="F334" s="75" t="n">
        <v>133.3</v>
      </c>
      <c r="G334" s="75" t="n">
        <v>123.7</v>
      </c>
      <c r="H334" s="75" t="n">
        <v>257</v>
      </c>
      <c r="I334" s="85" t="n"/>
      <c r="J334" s="85" t="n"/>
      <c r="K334" s="85" t="n"/>
    </row>
    <row r="335" ht="15" customHeight="1" s="101">
      <c r="A335" s="72" t="inlineStr">
        <is>
          <t>WS</t>
        </is>
      </c>
      <c r="B335" s="72" t="inlineStr">
        <is>
          <t>2017</t>
        </is>
      </c>
      <c r="C335" s="72" t="inlineStr">
        <is>
          <t>Palay</t>
        </is>
      </c>
      <c r="D335" s="72" t="inlineStr">
        <is>
          <t>Planting</t>
        </is>
      </c>
      <c r="E335" s="72" t="inlineStr">
        <is>
          <t>Capas</t>
        </is>
      </c>
      <c r="F335" s="73" t="n">
        <v>139</v>
      </c>
      <c r="G335" s="73" t="n">
        <v>164</v>
      </c>
      <c r="H335" s="73" t="n">
        <v>303</v>
      </c>
      <c r="I335" s="84" t="n"/>
      <c r="J335" s="84" t="n"/>
      <c r="K335" s="84" t="n"/>
    </row>
    <row r="336" ht="15" customHeight="1" s="101">
      <c r="A336" s="74" t="inlineStr">
        <is>
          <t>WS</t>
        </is>
      </c>
      <c r="B336" s="74" t="inlineStr">
        <is>
          <t>2017</t>
        </is>
      </c>
      <c r="C336" s="74" t="inlineStr">
        <is>
          <t>Palay</t>
        </is>
      </c>
      <c r="D336" s="74" t="inlineStr">
        <is>
          <t>Planting</t>
        </is>
      </c>
      <c r="E336" s="74" t="inlineStr">
        <is>
          <t>Mangkasuy</t>
        </is>
      </c>
      <c r="F336" s="75" t="n">
        <v>90</v>
      </c>
      <c r="G336" s="75" t="n">
        <v>262</v>
      </c>
      <c r="H336" s="75" t="n">
        <v>352</v>
      </c>
      <c r="I336" s="85" t="n"/>
      <c r="J336" s="85" t="n"/>
      <c r="K336" s="85" t="n"/>
    </row>
    <row r="337" ht="15" customHeight="1" s="101">
      <c r="A337" s="72" t="inlineStr">
        <is>
          <t>WS</t>
        </is>
      </c>
      <c r="B337" s="72" t="inlineStr">
        <is>
          <t>2017</t>
        </is>
      </c>
      <c r="C337" s="72" t="inlineStr">
        <is>
          <t>Palay</t>
        </is>
      </c>
      <c r="D337" s="72" t="inlineStr">
        <is>
          <t>Planting</t>
        </is>
      </c>
      <c r="E337" s="72" t="inlineStr">
        <is>
          <t>San Pablo</t>
        </is>
      </c>
      <c r="F337" s="73" t="n">
        <v>103.5</v>
      </c>
      <c r="G337" s="73" t="n">
        <v>30.5</v>
      </c>
      <c r="H337" s="73" t="n">
        <v>134</v>
      </c>
      <c r="I337" s="84" t="n"/>
      <c r="J337" s="84" t="n"/>
      <c r="K337" s="84" t="n"/>
    </row>
    <row r="338" ht="15" customHeight="1" s="101">
      <c r="A338" s="74" t="inlineStr">
        <is>
          <t>WS</t>
        </is>
      </c>
      <c r="B338" s="74" t="inlineStr">
        <is>
          <t>2017</t>
        </is>
      </c>
      <c r="C338" s="74" t="inlineStr">
        <is>
          <t>Palay</t>
        </is>
      </c>
      <c r="D338" s="74" t="inlineStr">
        <is>
          <t>Planting</t>
        </is>
      </c>
      <c r="E338" s="74" t="inlineStr">
        <is>
          <t>Balangobong</t>
        </is>
      </c>
      <c r="F338" s="75" t="n">
        <v>120</v>
      </c>
      <c r="G338" s="75" t="n">
        <v>15</v>
      </c>
      <c r="H338" s="75" t="n">
        <v>135</v>
      </c>
      <c r="I338" s="85" t="n"/>
      <c r="J338" s="85" t="n"/>
      <c r="K338" s="85" t="n"/>
    </row>
    <row r="339" ht="15" customHeight="1" s="101">
      <c r="A339" s="72" t="inlineStr">
        <is>
          <t>WS</t>
        </is>
      </c>
      <c r="B339" s="72" t="inlineStr">
        <is>
          <t>2017</t>
        </is>
      </c>
      <c r="C339" s="72" t="inlineStr">
        <is>
          <t>Palay</t>
        </is>
      </c>
      <c r="D339" s="72" t="inlineStr">
        <is>
          <t>Planting</t>
        </is>
      </c>
      <c r="E339" s="72" t="inlineStr">
        <is>
          <t>San Felipe Central</t>
        </is>
      </c>
      <c r="F339" s="73" t="n">
        <v>117</v>
      </c>
      <c r="G339" s="73" t="n">
        <v>62</v>
      </c>
      <c r="H339" s="73" t="n">
        <v>179</v>
      </c>
      <c r="I339" s="84" t="n"/>
      <c r="J339" s="84" t="n"/>
      <c r="K339" s="84" t="n"/>
    </row>
    <row r="340" ht="15" customHeight="1" s="101">
      <c r="A340" s="74" t="inlineStr">
        <is>
          <t>WS</t>
        </is>
      </c>
      <c r="B340" s="74" t="inlineStr">
        <is>
          <t>2017</t>
        </is>
      </c>
      <c r="C340" s="74" t="inlineStr">
        <is>
          <t>Palay</t>
        </is>
      </c>
      <c r="D340" s="74" t="inlineStr">
        <is>
          <t>Planting</t>
        </is>
      </c>
      <c r="E340" s="74" t="inlineStr">
        <is>
          <t>San Felipe Sur</t>
        </is>
      </c>
      <c r="F340" s="75" t="n">
        <v>127.5</v>
      </c>
      <c r="G340" s="75" t="n">
        <v>50.5</v>
      </c>
      <c r="H340" s="75" t="n">
        <v>178</v>
      </c>
      <c r="I340" s="85" t="n"/>
      <c r="J340" s="85" t="n"/>
      <c r="K340" s="85" t="n"/>
    </row>
    <row r="341" ht="15" customHeight="1" s="101">
      <c r="A341" s="72" t="inlineStr">
        <is>
          <t>WS</t>
        </is>
      </c>
      <c r="B341" s="72" t="inlineStr">
        <is>
          <t>2017</t>
        </is>
      </c>
      <c r="C341" s="72" t="inlineStr">
        <is>
          <t>Palay</t>
        </is>
      </c>
      <c r="D341" s="72" t="inlineStr">
        <is>
          <t>Planting</t>
        </is>
      </c>
      <c r="E341" s="72" t="inlineStr">
        <is>
          <t>Pasileng Sur</t>
        </is>
      </c>
      <c r="F341" s="73" t="n">
        <v>150.9</v>
      </c>
      <c r="G341" s="73" t="n">
        <v>29.1</v>
      </c>
      <c r="H341" s="73" t="n">
        <v>180</v>
      </c>
      <c r="I341" s="84" t="n"/>
      <c r="J341" s="84" t="n"/>
      <c r="K341" s="84" t="n"/>
    </row>
    <row r="342" ht="15" customHeight="1" s="101">
      <c r="A342" s="74" t="inlineStr">
        <is>
          <t>WS</t>
        </is>
      </c>
      <c r="B342" s="74" t="inlineStr">
        <is>
          <t>2017</t>
        </is>
      </c>
      <c r="C342" s="74" t="inlineStr">
        <is>
          <t>Palay</t>
        </is>
      </c>
      <c r="D342" s="74" t="inlineStr">
        <is>
          <t>Planting</t>
        </is>
      </c>
      <c r="E342" s="74" t="inlineStr">
        <is>
          <t>Sta. Maria Norte</t>
        </is>
      </c>
      <c r="F342" s="75" t="n">
        <v>24.5</v>
      </c>
      <c r="G342" s="75" t="n">
        <v>43.5</v>
      </c>
      <c r="H342" s="75" t="n">
        <v>68</v>
      </c>
      <c r="I342" s="85" t="n"/>
      <c r="J342" s="85" t="n"/>
      <c r="K342" s="85" t="n"/>
    </row>
    <row r="343" ht="15" customHeight="1" s="101">
      <c r="A343" s="72" t="inlineStr">
        <is>
          <t>WS</t>
        </is>
      </c>
      <c r="B343" s="72" t="inlineStr">
        <is>
          <t>2017</t>
        </is>
      </c>
      <c r="C343" s="72" t="inlineStr">
        <is>
          <t>Palay</t>
        </is>
      </c>
      <c r="D343" s="72" t="inlineStr">
        <is>
          <t>Planting</t>
        </is>
      </c>
      <c r="E343" s="72" t="inlineStr">
        <is>
          <t>Bugayong</t>
        </is>
      </c>
      <c r="F343" s="73" t="n">
        <v>25.95</v>
      </c>
      <c r="G343" s="73" t="n">
        <v>52.05</v>
      </c>
      <c r="H343" s="73" t="n">
        <v>78</v>
      </c>
      <c r="I343" s="84" t="n"/>
      <c r="J343" s="84" t="n"/>
      <c r="K343" s="84" t="n"/>
    </row>
    <row r="344" ht="15" customHeight="1" s="101">
      <c r="A344" s="74" t="inlineStr">
        <is>
          <t>WS</t>
        </is>
      </c>
      <c r="B344" s="74" t="inlineStr">
        <is>
          <t>2017</t>
        </is>
      </c>
      <c r="C344" s="74" t="inlineStr">
        <is>
          <t>Palay</t>
        </is>
      </c>
      <c r="D344" s="74" t="inlineStr">
        <is>
          <t>Planting</t>
        </is>
      </c>
      <c r="E344" s="74" t="inlineStr">
        <is>
          <t>Santiago</t>
        </is>
      </c>
      <c r="F344" s="75" t="n">
        <v>103.6</v>
      </c>
      <c r="G344" s="75" t="n">
        <v>147.4</v>
      </c>
      <c r="H344" s="75" t="n">
        <v>251</v>
      </c>
      <c r="I344" s="85" t="n"/>
      <c r="J344" s="85" t="n"/>
      <c r="K344" s="85" t="n"/>
    </row>
    <row r="345" ht="15" customHeight="1" s="101">
      <c r="A345" s="72" t="inlineStr">
        <is>
          <t>WS</t>
        </is>
      </c>
      <c r="B345" s="72" t="inlineStr">
        <is>
          <t>2018</t>
        </is>
      </c>
      <c r="C345" s="72" t="inlineStr">
        <is>
          <t>Palay</t>
        </is>
      </c>
      <c r="D345" s="72" t="inlineStr">
        <is>
          <t>Planting</t>
        </is>
      </c>
      <c r="E345" s="72" t="inlineStr">
        <is>
          <t>Pasileng Norte</t>
        </is>
      </c>
      <c r="F345" s="73" t="n">
        <v>78.34999999999999</v>
      </c>
      <c r="G345" s="73" t="n">
        <v>2.65</v>
      </c>
      <c r="H345" s="73" t="n">
        <v>81</v>
      </c>
      <c r="I345" s="84" t="n"/>
      <c r="J345" s="84" t="n"/>
      <c r="K345" s="84" t="n"/>
    </row>
    <row r="346" ht="15" customHeight="1" s="101">
      <c r="A346" s="74" t="inlineStr">
        <is>
          <t>WS</t>
        </is>
      </c>
      <c r="B346" s="74" t="inlineStr">
        <is>
          <t>2018</t>
        </is>
      </c>
      <c r="C346" s="74" t="inlineStr">
        <is>
          <t>Palay</t>
        </is>
      </c>
      <c r="D346" s="74" t="inlineStr">
        <is>
          <t>Planting</t>
        </is>
      </c>
      <c r="E346" s="74" t="inlineStr">
        <is>
          <t>Tabuyoc</t>
        </is>
      </c>
      <c r="F346" s="75" t="n">
        <v>134</v>
      </c>
      <c r="G346" s="75" t="n">
        <v>5</v>
      </c>
      <c r="H346" s="75" t="n">
        <v>139</v>
      </c>
      <c r="I346" s="85" t="n"/>
      <c r="J346" s="85" t="n"/>
      <c r="K346" s="85" t="n"/>
    </row>
    <row r="347" ht="15" customHeight="1" s="101">
      <c r="A347" s="72" t="inlineStr">
        <is>
          <t>WS</t>
        </is>
      </c>
      <c r="B347" s="72" t="inlineStr">
        <is>
          <t>2018</t>
        </is>
      </c>
      <c r="C347" s="72" t="inlineStr">
        <is>
          <t>Palay</t>
        </is>
      </c>
      <c r="D347" s="72" t="inlineStr">
        <is>
          <t>Planting</t>
        </is>
      </c>
      <c r="E347" s="72" t="inlineStr">
        <is>
          <t>Bued</t>
        </is>
      </c>
      <c r="F347" s="73" t="n">
        <v>56.5</v>
      </c>
      <c r="G347" s="73" t="n">
        <v>37.5</v>
      </c>
      <c r="H347" s="73" t="n">
        <v>94</v>
      </c>
      <c r="I347" s="84" t="n"/>
      <c r="J347" s="84" t="n"/>
      <c r="K347" s="84" t="n"/>
    </row>
    <row r="348" ht="15" customHeight="1" s="101">
      <c r="A348" s="74" t="inlineStr">
        <is>
          <t>WS</t>
        </is>
      </c>
      <c r="B348" s="74" t="inlineStr">
        <is>
          <t>2018</t>
        </is>
      </c>
      <c r="C348" s="74" t="inlineStr">
        <is>
          <t>Palay</t>
        </is>
      </c>
      <c r="D348" s="74" t="inlineStr">
        <is>
          <t>Planting</t>
        </is>
      </c>
      <c r="E348" s="74" t="inlineStr">
        <is>
          <t>Dumayat</t>
        </is>
      </c>
      <c r="F348" s="75" t="n">
        <v>56</v>
      </c>
      <c r="G348" s="75" t="n">
        <v>30</v>
      </c>
      <c r="H348" s="75" t="n">
        <v>86</v>
      </c>
      <c r="I348" s="85" t="n"/>
      <c r="J348" s="85" t="n"/>
      <c r="K348" s="85" t="n"/>
    </row>
    <row r="349" ht="15" customHeight="1" s="101">
      <c r="A349" s="72" t="inlineStr">
        <is>
          <t>WS</t>
        </is>
      </c>
      <c r="B349" s="72" t="inlineStr">
        <is>
          <t>2018</t>
        </is>
      </c>
      <c r="C349" s="72" t="inlineStr">
        <is>
          <t>Palay</t>
        </is>
      </c>
      <c r="D349" s="72" t="inlineStr">
        <is>
          <t>Planting</t>
        </is>
      </c>
      <c r="E349" s="72" t="inlineStr">
        <is>
          <t>Camanggaan</t>
        </is>
      </c>
      <c r="F349" s="73" t="n">
        <v>19</v>
      </c>
      <c r="G349" s="73" t="n">
        <v>68</v>
      </c>
      <c r="H349" s="73" t="n">
        <v>87</v>
      </c>
      <c r="I349" s="84" t="n"/>
      <c r="J349" s="84" t="n"/>
      <c r="K349" s="84" t="n"/>
    </row>
    <row r="350" ht="15" customHeight="1" s="101">
      <c r="A350" s="74" t="inlineStr">
        <is>
          <t>WS</t>
        </is>
      </c>
      <c r="B350" s="74" t="inlineStr">
        <is>
          <t>2018</t>
        </is>
      </c>
      <c r="C350" s="74" t="inlineStr">
        <is>
          <t>Palay</t>
        </is>
      </c>
      <c r="D350" s="74" t="inlineStr">
        <is>
          <t>Planting</t>
        </is>
      </c>
      <c r="E350" s="74" t="inlineStr">
        <is>
          <t>Vacante</t>
        </is>
      </c>
      <c r="F350" s="75" t="n">
        <v>28</v>
      </c>
      <c r="G350" s="75" t="n">
        <v>81</v>
      </c>
      <c r="H350" s="75" t="n">
        <v>109</v>
      </c>
      <c r="I350" s="85" t="n"/>
      <c r="J350" s="85" t="n"/>
      <c r="K350" s="85" t="n"/>
    </row>
    <row r="351" ht="15" customHeight="1" s="101">
      <c r="A351" s="72" t="inlineStr">
        <is>
          <t>WS</t>
        </is>
      </c>
      <c r="B351" s="72" t="inlineStr">
        <is>
          <t>2018</t>
        </is>
      </c>
      <c r="C351" s="72" t="inlineStr">
        <is>
          <t>Palay</t>
        </is>
      </c>
      <c r="D351" s="72" t="inlineStr">
        <is>
          <t>Planting</t>
        </is>
      </c>
      <c r="E351" s="72" t="inlineStr">
        <is>
          <t>Sta. Catalina</t>
        </is>
      </c>
      <c r="F351" s="73" t="n">
        <v>49</v>
      </c>
      <c r="G351" s="73" t="n">
        <v>180</v>
      </c>
      <c r="H351" s="73" t="n">
        <v>229</v>
      </c>
      <c r="I351" s="84" t="n"/>
      <c r="J351" s="84" t="n"/>
      <c r="K351" s="84" t="n"/>
    </row>
    <row r="352" ht="15" customHeight="1" s="101">
      <c r="A352" s="74" t="inlineStr">
        <is>
          <t>WS</t>
        </is>
      </c>
      <c r="B352" s="74" t="inlineStr">
        <is>
          <t>2018</t>
        </is>
      </c>
      <c r="C352" s="74" t="inlineStr">
        <is>
          <t>Palay</t>
        </is>
      </c>
      <c r="D352" s="74" t="inlineStr">
        <is>
          <t>Planting</t>
        </is>
      </c>
      <c r="E352" s="74" t="inlineStr">
        <is>
          <t>Moreno</t>
        </is>
      </c>
      <c r="F352" s="75" t="n">
        <v>47.4</v>
      </c>
      <c r="G352" s="75" t="n">
        <v>116.6</v>
      </c>
      <c r="H352" s="75" t="n">
        <v>164</v>
      </c>
      <c r="I352" s="85" t="n"/>
      <c r="J352" s="85" t="n"/>
      <c r="K352" s="85" t="n"/>
    </row>
    <row r="353" ht="15" customHeight="1" s="101">
      <c r="A353" s="72" t="inlineStr">
        <is>
          <t>WS</t>
        </is>
      </c>
      <c r="B353" s="72" t="inlineStr">
        <is>
          <t>2018</t>
        </is>
      </c>
      <c r="C353" s="72" t="inlineStr">
        <is>
          <t>Palay</t>
        </is>
      </c>
      <c r="D353" s="72" t="inlineStr">
        <is>
          <t>Planting</t>
        </is>
      </c>
      <c r="E353" s="72" t="inlineStr">
        <is>
          <t>Cili</t>
        </is>
      </c>
      <c r="F353" s="73" t="n">
        <v>40</v>
      </c>
      <c r="G353" s="73" t="n">
        <v>128</v>
      </c>
      <c r="H353" s="73" t="n">
        <v>168</v>
      </c>
      <c r="I353" s="84" t="n"/>
      <c r="J353" s="84" t="n"/>
      <c r="K353" s="84" t="n"/>
    </row>
    <row r="354" ht="15" customHeight="1" s="101">
      <c r="A354" s="74" t="inlineStr">
        <is>
          <t>WS</t>
        </is>
      </c>
      <c r="B354" s="74" t="inlineStr">
        <is>
          <t>2018</t>
        </is>
      </c>
      <c r="C354" s="74" t="inlineStr">
        <is>
          <t>Palay</t>
        </is>
      </c>
      <c r="D354" s="74" t="inlineStr">
        <is>
          <t>Planting</t>
        </is>
      </c>
      <c r="E354" s="74" t="inlineStr">
        <is>
          <t>Linmansangan</t>
        </is>
      </c>
      <c r="F354" s="75" t="n">
        <v>65.5</v>
      </c>
      <c r="G354" s="75" t="n">
        <v>150.5</v>
      </c>
      <c r="H354" s="75" t="n">
        <v>216</v>
      </c>
      <c r="I354" s="85" t="n"/>
      <c r="J354" s="85" t="n"/>
      <c r="K354" s="85" t="n"/>
    </row>
    <row r="355" ht="15" customHeight="1" s="101">
      <c r="A355" s="72" t="inlineStr">
        <is>
          <t>WS</t>
        </is>
      </c>
      <c r="B355" s="72" t="inlineStr">
        <is>
          <t>2018</t>
        </is>
      </c>
      <c r="C355" s="72" t="inlineStr">
        <is>
          <t>Palay</t>
        </is>
      </c>
      <c r="D355" s="72" t="inlineStr">
        <is>
          <t>Planting</t>
        </is>
      </c>
      <c r="E355" s="72" t="inlineStr">
        <is>
          <t>Sumabnit</t>
        </is>
      </c>
      <c r="F355" s="73" t="n">
        <v>133.3</v>
      </c>
      <c r="G355" s="73" t="n">
        <v>123.7</v>
      </c>
      <c r="H355" s="73" t="n">
        <v>257</v>
      </c>
      <c r="I355" s="84" t="n"/>
      <c r="J355" s="84" t="n"/>
      <c r="K355" s="84" t="n"/>
    </row>
    <row r="356" ht="15" customHeight="1" s="101">
      <c r="A356" s="74" t="inlineStr">
        <is>
          <t>WS</t>
        </is>
      </c>
      <c r="B356" s="74" t="inlineStr">
        <is>
          <t>2018</t>
        </is>
      </c>
      <c r="C356" s="74" t="inlineStr">
        <is>
          <t>Palay</t>
        </is>
      </c>
      <c r="D356" s="74" t="inlineStr">
        <is>
          <t>Planting</t>
        </is>
      </c>
      <c r="E356" s="74" t="inlineStr">
        <is>
          <t>Capas</t>
        </is>
      </c>
      <c r="F356" s="75" t="n">
        <v>139</v>
      </c>
      <c r="G356" s="75" t="n">
        <v>164</v>
      </c>
      <c r="H356" s="75" t="n">
        <v>303</v>
      </c>
      <c r="I356" s="85" t="n"/>
      <c r="J356" s="85" t="n"/>
      <c r="K356" s="85" t="n"/>
    </row>
    <row r="357" ht="15" customHeight="1" s="101">
      <c r="A357" s="72" t="inlineStr">
        <is>
          <t>WS</t>
        </is>
      </c>
      <c r="B357" s="72" t="inlineStr">
        <is>
          <t>2018</t>
        </is>
      </c>
      <c r="C357" s="72" t="inlineStr">
        <is>
          <t>Palay</t>
        </is>
      </c>
      <c r="D357" s="72" t="inlineStr">
        <is>
          <t>Planting</t>
        </is>
      </c>
      <c r="E357" s="72" t="inlineStr">
        <is>
          <t>Mangkasuy</t>
        </is>
      </c>
      <c r="F357" s="73" t="n">
        <v>90</v>
      </c>
      <c r="G357" s="73" t="n">
        <v>262</v>
      </c>
      <c r="H357" s="73" t="n">
        <v>352</v>
      </c>
      <c r="I357" s="84" t="n"/>
      <c r="J357" s="84" t="n"/>
      <c r="K357" s="84" t="n"/>
    </row>
    <row r="358" ht="15" customHeight="1" s="101">
      <c r="A358" s="74" t="inlineStr">
        <is>
          <t>WS</t>
        </is>
      </c>
      <c r="B358" s="74" t="inlineStr">
        <is>
          <t>2018</t>
        </is>
      </c>
      <c r="C358" s="74" t="inlineStr">
        <is>
          <t>Palay</t>
        </is>
      </c>
      <c r="D358" s="74" t="inlineStr">
        <is>
          <t>Planting</t>
        </is>
      </c>
      <c r="E358" s="74" t="inlineStr">
        <is>
          <t>San Pablo</t>
        </is>
      </c>
      <c r="F358" s="75" t="n">
        <v>103.5</v>
      </c>
      <c r="G358" s="75" t="n">
        <v>30.5</v>
      </c>
      <c r="H358" s="75" t="n">
        <v>134</v>
      </c>
      <c r="I358" s="85" t="n"/>
      <c r="J358" s="85" t="n"/>
      <c r="K358" s="85" t="n"/>
    </row>
    <row r="359" ht="15" customHeight="1" s="101">
      <c r="A359" s="72" t="inlineStr">
        <is>
          <t>WS</t>
        </is>
      </c>
      <c r="B359" s="72" t="inlineStr">
        <is>
          <t>2018</t>
        </is>
      </c>
      <c r="C359" s="72" t="inlineStr">
        <is>
          <t>Palay</t>
        </is>
      </c>
      <c r="D359" s="72" t="inlineStr">
        <is>
          <t>Planting</t>
        </is>
      </c>
      <c r="E359" s="72" t="inlineStr">
        <is>
          <t>Balangobong</t>
        </is>
      </c>
      <c r="F359" s="73" t="n">
        <v>120</v>
      </c>
      <c r="G359" s="73" t="n">
        <v>15</v>
      </c>
      <c r="H359" s="73" t="n">
        <v>135</v>
      </c>
      <c r="I359" s="84" t="n"/>
      <c r="J359" s="84" t="n"/>
      <c r="K359" s="84" t="n"/>
    </row>
    <row r="360" ht="15" customHeight="1" s="101">
      <c r="A360" s="74" t="inlineStr">
        <is>
          <t>WS</t>
        </is>
      </c>
      <c r="B360" s="74" t="inlineStr">
        <is>
          <t>2018</t>
        </is>
      </c>
      <c r="C360" s="74" t="inlineStr">
        <is>
          <t>Palay</t>
        </is>
      </c>
      <c r="D360" s="74" t="inlineStr">
        <is>
          <t>Planting</t>
        </is>
      </c>
      <c r="E360" s="74" t="inlineStr">
        <is>
          <t>San Felipe Central</t>
        </is>
      </c>
      <c r="F360" s="75" t="n">
        <v>117</v>
      </c>
      <c r="G360" s="75" t="n">
        <v>62</v>
      </c>
      <c r="H360" s="75" t="n">
        <v>179</v>
      </c>
      <c r="I360" s="85" t="n"/>
      <c r="J360" s="85" t="n"/>
      <c r="K360" s="85" t="n"/>
    </row>
    <row r="361" ht="15" customHeight="1" s="101">
      <c r="A361" s="72" t="inlineStr">
        <is>
          <t>WS</t>
        </is>
      </c>
      <c r="B361" s="72" t="inlineStr">
        <is>
          <t>2018</t>
        </is>
      </c>
      <c r="C361" s="72" t="inlineStr">
        <is>
          <t>Palay</t>
        </is>
      </c>
      <c r="D361" s="72" t="inlineStr">
        <is>
          <t>Planting</t>
        </is>
      </c>
      <c r="E361" s="72" t="inlineStr">
        <is>
          <t>San Felipe Sur</t>
        </is>
      </c>
      <c r="F361" s="73" t="n">
        <v>127.5</v>
      </c>
      <c r="G361" s="73" t="n">
        <v>50.5</v>
      </c>
      <c r="H361" s="73" t="n">
        <v>178</v>
      </c>
      <c r="I361" s="84" t="n"/>
      <c r="J361" s="84" t="n"/>
      <c r="K361" s="84" t="n"/>
    </row>
    <row r="362" ht="15" customHeight="1" s="101">
      <c r="A362" s="74" t="inlineStr">
        <is>
          <t>WS</t>
        </is>
      </c>
      <c r="B362" s="74" t="inlineStr">
        <is>
          <t>2018</t>
        </is>
      </c>
      <c r="C362" s="74" t="inlineStr">
        <is>
          <t>Palay</t>
        </is>
      </c>
      <c r="D362" s="74" t="inlineStr">
        <is>
          <t>Planting</t>
        </is>
      </c>
      <c r="E362" s="74" t="inlineStr">
        <is>
          <t>Pasileng Sur</t>
        </is>
      </c>
      <c r="F362" s="75" t="n">
        <v>150.9</v>
      </c>
      <c r="G362" s="75" t="n">
        <v>29.1</v>
      </c>
      <c r="H362" s="75" t="n">
        <v>180</v>
      </c>
      <c r="I362" s="85" t="n"/>
      <c r="J362" s="85" t="n"/>
      <c r="K362" s="85" t="n"/>
    </row>
    <row r="363" ht="15" customHeight="1" s="101">
      <c r="A363" s="72" t="inlineStr">
        <is>
          <t>WS</t>
        </is>
      </c>
      <c r="B363" s="72" t="inlineStr">
        <is>
          <t>2018</t>
        </is>
      </c>
      <c r="C363" s="72" t="inlineStr">
        <is>
          <t>Palay</t>
        </is>
      </c>
      <c r="D363" s="72" t="inlineStr">
        <is>
          <t>Planting</t>
        </is>
      </c>
      <c r="E363" s="72" t="inlineStr">
        <is>
          <t>Sta. Maria Norte</t>
        </is>
      </c>
      <c r="F363" s="73" t="n">
        <v>24.5</v>
      </c>
      <c r="G363" s="73" t="n">
        <v>43.5</v>
      </c>
      <c r="H363" s="73" t="n">
        <v>68</v>
      </c>
      <c r="I363" s="84" t="n"/>
      <c r="J363" s="84" t="n"/>
      <c r="K363" s="84" t="n"/>
    </row>
    <row r="364" ht="15" customHeight="1" s="101">
      <c r="A364" s="74" t="inlineStr">
        <is>
          <t>WS</t>
        </is>
      </c>
      <c r="B364" s="74" t="inlineStr">
        <is>
          <t>2018</t>
        </is>
      </c>
      <c r="C364" s="74" t="inlineStr">
        <is>
          <t>Palay</t>
        </is>
      </c>
      <c r="D364" s="74" t="inlineStr">
        <is>
          <t>Planting</t>
        </is>
      </c>
      <c r="E364" s="74" t="inlineStr">
        <is>
          <t>Bugayong</t>
        </is>
      </c>
      <c r="F364" s="75" t="n">
        <v>25.95</v>
      </c>
      <c r="G364" s="75" t="n">
        <v>52.05</v>
      </c>
      <c r="H364" s="75" t="n">
        <v>78</v>
      </c>
      <c r="I364" s="85" t="n"/>
      <c r="J364" s="85" t="n"/>
      <c r="K364" s="85" t="n"/>
    </row>
    <row r="365" ht="15" customHeight="1" s="101">
      <c r="A365" s="72" t="inlineStr">
        <is>
          <t>WS</t>
        </is>
      </c>
      <c r="B365" s="72" t="inlineStr">
        <is>
          <t>2018</t>
        </is>
      </c>
      <c r="C365" s="72" t="inlineStr">
        <is>
          <t>Palay</t>
        </is>
      </c>
      <c r="D365" s="72" t="inlineStr">
        <is>
          <t>Planting</t>
        </is>
      </c>
      <c r="E365" s="72" t="inlineStr">
        <is>
          <t>Santiago</t>
        </is>
      </c>
      <c r="F365" s="73" t="n">
        <v>103.6</v>
      </c>
      <c r="G365" s="73" t="n">
        <v>147.4</v>
      </c>
      <c r="H365" s="73" t="n">
        <v>251</v>
      </c>
      <c r="I365" s="84" t="n"/>
      <c r="J365" s="84" t="n"/>
      <c r="K365" s="84" t="n"/>
    </row>
    <row r="366" ht="15" customHeight="1" s="101">
      <c r="A366" s="74" t="inlineStr">
        <is>
          <t>WS</t>
        </is>
      </c>
      <c r="B366" s="74" t="inlineStr">
        <is>
          <t>2019</t>
        </is>
      </c>
      <c r="C366" s="74" t="inlineStr">
        <is>
          <t>Palay</t>
        </is>
      </c>
      <c r="D366" s="74" t="inlineStr">
        <is>
          <t>Planting</t>
        </is>
      </c>
      <c r="E366" s="74" t="inlineStr">
        <is>
          <t>Pasileng Norte</t>
        </is>
      </c>
      <c r="F366" s="75" t="n">
        <v>78.34999999999999</v>
      </c>
      <c r="G366" s="75" t="n">
        <v>2.65</v>
      </c>
      <c r="H366" s="75" t="n">
        <v>81</v>
      </c>
      <c r="I366" s="85" t="n"/>
      <c r="J366" s="85" t="n"/>
      <c r="K366" s="85" t="n"/>
    </row>
    <row r="367" ht="15" customHeight="1" s="101">
      <c r="A367" s="72" t="inlineStr">
        <is>
          <t>WS</t>
        </is>
      </c>
      <c r="B367" s="72" t="inlineStr">
        <is>
          <t>2019</t>
        </is>
      </c>
      <c r="C367" s="72" t="inlineStr">
        <is>
          <t>Palay</t>
        </is>
      </c>
      <c r="D367" s="72" t="inlineStr">
        <is>
          <t>Planting</t>
        </is>
      </c>
      <c r="E367" s="72" t="inlineStr">
        <is>
          <t>Tabuyoc</t>
        </is>
      </c>
      <c r="F367" s="73" t="n">
        <v>134</v>
      </c>
      <c r="G367" s="73" t="n">
        <v>5</v>
      </c>
      <c r="H367" s="73" t="n">
        <v>139</v>
      </c>
      <c r="I367" s="84" t="n"/>
      <c r="J367" s="84" t="n"/>
      <c r="K367" s="84" t="n"/>
    </row>
    <row r="368" ht="15" customHeight="1" s="101">
      <c r="A368" s="74" t="inlineStr">
        <is>
          <t>WS</t>
        </is>
      </c>
      <c r="B368" s="74" t="inlineStr">
        <is>
          <t>2019</t>
        </is>
      </c>
      <c r="C368" s="74" t="inlineStr">
        <is>
          <t>Palay</t>
        </is>
      </c>
      <c r="D368" s="74" t="inlineStr">
        <is>
          <t>Planting</t>
        </is>
      </c>
      <c r="E368" s="74" t="inlineStr">
        <is>
          <t>Bued</t>
        </is>
      </c>
      <c r="F368" s="75" t="n">
        <v>56.5</v>
      </c>
      <c r="G368" s="75" t="n">
        <v>37.5</v>
      </c>
      <c r="H368" s="75" t="n">
        <v>94</v>
      </c>
      <c r="I368" s="85" t="n"/>
      <c r="J368" s="85" t="n"/>
      <c r="K368" s="85" t="n"/>
    </row>
    <row r="369" ht="15" customHeight="1" s="101">
      <c r="A369" s="72" t="inlineStr">
        <is>
          <t>WS</t>
        </is>
      </c>
      <c r="B369" s="72" t="inlineStr">
        <is>
          <t>2019</t>
        </is>
      </c>
      <c r="C369" s="72" t="inlineStr">
        <is>
          <t>Palay</t>
        </is>
      </c>
      <c r="D369" s="72" t="inlineStr">
        <is>
          <t>Planting</t>
        </is>
      </c>
      <c r="E369" s="72" t="inlineStr">
        <is>
          <t>Dumayat</t>
        </is>
      </c>
      <c r="F369" s="73" t="n">
        <v>56</v>
      </c>
      <c r="G369" s="73" t="n">
        <v>30</v>
      </c>
      <c r="H369" s="73" t="n">
        <v>86</v>
      </c>
      <c r="I369" s="84" t="n"/>
      <c r="J369" s="84" t="n"/>
      <c r="K369" s="84" t="n"/>
    </row>
    <row r="370" ht="15" customHeight="1" s="101">
      <c r="A370" s="74" t="inlineStr">
        <is>
          <t>WS</t>
        </is>
      </c>
      <c r="B370" s="74" t="inlineStr">
        <is>
          <t>2019</t>
        </is>
      </c>
      <c r="C370" s="74" t="inlineStr">
        <is>
          <t>Palay</t>
        </is>
      </c>
      <c r="D370" s="74" t="inlineStr">
        <is>
          <t>Planting</t>
        </is>
      </c>
      <c r="E370" s="74" t="inlineStr">
        <is>
          <t>Camanggaan</t>
        </is>
      </c>
      <c r="F370" s="75" t="n">
        <v>19</v>
      </c>
      <c r="G370" s="75" t="n">
        <v>68</v>
      </c>
      <c r="H370" s="75" t="n">
        <v>87</v>
      </c>
      <c r="I370" s="85" t="n"/>
      <c r="J370" s="85" t="n"/>
      <c r="K370" s="85" t="n"/>
    </row>
    <row r="371" ht="15" customHeight="1" s="101">
      <c r="A371" s="72" t="inlineStr">
        <is>
          <t>WS</t>
        </is>
      </c>
      <c r="B371" s="72" t="inlineStr">
        <is>
          <t>2019</t>
        </is>
      </c>
      <c r="C371" s="72" t="inlineStr">
        <is>
          <t>Palay</t>
        </is>
      </c>
      <c r="D371" s="72" t="inlineStr">
        <is>
          <t>Planting</t>
        </is>
      </c>
      <c r="E371" s="72" t="inlineStr">
        <is>
          <t>Vacante</t>
        </is>
      </c>
      <c r="F371" s="73" t="n">
        <v>28</v>
      </c>
      <c r="G371" s="73" t="n">
        <v>81</v>
      </c>
      <c r="H371" s="73" t="n">
        <v>109</v>
      </c>
      <c r="I371" s="84" t="n"/>
      <c r="J371" s="84" t="n"/>
      <c r="K371" s="84" t="n"/>
    </row>
    <row r="372" ht="15" customHeight="1" s="101">
      <c r="A372" s="74" t="inlineStr">
        <is>
          <t>WS</t>
        </is>
      </c>
      <c r="B372" s="74" t="inlineStr">
        <is>
          <t>2019</t>
        </is>
      </c>
      <c r="C372" s="74" t="inlineStr">
        <is>
          <t>Palay</t>
        </is>
      </c>
      <c r="D372" s="74" t="inlineStr">
        <is>
          <t>Planting</t>
        </is>
      </c>
      <c r="E372" s="74" t="inlineStr">
        <is>
          <t>Sta. Catalina</t>
        </is>
      </c>
      <c r="F372" s="75" t="n">
        <v>49</v>
      </c>
      <c r="G372" s="75" t="n">
        <v>180</v>
      </c>
      <c r="H372" s="75" t="n">
        <v>229</v>
      </c>
      <c r="I372" s="85" t="n"/>
      <c r="J372" s="85" t="n"/>
      <c r="K372" s="85" t="n"/>
    </row>
    <row r="373" ht="15" customHeight="1" s="101">
      <c r="A373" s="72" t="inlineStr">
        <is>
          <t>WS</t>
        </is>
      </c>
      <c r="B373" s="72" t="inlineStr">
        <is>
          <t>2019</t>
        </is>
      </c>
      <c r="C373" s="72" t="inlineStr">
        <is>
          <t>Palay</t>
        </is>
      </c>
      <c r="D373" s="72" t="inlineStr">
        <is>
          <t>Planting</t>
        </is>
      </c>
      <c r="E373" s="72" t="inlineStr">
        <is>
          <t>Moreno</t>
        </is>
      </c>
      <c r="F373" s="73" t="n">
        <v>47.4</v>
      </c>
      <c r="G373" s="73" t="n">
        <v>116.6</v>
      </c>
      <c r="H373" s="73" t="n">
        <v>164</v>
      </c>
      <c r="I373" s="84" t="n"/>
      <c r="J373" s="84" t="n"/>
      <c r="K373" s="84" t="n"/>
    </row>
    <row r="374" ht="15" customHeight="1" s="101">
      <c r="A374" s="74" t="inlineStr">
        <is>
          <t>WS</t>
        </is>
      </c>
      <c r="B374" s="74" t="inlineStr">
        <is>
          <t>2019</t>
        </is>
      </c>
      <c r="C374" s="74" t="inlineStr">
        <is>
          <t>Palay</t>
        </is>
      </c>
      <c r="D374" s="74" t="inlineStr">
        <is>
          <t>Planting</t>
        </is>
      </c>
      <c r="E374" s="74" t="inlineStr">
        <is>
          <t>Cili</t>
        </is>
      </c>
      <c r="F374" s="75" t="n">
        <v>40</v>
      </c>
      <c r="G374" s="75" t="n">
        <v>128</v>
      </c>
      <c r="H374" s="75" t="n">
        <v>168</v>
      </c>
      <c r="I374" s="85" t="n"/>
      <c r="J374" s="85" t="n"/>
      <c r="K374" s="85" t="n"/>
    </row>
    <row r="375" ht="15" customHeight="1" s="101">
      <c r="A375" s="72" t="inlineStr">
        <is>
          <t>WS</t>
        </is>
      </c>
      <c r="B375" s="72" t="inlineStr">
        <is>
          <t>2019</t>
        </is>
      </c>
      <c r="C375" s="72" t="inlineStr">
        <is>
          <t>Palay</t>
        </is>
      </c>
      <c r="D375" s="72" t="inlineStr">
        <is>
          <t>Planting</t>
        </is>
      </c>
      <c r="E375" s="72" t="inlineStr">
        <is>
          <t>Linmansangan</t>
        </is>
      </c>
      <c r="F375" s="73" t="n">
        <v>65.5</v>
      </c>
      <c r="G375" s="73" t="n">
        <v>146</v>
      </c>
      <c r="H375" s="73" t="n">
        <v>211.5</v>
      </c>
      <c r="I375" s="84" t="n"/>
      <c r="J375" s="84" t="n"/>
      <c r="K375" s="84" t="n"/>
    </row>
    <row r="376" ht="15" customHeight="1" s="101">
      <c r="A376" s="74" t="inlineStr">
        <is>
          <t>WS</t>
        </is>
      </c>
      <c r="B376" s="74" t="inlineStr">
        <is>
          <t>2019</t>
        </is>
      </c>
      <c r="C376" s="74" t="inlineStr">
        <is>
          <t>Palay</t>
        </is>
      </c>
      <c r="D376" s="74" t="inlineStr">
        <is>
          <t>Planting</t>
        </is>
      </c>
      <c r="E376" s="74" t="inlineStr">
        <is>
          <t>Sumabnit</t>
        </is>
      </c>
      <c r="F376" s="75" t="n">
        <v>133.3</v>
      </c>
      <c r="G376" s="75" t="n">
        <v>123.7</v>
      </c>
      <c r="H376" s="75" t="n">
        <v>257</v>
      </c>
      <c r="I376" s="85" t="n"/>
      <c r="J376" s="85" t="n"/>
      <c r="K376" s="85" t="n"/>
    </row>
    <row r="377" ht="15" customHeight="1" s="101">
      <c r="A377" s="72" t="inlineStr">
        <is>
          <t>WS</t>
        </is>
      </c>
      <c r="B377" s="72" t="inlineStr">
        <is>
          <t>2019</t>
        </is>
      </c>
      <c r="C377" s="72" t="inlineStr">
        <is>
          <t>Palay</t>
        </is>
      </c>
      <c r="D377" s="72" t="inlineStr">
        <is>
          <t>Planting</t>
        </is>
      </c>
      <c r="E377" s="72" t="inlineStr">
        <is>
          <t>Capas</t>
        </is>
      </c>
      <c r="F377" s="73" t="n">
        <v>139</v>
      </c>
      <c r="G377" s="73" t="n">
        <v>164</v>
      </c>
      <c r="H377" s="73" t="n">
        <v>303</v>
      </c>
      <c r="I377" s="84" t="n"/>
      <c r="J377" s="84" t="n"/>
      <c r="K377" s="84" t="n"/>
    </row>
    <row r="378" ht="15" customHeight="1" s="101">
      <c r="A378" s="74" t="inlineStr">
        <is>
          <t>WS</t>
        </is>
      </c>
      <c r="B378" s="74" t="inlineStr">
        <is>
          <t>2019</t>
        </is>
      </c>
      <c r="C378" s="74" t="inlineStr">
        <is>
          <t>Palay</t>
        </is>
      </c>
      <c r="D378" s="74" t="inlineStr">
        <is>
          <t>Planting</t>
        </is>
      </c>
      <c r="E378" s="74" t="inlineStr">
        <is>
          <t>Mangkasuy</t>
        </is>
      </c>
      <c r="F378" s="75" t="n">
        <v>90</v>
      </c>
      <c r="G378" s="75" t="n">
        <v>262</v>
      </c>
      <c r="H378" s="75" t="n">
        <v>352</v>
      </c>
      <c r="I378" s="85" t="n"/>
      <c r="J378" s="85" t="n"/>
      <c r="K378" s="85" t="n"/>
    </row>
    <row r="379" ht="15" customHeight="1" s="101">
      <c r="A379" s="72" t="inlineStr">
        <is>
          <t>WS</t>
        </is>
      </c>
      <c r="B379" s="72" t="inlineStr">
        <is>
          <t>2019</t>
        </is>
      </c>
      <c r="C379" s="72" t="inlineStr">
        <is>
          <t>Palay</t>
        </is>
      </c>
      <c r="D379" s="72" t="inlineStr">
        <is>
          <t>Planting</t>
        </is>
      </c>
      <c r="E379" s="72" t="inlineStr">
        <is>
          <t>San Pablo</t>
        </is>
      </c>
      <c r="F379" s="73" t="n">
        <v>103.5</v>
      </c>
      <c r="G379" s="73" t="n">
        <v>30.5</v>
      </c>
      <c r="H379" s="73" t="n">
        <v>134</v>
      </c>
      <c r="I379" s="84" t="n"/>
      <c r="J379" s="84" t="n"/>
      <c r="K379" s="84" t="n"/>
    </row>
    <row r="380" ht="15" customHeight="1" s="101">
      <c r="A380" s="74" t="inlineStr">
        <is>
          <t>WS</t>
        </is>
      </c>
      <c r="B380" s="74" t="inlineStr">
        <is>
          <t>2019</t>
        </is>
      </c>
      <c r="C380" s="74" t="inlineStr">
        <is>
          <t>Palay</t>
        </is>
      </c>
      <c r="D380" s="74" t="inlineStr">
        <is>
          <t>Planting</t>
        </is>
      </c>
      <c r="E380" s="74" t="inlineStr">
        <is>
          <t>Balangobong</t>
        </is>
      </c>
      <c r="F380" s="75" t="n">
        <v>120</v>
      </c>
      <c r="G380" s="75" t="n">
        <v>15</v>
      </c>
      <c r="H380" s="75" t="n">
        <v>135</v>
      </c>
      <c r="I380" s="85" t="n"/>
      <c r="J380" s="85" t="n"/>
      <c r="K380" s="85" t="n"/>
    </row>
    <row r="381" ht="15" customHeight="1" s="101">
      <c r="A381" s="72" t="inlineStr">
        <is>
          <t>WS</t>
        </is>
      </c>
      <c r="B381" s="72" t="inlineStr">
        <is>
          <t>2019</t>
        </is>
      </c>
      <c r="C381" s="72" t="inlineStr">
        <is>
          <t>Palay</t>
        </is>
      </c>
      <c r="D381" s="72" t="inlineStr">
        <is>
          <t>Planting</t>
        </is>
      </c>
      <c r="E381" s="72" t="inlineStr">
        <is>
          <t>San Felipe Central</t>
        </is>
      </c>
      <c r="F381" s="73" t="n">
        <v>117</v>
      </c>
      <c r="G381" s="73" t="n">
        <v>62</v>
      </c>
      <c r="H381" s="73" t="n">
        <v>179</v>
      </c>
      <c r="I381" s="84" t="n"/>
      <c r="J381" s="84" t="n"/>
      <c r="K381" s="84" t="n"/>
    </row>
    <row r="382" ht="15" customHeight="1" s="101">
      <c r="A382" s="74" t="inlineStr">
        <is>
          <t>WS</t>
        </is>
      </c>
      <c r="B382" s="74" t="inlineStr">
        <is>
          <t>2019</t>
        </is>
      </c>
      <c r="C382" s="74" t="inlineStr">
        <is>
          <t>Palay</t>
        </is>
      </c>
      <c r="D382" s="74" t="inlineStr">
        <is>
          <t>Planting</t>
        </is>
      </c>
      <c r="E382" s="74" t="inlineStr">
        <is>
          <t>San Felipe Sur</t>
        </is>
      </c>
      <c r="F382" s="75" t="n">
        <v>127.5</v>
      </c>
      <c r="G382" s="75" t="n">
        <v>50.5</v>
      </c>
      <c r="H382" s="75" t="n">
        <v>178</v>
      </c>
      <c r="I382" s="85" t="n"/>
      <c r="J382" s="85" t="n"/>
      <c r="K382" s="85" t="n"/>
    </row>
    <row r="383" ht="15" customHeight="1" s="101">
      <c r="A383" s="72" t="inlineStr">
        <is>
          <t>WS</t>
        </is>
      </c>
      <c r="B383" s="72" t="inlineStr">
        <is>
          <t>2019</t>
        </is>
      </c>
      <c r="C383" s="72" t="inlineStr">
        <is>
          <t>Palay</t>
        </is>
      </c>
      <c r="D383" s="72" t="inlineStr">
        <is>
          <t>Planting</t>
        </is>
      </c>
      <c r="E383" s="72" t="inlineStr">
        <is>
          <t>Pasileng Sur</t>
        </is>
      </c>
      <c r="F383" s="73" t="n">
        <v>150.9</v>
      </c>
      <c r="G383" s="73" t="n">
        <v>29.1</v>
      </c>
      <c r="H383" s="73" t="n">
        <v>180</v>
      </c>
      <c r="I383" s="84" t="n"/>
      <c r="J383" s="84" t="n"/>
      <c r="K383" s="84" t="n"/>
    </row>
    <row r="384" ht="15" customHeight="1" s="101">
      <c r="A384" s="74" t="inlineStr">
        <is>
          <t>WS</t>
        </is>
      </c>
      <c r="B384" s="74" t="inlineStr">
        <is>
          <t>2019</t>
        </is>
      </c>
      <c r="C384" s="74" t="inlineStr">
        <is>
          <t>Palay</t>
        </is>
      </c>
      <c r="D384" s="74" t="inlineStr">
        <is>
          <t>Planting</t>
        </is>
      </c>
      <c r="E384" s="74" t="inlineStr">
        <is>
          <t>Sta. Maria Norte</t>
        </is>
      </c>
      <c r="F384" s="75" t="n">
        <v>24.5</v>
      </c>
      <c r="G384" s="75" t="n">
        <v>43.5</v>
      </c>
      <c r="H384" s="75" t="n">
        <v>68</v>
      </c>
      <c r="I384" s="85" t="n"/>
      <c r="J384" s="85" t="n"/>
      <c r="K384" s="85" t="n"/>
    </row>
    <row r="385" ht="15" customHeight="1" s="101">
      <c r="A385" s="72" t="inlineStr">
        <is>
          <t>WS</t>
        </is>
      </c>
      <c r="B385" s="72" t="inlineStr">
        <is>
          <t>2019</t>
        </is>
      </c>
      <c r="C385" s="72" t="inlineStr">
        <is>
          <t>Palay</t>
        </is>
      </c>
      <c r="D385" s="72" t="inlineStr">
        <is>
          <t>Planting</t>
        </is>
      </c>
      <c r="E385" s="72" t="inlineStr">
        <is>
          <t>Bugayong</t>
        </is>
      </c>
      <c r="F385" s="73" t="n">
        <v>25.95</v>
      </c>
      <c r="G385" s="73" t="n">
        <v>52.05</v>
      </c>
      <c r="H385" s="73" t="n">
        <v>78</v>
      </c>
      <c r="I385" s="84" t="n"/>
      <c r="J385" s="84" t="n"/>
      <c r="K385" s="84" t="n"/>
    </row>
    <row r="386" ht="15" customHeight="1" s="101">
      <c r="A386" s="74" t="inlineStr">
        <is>
          <t>WS</t>
        </is>
      </c>
      <c r="B386" s="74" t="inlineStr">
        <is>
          <t>2019</t>
        </is>
      </c>
      <c r="C386" s="74" t="inlineStr">
        <is>
          <t>Palay</t>
        </is>
      </c>
      <c r="D386" s="74" t="inlineStr">
        <is>
          <t>Planting</t>
        </is>
      </c>
      <c r="E386" s="74" t="inlineStr">
        <is>
          <t>Santiago</t>
        </is>
      </c>
      <c r="F386" s="75" t="n">
        <v>103.6</v>
      </c>
      <c r="G386" s="75" t="n">
        <v>145.4</v>
      </c>
      <c r="H386" s="75" t="n">
        <v>249</v>
      </c>
      <c r="I386" s="85" t="n"/>
      <c r="J386" s="85" t="n"/>
      <c r="K386" s="85" t="n"/>
    </row>
    <row r="387" ht="15" customHeight="1" s="101">
      <c r="A387" s="72" t="inlineStr">
        <is>
          <t>WS</t>
        </is>
      </c>
      <c r="B387" s="72" t="inlineStr">
        <is>
          <t>2020</t>
        </is>
      </c>
      <c r="C387" s="72" t="inlineStr">
        <is>
          <t>Palay</t>
        </is>
      </c>
      <c r="D387" s="72" t="inlineStr">
        <is>
          <t>Planting</t>
        </is>
      </c>
      <c r="E387" s="72" t="inlineStr">
        <is>
          <t>Pasileng Norte</t>
        </is>
      </c>
      <c r="F387" s="73" t="n">
        <v>78.34999999999999</v>
      </c>
      <c r="G387" s="73" t="n">
        <v>2.65</v>
      </c>
      <c r="H387" s="73" t="n">
        <v>81</v>
      </c>
      <c r="I387" s="84" t="n"/>
      <c r="J387" s="84" t="n"/>
      <c r="K387" s="84" t="n"/>
    </row>
    <row r="388" ht="15" customHeight="1" s="101">
      <c r="A388" s="74" t="inlineStr">
        <is>
          <t>WS</t>
        </is>
      </c>
      <c r="B388" s="74" t="inlineStr">
        <is>
          <t>2020</t>
        </is>
      </c>
      <c r="C388" s="74" t="inlineStr">
        <is>
          <t>Palay</t>
        </is>
      </c>
      <c r="D388" s="74" t="inlineStr">
        <is>
          <t>Planting</t>
        </is>
      </c>
      <c r="E388" s="74" t="inlineStr">
        <is>
          <t>Tabuyoc</t>
        </is>
      </c>
      <c r="F388" s="75" t="n">
        <v>134</v>
      </c>
      <c r="G388" s="75" t="n">
        <v>5</v>
      </c>
      <c r="H388" s="75" t="n">
        <v>139</v>
      </c>
      <c r="I388" s="85" t="n"/>
      <c r="J388" s="85" t="n"/>
      <c r="K388" s="85" t="n"/>
    </row>
    <row r="389" ht="15" customHeight="1" s="101">
      <c r="A389" s="72" t="inlineStr">
        <is>
          <t>WS</t>
        </is>
      </c>
      <c r="B389" s="72" t="inlineStr">
        <is>
          <t>2020</t>
        </is>
      </c>
      <c r="C389" s="72" t="inlineStr">
        <is>
          <t>Palay</t>
        </is>
      </c>
      <c r="D389" s="72" t="inlineStr">
        <is>
          <t>Planting</t>
        </is>
      </c>
      <c r="E389" s="72" t="inlineStr">
        <is>
          <t>Bued</t>
        </is>
      </c>
      <c r="F389" s="73" t="n">
        <v>56.5</v>
      </c>
      <c r="G389" s="73" t="n">
        <v>37.5</v>
      </c>
      <c r="H389" s="73" t="n">
        <v>94</v>
      </c>
      <c r="I389" s="84" t="n"/>
      <c r="J389" s="84" t="n"/>
      <c r="K389" s="84" t="n"/>
    </row>
    <row r="390" ht="15" customHeight="1" s="101">
      <c r="A390" s="74" t="inlineStr">
        <is>
          <t>WS</t>
        </is>
      </c>
      <c r="B390" s="74" t="inlineStr">
        <is>
          <t>2020</t>
        </is>
      </c>
      <c r="C390" s="74" t="inlineStr">
        <is>
          <t>Palay</t>
        </is>
      </c>
      <c r="D390" s="74" t="inlineStr">
        <is>
          <t>Planting</t>
        </is>
      </c>
      <c r="E390" s="74" t="inlineStr">
        <is>
          <t>Dumayat</t>
        </is>
      </c>
      <c r="F390" s="75" t="n">
        <v>56</v>
      </c>
      <c r="G390" s="75" t="n">
        <v>30</v>
      </c>
      <c r="H390" s="75" t="n">
        <v>86</v>
      </c>
      <c r="I390" s="85" t="n"/>
      <c r="J390" s="85" t="n"/>
      <c r="K390" s="85" t="n"/>
    </row>
    <row r="391" ht="15" customHeight="1" s="101">
      <c r="A391" s="72" t="inlineStr">
        <is>
          <t>WS</t>
        </is>
      </c>
      <c r="B391" s="72" t="inlineStr">
        <is>
          <t>2020</t>
        </is>
      </c>
      <c r="C391" s="72" t="inlineStr">
        <is>
          <t>Palay</t>
        </is>
      </c>
      <c r="D391" s="72" t="inlineStr">
        <is>
          <t>Planting</t>
        </is>
      </c>
      <c r="E391" s="72" t="inlineStr">
        <is>
          <t>Camanggaan</t>
        </is>
      </c>
      <c r="F391" s="73" t="n">
        <v>19</v>
      </c>
      <c r="G391" s="73" t="n">
        <v>68</v>
      </c>
      <c r="H391" s="73" t="n">
        <v>87</v>
      </c>
      <c r="I391" s="84" t="n"/>
      <c r="J391" s="84" t="n"/>
      <c r="K391" s="84" t="n"/>
    </row>
    <row r="392" ht="15" customHeight="1" s="101">
      <c r="A392" s="74" t="inlineStr">
        <is>
          <t>WS</t>
        </is>
      </c>
      <c r="B392" s="74" t="inlineStr">
        <is>
          <t>2020</t>
        </is>
      </c>
      <c r="C392" s="74" t="inlineStr">
        <is>
          <t>Palay</t>
        </is>
      </c>
      <c r="D392" s="74" t="inlineStr">
        <is>
          <t>Planting</t>
        </is>
      </c>
      <c r="E392" s="74" t="inlineStr">
        <is>
          <t>Vacante</t>
        </is>
      </c>
      <c r="F392" s="75" t="n">
        <v>28</v>
      </c>
      <c r="G392" s="75" t="n">
        <v>81</v>
      </c>
      <c r="H392" s="75" t="n">
        <v>109</v>
      </c>
      <c r="I392" s="85" t="n"/>
      <c r="J392" s="85" t="n"/>
      <c r="K392" s="85" t="n"/>
    </row>
    <row r="393" ht="15" customHeight="1" s="101">
      <c r="A393" s="72" t="inlineStr">
        <is>
          <t>WS</t>
        </is>
      </c>
      <c r="B393" s="72" t="inlineStr">
        <is>
          <t>2020</t>
        </is>
      </c>
      <c r="C393" s="72" t="inlineStr">
        <is>
          <t>Palay</t>
        </is>
      </c>
      <c r="D393" s="72" t="inlineStr">
        <is>
          <t>Planting</t>
        </is>
      </c>
      <c r="E393" s="72" t="inlineStr">
        <is>
          <t>Sta. Catalina</t>
        </is>
      </c>
      <c r="F393" s="73" t="n">
        <v>49</v>
      </c>
      <c r="G393" s="73" t="n">
        <v>180</v>
      </c>
      <c r="H393" s="73" t="n">
        <v>229</v>
      </c>
      <c r="I393" s="84" t="n"/>
      <c r="J393" s="84" t="n"/>
      <c r="K393" s="84" t="n"/>
    </row>
    <row r="394" ht="15" customHeight="1" s="101">
      <c r="A394" s="74" t="inlineStr">
        <is>
          <t>WS</t>
        </is>
      </c>
      <c r="B394" s="74" t="inlineStr">
        <is>
          <t>2020</t>
        </is>
      </c>
      <c r="C394" s="74" t="inlineStr">
        <is>
          <t>Palay</t>
        </is>
      </c>
      <c r="D394" s="74" t="inlineStr">
        <is>
          <t>Planting</t>
        </is>
      </c>
      <c r="E394" s="74" t="inlineStr">
        <is>
          <t>Moreno</t>
        </is>
      </c>
      <c r="F394" s="75" t="n">
        <v>47.4</v>
      </c>
      <c r="G394" s="75" t="n">
        <v>116.6</v>
      </c>
      <c r="H394" s="75" t="n">
        <v>164</v>
      </c>
      <c r="I394" s="85" t="n"/>
      <c r="J394" s="85" t="n"/>
      <c r="K394" s="85" t="n"/>
    </row>
    <row r="395" ht="15" customHeight="1" s="101">
      <c r="A395" s="72" t="inlineStr">
        <is>
          <t>WS</t>
        </is>
      </c>
      <c r="B395" s="72" t="inlineStr">
        <is>
          <t>2020</t>
        </is>
      </c>
      <c r="C395" s="72" t="inlineStr">
        <is>
          <t>Palay</t>
        </is>
      </c>
      <c r="D395" s="72" t="inlineStr">
        <is>
          <t>Planting</t>
        </is>
      </c>
      <c r="E395" s="72" t="inlineStr">
        <is>
          <t>Cili</t>
        </is>
      </c>
      <c r="F395" s="73" t="n">
        <v>40</v>
      </c>
      <c r="G395" s="73" t="n">
        <v>128</v>
      </c>
      <c r="H395" s="73" t="n">
        <v>168</v>
      </c>
      <c r="I395" s="84" t="n"/>
      <c r="J395" s="84" t="n"/>
      <c r="K395" s="84" t="n"/>
    </row>
    <row r="396" ht="15" customHeight="1" s="101">
      <c r="A396" s="74" t="inlineStr">
        <is>
          <t>WS</t>
        </is>
      </c>
      <c r="B396" s="74" t="inlineStr">
        <is>
          <t>2020</t>
        </is>
      </c>
      <c r="C396" s="74" t="inlineStr">
        <is>
          <t>Palay</t>
        </is>
      </c>
      <c r="D396" s="74" t="inlineStr">
        <is>
          <t>Planting</t>
        </is>
      </c>
      <c r="E396" s="74" t="inlineStr">
        <is>
          <t>Linmansangan</t>
        </is>
      </c>
      <c r="F396" s="75" t="n">
        <v>65.5</v>
      </c>
      <c r="G396" s="75" t="n">
        <v>146</v>
      </c>
      <c r="H396" s="75" t="n">
        <v>211.5</v>
      </c>
      <c r="I396" s="85" t="n"/>
      <c r="J396" s="85" t="n"/>
      <c r="K396" s="85" t="n"/>
    </row>
    <row r="397" ht="15" customHeight="1" s="101">
      <c r="A397" s="72" t="inlineStr">
        <is>
          <t>WS</t>
        </is>
      </c>
      <c r="B397" s="72" t="inlineStr">
        <is>
          <t>2020</t>
        </is>
      </c>
      <c r="C397" s="72" t="inlineStr">
        <is>
          <t>Palay</t>
        </is>
      </c>
      <c r="D397" s="72" t="inlineStr">
        <is>
          <t>Planting</t>
        </is>
      </c>
      <c r="E397" s="72" t="inlineStr">
        <is>
          <t>Sumabnit</t>
        </is>
      </c>
      <c r="F397" s="73" t="n">
        <v>133.3</v>
      </c>
      <c r="G397" s="73" t="n">
        <v>123.7</v>
      </c>
      <c r="H397" s="73" t="n">
        <v>257</v>
      </c>
      <c r="I397" s="84" t="n"/>
      <c r="J397" s="84" t="n"/>
      <c r="K397" s="84" t="n"/>
    </row>
    <row r="398" ht="15" customHeight="1" s="101">
      <c r="A398" s="74" t="inlineStr">
        <is>
          <t>WS</t>
        </is>
      </c>
      <c r="B398" s="74" t="inlineStr">
        <is>
          <t>2020</t>
        </is>
      </c>
      <c r="C398" s="74" t="inlineStr">
        <is>
          <t>Palay</t>
        </is>
      </c>
      <c r="D398" s="74" t="inlineStr">
        <is>
          <t>Planting</t>
        </is>
      </c>
      <c r="E398" s="74" t="inlineStr">
        <is>
          <t>Capas</t>
        </is>
      </c>
      <c r="F398" s="75" t="n">
        <v>139</v>
      </c>
      <c r="G398" s="75" t="n">
        <v>164</v>
      </c>
      <c r="H398" s="75" t="n">
        <v>303</v>
      </c>
      <c r="I398" s="85" t="n"/>
      <c r="J398" s="85" t="n"/>
      <c r="K398" s="85" t="n"/>
    </row>
    <row r="399" ht="15" customHeight="1" s="101">
      <c r="A399" s="72" t="inlineStr">
        <is>
          <t>WS</t>
        </is>
      </c>
      <c r="B399" s="72" t="inlineStr">
        <is>
          <t>2020</t>
        </is>
      </c>
      <c r="C399" s="72" t="inlineStr">
        <is>
          <t>Palay</t>
        </is>
      </c>
      <c r="D399" s="72" t="inlineStr">
        <is>
          <t>Planting</t>
        </is>
      </c>
      <c r="E399" s="72" t="inlineStr">
        <is>
          <t>Mangkasuy</t>
        </is>
      </c>
      <c r="F399" s="73" t="n">
        <v>90</v>
      </c>
      <c r="G399" s="73" t="n">
        <v>262</v>
      </c>
      <c r="H399" s="73" t="n">
        <v>352</v>
      </c>
      <c r="I399" s="84" t="n"/>
      <c r="J399" s="84" t="n"/>
      <c r="K399" s="84" t="n"/>
    </row>
    <row r="400" ht="15" customHeight="1" s="101">
      <c r="A400" s="74" t="inlineStr">
        <is>
          <t>WS</t>
        </is>
      </c>
      <c r="B400" s="74" t="inlineStr">
        <is>
          <t>2020</t>
        </is>
      </c>
      <c r="C400" s="74" t="inlineStr">
        <is>
          <t>Palay</t>
        </is>
      </c>
      <c r="D400" s="74" t="inlineStr">
        <is>
          <t>Planting</t>
        </is>
      </c>
      <c r="E400" s="74" t="inlineStr">
        <is>
          <t>San Pablo</t>
        </is>
      </c>
      <c r="F400" s="75" t="n">
        <v>103.5</v>
      </c>
      <c r="G400" s="75" t="n">
        <v>30.5</v>
      </c>
      <c r="H400" s="75" t="n">
        <v>134</v>
      </c>
      <c r="I400" s="85" t="n"/>
      <c r="J400" s="85" t="n"/>
      <c r="K400" s="85" t="n"/>
    </row>
    <row r="401" ht="15" customHeight="1" s="101">
      <c r="A401" s="72" t="inlineStr">
        <is>
          <t>WS</t>
        </is>
      </c>
      <c r="B401" s="72" t="inlineStr">
        <is>
          <t>2020</t>
        </is>
      </c>
      <c r="C401" s="72" t="inlineStr">
        <is>
          <t>Palay</t>
        </is>
      </c>
      <c r="D401" s="72" t="inlineStr">
        <is>
          <t>Planting</t>
        </is>
      </c>
      <c r="E401" s="72" t="inlineStr">
        <is>
          <t>Balangobong</t>
        </is>
      </c>
      <c r="F401" s="73" t="n">
        <v>120</v>
      </c>
      <c r="G401" s="73" t="n">
        <v>15</v>
      </c>
      <c r="H401" s="73" t="n">
        <v>135</v>
      </c>
      <c r="I401" s="84" t="n"/>
      <c r="J401" s="84" t="n"/>
      <c r="K401" s="84" t="n"/>
    </row>
    <row r="402" ht="15" customHeight="1" s="101">
      <c r="A402" s="74" t="inlineStr">
        <is>
          <t>WS</t>
        </is>
      </c>
      <c r="B402" s="74" t="inlineStr">
        <is>
          <t>2020</t>
        </is>
      </c>
      <c r="C402" s="74" t="inlineStr">
        <is>
          <t>Palay</t>
        </is>
      </c>
      <c r="D402" s="74" t="inlineStr">
        <is>
          <t>Planting</t>
        </is>
      </c>
      <c r="E402" s="74" t="inlineStr">
        <is>
          <t>San Felipe Central</t>
        </is>
      </c>
      <c r="F402" s="75" t="n">
        <v>117</v>
      </c>
      <c r="G402" s="75" t="n">
        <v>62</v>
      </c>
      <c r="H402" s="75" t="n">
        <v>179</v>
      </c>
      <c r="I402" s="85" t="n"/>
      <c r="J402" s="85" t="n"/>
      <c r="K402" s="85" t="n"/>
    </row>
    <row r="403" ht="15" customHeight="1" s="101">
      <c r="A403" s="72" t="inlineStr">
        <is>
          <t>WS</t>
        </is>
      </c>
      <c r="B403" s="72" t="inlineStr">
        <is>
          <t>2020</t>
        </is>
      </c>
      <c r="C403" s="72" t="inlineStr">
        <is>
          <t>Palay</t>
        </is>
      </c>
      <c r="D403" s="72" t="inlineStr">
        <is>
          <t>Planting</t>
        </is>
      </c>
      <c r="E403" s="72" t="inlineStr">
        <is>
          <t>San Felipe Sur</t>
        </is>
      </c>
      <c r="F403" s="73" t="n">
        <v>127.5</v>
      </c>
      <c r="G403" s="73" t="n">
        <v>50.5</v>
      </c>
      <c r="H403" s="73" t="n">
        <v>178</v>
      </c>
      <c r="I403" s="84" t="n"/>
      <c r="J403" s="84" t="n"/>
      <c r="K403" s="84" t="n"/>
    </row>
    <row r="404" ht="15" customHeight="1" s="101">
      <c r="A404" s="74" t="inlineStr">
        <is>
          <t>WS</t>
        </is>
      </c>
      <c r="B404" s="74" t="inlineStr">
        <is>
          <t>2020</t>
        </is>
      </c>
      <c r="C404" s="74" t="inlineStr">
        <is>
          <t>Palay</t>
        </is>
      </c>
      <c r="D404" s="74" t="inlineStr">
        <is>
          <t>Planting</t>
        </is>
      </c>
      <c r="E404" s="74" t="inlineStr">
        <is>
          <t>Pasileng Sur</t>
        </is>
      </c>
      <c r="F404" s="75" t="n">
        <v>150.9</v>
      </c>
      <c r="G404" s="75" t="n">
        <v>29.1</v>
      </c>
      <c r="H404" s="75" t="n">
        <v>180</v>
      </c>
      <c r="I404" s="85" t="n"/>
      <c r="J404" s="85" t="n"/>
      <c r="K404" s="85" t="n"/>
    </row>
    <row r="405" ht="15" customHeight="1" s="101">
      <c r="A405" s="72" t="inlineStr">
        <is>
          <t>WS</t>
        </is>
      </c>
      <c r="B405" s="72" t="inlineStr">
        <is>
          <t>2020</t>
        </is>
      </c>
      <c r="C405" s="72" t="inlineStr">
        <is>
          <t>Palay</t>
        </is>
      </c>
      <c r="D405" s="72" t="inlineStr">
        <is>
          <t>Planting</t>
        </is>
      </c>
      <c r="E405" s="72" t="inlineStr">
        <is>
          <t>Sta. Maria Norte</t>
        </is>
      </c>
      <c r="F405" s="73" t="n">
        <v>24.5</v>
      </c>
      <c r="G405" s="73" t="n">
        <v>43.5</v>
      </c>
      <c r="H405" s="73" t="n">
        <v>68</v>
      </c>
      <c r="I405" s="84" t="n"/>
      <c r="J405" s="84" t="n"/>
      <c r="K405" s="84" t="n"/>
    </row>
    <row r="406" ht="15" customHeight="1" s="101">
      <c r="A406" s="74" t="inlineStr">
        <is>
          <t>WS</t>
        </is>
      </c>
      <c r="B406" s="74" t="inlineStr">
        <is>
          <t>2020</t>
        </is>
      </c>
      <c r="C406" s="74" t="inlineStr">
        <is>
          <t>Palay</t>
        </is>
      </c>
      <c r="D406" s="74" t="inlineStr">
        <is>
          <t>Planting</t>
        </is>
      </c>
      <c r="E406" s="74" t="inlineStr">
        <is>
          <t>Bugayong</t>
        </is>
      </c>
      <c r="F406" s="75" t="n">
        <v>25.95</v>
      </c>
      <c r="G406" s="75" t="n">
        <v>52.05</v>
      </c>
      <c r="H406" s="75" t="n">
        <v>78</v>
      </c>
      <c r="I406" s="85" t="n"/>
      <c r="J406" s="85" t="n"/>
      <c r="K406" s="85" t="n"/>
    </row>
    <row r="407" ht="15" customHeight="1" s="101">
      <c r="A407" s="72" t="inlineStr">
        <is>
          <t>WS</t>
        </is>
      </c>
      <c r="B407" s="72" t="inlineStr">
        <is>
          <t>2020</t>
        </is>
      </c>
      <c r="C407" s="72" t="inlineStr">
        <is>
          <t>Palay</t>
        </is>
      </c>
      <c r="D407" s="72" t="inlineStr">
        <is>
          <t>Planting</t>
        </is>
      </c>
      <c r="E407" s="72" t="inlineStr">
        <is>
          <t>Santiago</t>
        </is>
      </c>
      <c r="F407" s="73" t="n">
        <v>103.6</v>
      </c>
      <c r="G407" s="73" t="n">
        <v>145.4</v>
      </c>
      <c r="H407" s="73" t="n">
        <v>249</v>
      </c>
      <c r="I407" s="84" t="n"/>
      <c r="J407" s="84" t="n"/>
      <c r="K407" s="84" t="n"/>
    </row>
    <row r="408" ht="15" customHeight="1" s="101">
      <c r="A408" s="74" t="inlineStr">
        <is>
          <t>WS</t>
        </is>
      </c>
      <c r="B408" s="74" t="inlineStr">
        <is>
          <t>2023</t>
        </is>
      </c>
      <c r="C408" s="74" t="inlineStr">
        <is>
          <t>Palay</t>
        </is>
      </c>
      <c r="D408" s="74" t="inlineStr">
        <is>
          <t>Planting</t>
        </is>
      </c>
      <c r="E408" s="74" t="inlineStr">
        <is>
          <t>Balangobong</t>
        </is>
      </c>
      <c r="F408" s="75" t="n">
        <v>110.61</v>
      </c>
      <c r="G408" s="75" t="n">
        <v>43.84</v>
      </c>
      <c r="H408" s="75" t="n">
        <v>15</v>
      </c>
      <c r="I408" s="85" t="n"/>
      <c r="J408" s="85" t="n"/>
      <c r="K408" s="85" t="n"/>
    </row>
    <row r="409" ht="15" customHeight="1" s="101">
      <c r="A409" s="72" t="inlineStr">
        <is>
          <t>WS</t>
        </is>
      </c>
      <c r="B409" s="72" t="inlineStr">
        <is>
          <t>2023</t>
        </is>
      </c>
      <c r="C409" s="72" t="inlineStr">
        <is>
          <t>Palay</t>
        </is>
      </c>
      <c r="D409" s="72" t="inlineStr">
        <is>
          <t>Planting</t>
        </is>
      </c>
      <c r="E409" s="72" t="inlineStr">
        <is>
          <t>Bued</t>
        </is>
      </c>
      <c r="F409" s="73" t="n">
        <v>83.58</v>
      </c>
      <c r="G409" s="73" t="n">
        <v>41.18</v>
      </c>
      <c r="H409" s="73" t="n">
        <v>37.5</v>
      </c>
      <c r="I409" s="84" t="n"/>
      <c r="J409" s="84" t="n"/>
      <c r="K409" s="84" t="n"/>
    </row>
    <row r="410" ht="15" customHeight="1" s="101">
      <c r="A410" s="74" t="inlineStr">
        <is>
          <t>WS</t>
        </is>
      </c>
      <c r="B410" s="74" t="inlineStr">
        <is>
          <t>2023</t>
        </is>
      </c>
      <c r="C410" s="74" t="inlineStr">
        <is>
          <t>Palay</t>
        </is>
      </c>
      <c r="D410" s="74" t="inlineStr">
        <is>
          <t>Planting</t>
        </is>
      </c>
      <c r="E410" s="74" t="inlineStr">
        <is>
          <t>Bugayong</t>
        </is>
      </c>
      <c r="F410" s="75" t="n">
        <v>24.5</v>
      </c>
      <c r="G410" s="75" t="n">
        <v>41.45</v>
      </c>
      <c r="H410" s="75" t="n">
        <v>52.05</v>
      </c>
      <c r="I410" s="85" t="n"/>
      <c r="J410" s="85" t="n"/>
      <c r="K410" s="85" t="n"/>
    </row>
    <row r="411" ht="15" customHeight="1" s="101">
      <c r="A411" s="72" t="inlineStr">
        <is>
          <t>WS</t>
        </is>
      </c>
      <c r="B411" s="72" t="inlineStr">
        <is>
          <t>2023</t>
        </is>
      </c>
      <c r="C411" s="72" t="inlineStr">
        <is>
          <t>Palay</t>
        </is>
      </c>
      <c r="D411" s="72" t="inlineStr">
        <is>
          <t>Planting</t>
        </is>
      </c>
      <c r="E411" s="72" t="inlineStr">
        <is>
          <t>Camanggaan</t>
        </is>
      </c>
      <c r="F411" s="73" t="n">
        <v>38.85</v>
      </c>
      <c r="G411" s="73" t="n">
        <v>134.09</v>
      </c>
      <c r="H411" s="73" t="n">
        <v>68</v>
      </c>
      <c r="I411" s="84" t="n"/>
      <c r="J411" s="84" t="n"/>
      <c r="K411" s="84" t="n"/>
    </row>
    <row r="412" ht="15" customHeight="1" s="101">
      <c r="A412" s="74" t="inlineStr">
        <is>
          <t>WS</t>
        </is>
      </c>
      <c r="B412" s="74" t="inlineStr">
        <is>
          <t>2023</t>
        </is>
      </c>
      <c r="C412" s="74" t="inlineStr">
        <is>
          <t>Palay</t>
        </is>
      </c>
      <c r="D412" s="74" t="inlineStr">
        <is>
          <t>Planting</t>
        </is>
      </c>
      <c r="E412" s="74" t="inlineStr">
        <is>
          <t>Capas</t>
        </is>
      </c>
      <c r="F412" s="75" t="n">
        <v>117.69</v>
      </c>
      <c r="G412" s="75" t="n">
        <v>156.07</v>
      </c>
      <c r="H412" s="75" t="n">
        <v>164</v>
      </c>
      <c r="I412" s="85" t="n"/>
      <c r="J412" s="85" t="n"/>
      <c r="K412" s="85" t="n"/>
    </row>
    <row r="413" ht="15" customHeight="1" s="101">
      <c r="A413" s="72" t="inlineStr">
        <is>
          <t>WS</t>
        </is>
      </c>
      <c r="B413" s="72" t="inlineStr">
        <is>
          <t>2023</t>
        </is>
      </c>
      <c r="C413" s="72" t="inlineStr">
        <is>
          <t>Palay</t>
        </is>
      </c>
      <c r="D413" s="72" t="inlineStr">
        <is>
          <t>Planting</t>
        </is>
      </c>
      <c r="E413" s="72" t="inlineStr">
        <is>
          <t>Cili</t>
        </is>
      </c>
      <c r="F413" s="73" t="n">
        <v>47.56</v>
      </c>
      <c r="G413" s="73" t="n">
        <v>43.56</v>
      </c>
      <c r="H413" s="73" t="n">
        <v>128</v>
      </c>
      <c r="I413" s="84" t="n"/>
      <c r="J413" s="84" t="n"/>
      <c r="K413" s="84" t="n"/>
    </row>
    <row r="414" ht="15" customHeight="1" s="101">
      <c r="A414" s="74" t="inlineStr">
        <is>
          <t>WS</t>
        </is>
      </c>
      <c r="B414" s="74" t="inlineStr">
        <is>
          <t>2023</t>
        </is>
      </c>
      <c r="C414" s="74" t="inlineStr">
        <is>
          <t>Palay</t>
        </is>
      </c>
      <c r="D414" s="74" t="inlineStr">
        <is>
          <t>Planting</t>
        </is>
      </c>
      <c r="E414" s="74" t="inlineStr">
        <is>
          <t>Dumayat</t>
        </is>
      </c>
      <c r="F414" s="75" t="n">
        <v>48.74</v>
      </c>
      <c r="G414" s="75" t="n">
        <v>42.94</v>
      </c>
      <c r="H414" s="75" t="n">
        <v>30</v>
      </c>
      <c r="I414" s="85" t="n"/>
      <c r="J414" s="85" t="n"/>
      <c r="K414" s="85" t="n"/>
    </row>
    <row r="415" ht="15" customHeight="1" s="101">
      <c r="A415" s="72" t="inlineStr">
        <is>
          <t>WS</t>
        </is>
      </c>
      <c r="B415" s="72" t="inlineStr">
        <is>
          <t>2023</t>
        </is>
      </c>
      <c r="C415" s="72" t="inlineStr">
        <is>
          <t>Palay</t>
        </is>
      </c>
      <c r="D415" s="72" t="inlineStr">
        <is>
          <t>Planting</t>
        </is>
      </c>
      <c r="E415" s="72" t="inlineStr">
        <is>
          <t>Linmansangan</t>
        </is>
      </c>
      <c r="F415" s="73" t="n">
        <v>65.5</v>
      </c>
      <c r="G415" s="73" t="n">
        <v>147.19</v>
      </c>
      <c r="H415" s="73" t="n">
        <v>129.5</v>
      </c>
      <c r="I415" s="84" t="n"/>
      <c r="J415" s="84" t="n"/>
      <c r="K415" s="84" t="n"/>
    </row>
    <row r="416" ht="15" customHeight="1" s="101">
      <c r="A416" s="74" t="inlineStr">
        <is>
          <t>WS</t>
        </is>
      </c>
      <c r="B416" s="74" t="inlineStr">
        <is>
          <t>2023</t>
        </is>
      </c>
      <c r="C416" s="74" t="inlineStr">
        <is>
          <t>Palay</t>
        </is>
      </c>
      <c r="D416" s="74" t="inlineStr">
        <is>
          <t>Planting</t>
        </is>
      </c>
      <c r="E416" s="74" t="inlineStr">
        <is>
          <t>Mangkasuy</t>
        </is>
      </c>
      <c r="F416" s="75" t="n">
        <v>65.5</v>
      </c>
      <c r="G416" s="75" t="n">
        <v>164</v>
      </c>
      <c r="H416" s="75" t="n">
        <v>262</v>
      </c>
      <c r="I416" s="85" t="n"/>
      <c r="J416" s="85" t="n"/>
      <c r="K416" s="85" t="n"/>
    </row>
    <row r="417" ht="15" customHeight="1" s="101">
      <c r="A417" s="72" t="inlineStr">
        <is>
          <t>WS</t>
        </is>
      </c>
      <c r="B417" s="72" t="inlineStr">
        <is>
          <t>2023</t>
        </is>
      </c>
      <c r="C417" s="72" t="inlineStr">
        <is>
          <t>Palay</t>
        </is>
      </c>
      <c r="D417" s="72" t="inlineStr">
        <is>
          <t>Planting</t>
        </is>
      </c>
      <c r="E417" s="72" t="inlineStr">
        <is>
          <t>Moreno</t>
        </is>
      </c>
      <c r="F417" s="73" t="n">
        <v>65.5</v>
      </c>
      <c r="G417" s="73" t="n">
        <v>130.56</v>
      </c>
      <c r="H417" s="73" t="n">
        <v>116.6</v>
      </c>
      <c r="I417" s="84" t="n"/>
      <c r="J417" s="84" t="n"/>
      <c r="K417" s="84" t="n"/>
    </row>
    <row r="418" ht="15" customHeight="1" s="101">
      <c r="A418" s="74" t="inlineStr">
        <is>
          <t>WS</t>
        </is>
      </c>
      <c r="B418" s="74" t="inlineStr">
        <is>
          <t>2023</t>
        </is>
      </c>
      <c r="C418" s="74" t="inlineStr">
        <is>
          <t>Palay</t>
        </is>
      </c>
      <c r="D418" s="74" t="inlineStr">
        <is>
          <t>Planting</t>
        </is>
      </c>
      <c r="E418" s="74" t="inlineStr">
        <is>
          <t>Pasileng Norte</t>
        </is>
      </c>
      <c r="F418" s="75" t="n">
        <v>65.5</v>
      </c>
      <c r="G418" s="75" t="n">
        <v>25.35</v>
      </c>
      <c r="H418" s="75" t="n">
        <v>2.65</v>
      </c>
      <c r="I418" s="85" t="n"/>
      <c r="J418" s="85" t="n"/>
      <c r="K418" s="85" t="n"/>
    </row>
    <row r="419" ht="15" customHeight="1" s="101">
      <c r="A419" s="72" t="inlineStr">
        <is>
          <t>WS</t>
        </is>
      </c>
      <c r="B419" s="72" t="inlineStr">
        <is>
          <t>2023</t>
        </is>
      </c>
      <c r="C419" s="72" t="inlineStr">
        <is>
          <t>Palay</t>
        </is>
      </c>
      <c r="D419" s="72" t="inlineStr">
        <is>
          <t>Planting</t>
        </is>
      </c>
      <c r="E419" s="72" t="inlineStr">
        <is>
          <t>Pasileng Sur</t>
        </is>
      </c>
      <c r="F419" s="73" t="n">
        <v>130.4</v>
      </c>
      <c r="G419" s="73" t="n">
        <v>36.61</v>
      </c>
      <c r="H419" s="73" t="n">
        <v>29.1</v>
      </c>
      <c r="I419" s="84" t="n"/>
      <c r="J419" s="84" t="n"/>
      <c r="K419" s="84" t="n"/>
    </row>
    <row r="420" ht="15" customHeight="1" s="101">
      <c r="A420" s="74" t="inlineStr">
        <is>
          <t>WS</t>
        </is>
      </c>
      <c r="B420" s="74" t="inlineStr">
        <is>
          <t>2023</t>
        </is>
      </c>
      <c r="C420" s="74" t="inlineStr">
        <is>
          <t>Palay</t>
        </is>
      </c>
      <c r="D420" s="74" t="inlineStr">
        <is>
          <t>Planting</t>
        </is>
      </c>
      <c r="E420" s="74" t="inlineStr">
        <is>
          <t>San Felipe Central</t>
        </is>
      </c>
      <c r="F420" s="75" t="n">
        <v>130.4</v>
      </c>
      <c r="G420" s="75" t="n">
        <v>37.71</v>
      </c>
      <c r="H420" s="75" t="n">
        <v>62</v>
      </c>
      <c r="I420" s="85" t="n"/>
      <c r="J420" s="85" t="n"/>
      <c r="K420" s="85" t="n"/>
    </row>
    <row r="421" ht="15" customHeight="1" s="101">
      <c r="A421" s="72" t="inlineStr">
        <is>
          <t>WS</t>
        </is>
      </c>
      <c r="B421" s="72" t="inlineStr">
        <is>
          <t>2023</t>
        </is>
      </c>
      <c r="C421" s="72" t="inlineStr">
        <is>
          <t>Palay</t>
        </is>
      </c>
      <c r="D421" s="72" t="inlineStr">
        <is>
          <t>Planting</t>
        </is>
      </c>
      <c r="E421" s="72" t="inlineStr">
        <is>
          <t>San Felipe Sur</t>
        </is>
      </c>
      <c r="F421" s="73" t="n">
        <v>130.4</v>
      </c>
      <c r="G421" s="73" t="n">
        <v>38.87</v>
      </c>
      <c r="H421" s="73" t="n">
        <v>50.5</v>
      </c>
      <c r="I421" s="84" t="n"/>
      <c r="J421" s="84" t="n"/>
      <c r="K421" s="84" t="n"/>
    </row>
    <row r="422" ht="15" customHeight="1" s="101">
      <c r="A422" s="74" t="inlineStr">
        <is>
          <t>WS</t>
        </is>
      </c>
      <c r="B422" s="74" t="inlineStr">
        <is>
          <t>2023</t>
        </is>
      </c>
      <c r="C422" s="74" t="inlineStr">
        <is>
          <t>Palay</t>
        </is>
      </c>
      <c r="D422" s="74" t="inlineStr">
        <is>
          <t>Planting</t>
        </is>
      </c>
      <c r="E422" s="74" t="inlineStr">
        <is>
          <t>San Pablo</t>
        </is>
      </c>
      <c r="F422" s="75" t="n">
        <v>53.09</v>
      </c>
      <c r="G422" s="75" t="n">
        <v>38.17</v>
      </c>
      <c r="H422" s="75" t="n">
        <v>30.5</v>
      </c>
      <c r="I422" s="85" t="n"/>
      <c r="J422" s="85" t="n"/>
      <c r="K422" s="85" t="n"/>
    </row>
    <row r="423" ht="15" customHeight="1" s="101">
      <c r="A423" s="72" t="inlineStr">
        <is>
          <t>WS</t>
        </is>
      </c>
      <c r="B423" s="72" t="inlineStr">
        <is>
          <t>2023</t>
        </is>
      </c>
      <c r="C423" s="72" t="inlineStr">
        <is>
          <t>Palay</t>
        </is>
      </c>
      <c r="D423" s="72" t="inlineStr">
        <is>
          <t>Planting</t>
        </is>
      </c>
      <c r="E423" s="72" t="inlineStr">
        <is>
          <t>Santiago</t>
        </is>
      </c>
      <c r="F423" s="73" t="n">
        <v>130.4</v>
      </c>
      <c r="G423" s="73" t="n">
        <v>116.29</v>
      </c>
      <c r="H423" s="73" t="n">
        <v>144.9</v>
      </c>
      <c r="I423" s="84" t="n"/>
      <c r="J423" s="84" t="n"/>
      <c r="K423" s="84" t="n"/>
    </row>
    <row r="424" ht="15" customHeight="1" s="101">
      <c r="A424" s="74" t="inlineStr">
        <is>
          <t>WS</t>
        </is>
      </c>
      <c r="B424" s="74" t="inlineStr">
        <is>
          <t>2023</t>
        </is>
      </c>
      <c r="C424" s="74" t="inlineStr">
        <is>
          <t>Palay</t>
        </is>
      </c>
      <c r="D424" s="74" t="inlineStr">
        <is>
          <t>Planting</t>
        </is>
      </c>
      <c r="E424" s="74" t="inlineStr">
        <is>
          <t>Sta. Catalina</t>
        </is>
      </c>
      <c r="F424" s="75" t="n">
        <v>65.5</v>
      </c>
      <c r="G424" s="75" t="n">
        <v>158.1</v>
      </c>
      <c r="H424" s="75" t="n">
        <v>180</v>
      </c>
      <c r="I424" s="85" t="n"/>
      <c r="J424" s="85" t="n"/>
      <c r="K424" s="85" t="n"/>
    </row>
    <row r="425" ht="15" customHeight="1" s="101">
      <c r="A425" s="72" t="inlineStr">
        <is>
          <t>WS</t>
        </is>
      </c>
      <c r="B425" s="72" t="inlineStr">
        <is>
          <t>2023</t>
        </is>
      </c>
      <c r="C425" s="72" t="inlineStr">
        <is>
          <t>Palay</t>
        </is>
      </c>
      <c r="D425" s="72" t="inlineStr">
        <is>
          <t>Planting</t>
        </is>
      </c>
      <c r="E425" s="72" t="inlineStr">
        <is>
          <t>Sta. Maria Norte</t>
        </is>
      </c>
      <c r="F425" s="73" t="n">
        <v>30.49</v>
      </c>
      <c r="G425" s="73" t="n">
        <v>39.11</v>
      </c>
      <c r="H425" s="73" t="n">
        <v>43.5</v>
      </c>
      <c r="I425" s="84" t="n"/>
      <c r="J425" s="84" t="n"/>
      <c r="K425" s="84" t="n"/>
    </row>
    <row r="426" ht="15" customHeight="1" s="101">
      <c r="A426" s="74" t="inlineStr">
        <is>
          <t>WS</t>
        </is>
      </c>
      <c r="B426" s="74" t="inlineStr">
        <is>
          <t>2023</t>
        </is>
      </c>
      <c r="C426" s="74" t="inlineStr">
        <is>
          <t>Palay</t>
        </is>
      </c>
      <c r="D426" s="74" t="inlineStr">
        <is>
          <t>Planting</t>
        </is>
      </c>
      <c r="E426" s="74" t="inlineStr">
        <is>
          <t>Sumabnit</t>
        </is>
      </c>
      <c r="F426" s="75" t="n">
        <v>130.4</v>
      </c>
      <c r="G426" s="75" t="n">
        <v>116.6</v>
      </c>
      <c r="H426" s="75" t="n">
        <v>123.7</v>
      </c>
      <c r="I426" s="85" t="n"/>
      <c r="J426" s="85" t="n"/>
      <c r="K426" s="85" t="n"/>
    </row>
    <row r="427" ht="15" customHeight="1" s="101">
      <c r="A427" s="72" t="inlineStr">
        <is>
          <t>WS</t>
        </is>
      </c>
      <c r="B427" s="72" t="inlineStr">
        <is>
          <t>2023</t>
        </is>
      </c>
      <c r="C427" s="72" t="inlineStr">
        <is>
          <t>Palay</t>
        </is>
      </c>
      <c r="D427" s="72" t="inlineStr">
        <is>
          <t>Planting</t>
        </is>
      </c>
      <c r="E427" s="72" t="inlineStr">
        <is>
          <t>Tabuyoc</t>
        </is>
      </c>
      <c r="F427" s="73" t="n">
        <v>130.4</v>
      </c>
      <c r="G427" s="73" t="n">
        <v>80.19</v>
      </c>
      <c r="H427" s="73" t="n">
        <v>5</v>
      </c>
      <c r="I427" s="84" t="n"/>
      <c r="J427" s="84" t="n"/>
      <c r="K427" s="84" t="n"/>
    </row>
    <row r="428" ht="15" customHeight="1" s="101">
      <c r="A428" s="74" t="inlineStr">
        <is>
          <t>WS</t>
        </is>
      </c>
      <c r="B428" s="74" t="inlineStr">
        <is>
          <t>2023</t>
        </is>
      </c>
      <c r="C428" s="74" t="inlineStr">
        <is>
          <t>Palay</t>
        </is>
      </c>
      <c r="D428" s="74" t="inlineStr">
        <is>
          <t>Planting</t>
        </is>
      </c>
      <c r="E428" s="74" t="inlineStr">
        <is>
          <t>Vacante</t>
        </is>
      </c>
      <c r="F428" s="75" t="n">
        <v>24.5</v>
      </c>
      <c r="G428" s="75" t="n">
        <v>116.6</v>
      </c>
      <c r="H428" s="75" t="n">
        <v>81</v>
      </c>
      <c r="I428" s="85" t="n"/>
      <c r="J428" s="85" t="n"/>
      <c r="K428" s="85" t="n"/>
    </row>
    <row r="429" ht="15" customHeight="1" s="101">
      <c r="A429" s="72" t="inlineStr">
        <is>
          <t>WS</t>
        </is>
      </c>
      <c r="B429" s="72" t="inlineStr">
        <is>
          <t>2016</t>
        </is>
      </c>
      <c r="C429" s="72" t="inlineStr">
        <is>
          <t>Palay</t>
        </is>
      </c>
      <c r="D429" s="72" t="inlineStr">
        <is>
          <t>Harvest</t>
        </is>
      </c>
      <c r="E429" s="72" t="inlineStr">
        <is>
          <t>Pasileng Norte</t>
        </is>
      </c>
      <c r="F429" s="84" t="n"/>
      <c r="G429" s="84" t="n"/>
      <c r="H429" s="84" t="n"/>
      <c r="I429" s="73" t="n">
        <v>2.17</v>
      </c>
      <c r="J429" s="73" t="n">
        <v>17.36</v>
      </c>
      <c r="K429" s="73" t="n">
        <v>8</v>
      </c>
    </row>
    <row r="430" ht="15" customHeight="1" s="101">
      <c r="A430" s="74" t="inlineStr">
        <is>
          <t>WS</t>
        </is>
      </c>
      <c r="B430" s="74" t="inlineStr">
        <is>
          <t>2016</t>
        </is>
      </c>
      <c r="C430" s="74" t="inlineStr">
        <is>
          <t>Palay</t>
        </is>
      </c>
      <c r="D430" s="74" t="inlineStr">
        <is>
          <t>Harvest</t>
        </is>
      </c>
      <c r="E430" s="74" t="inlineStr">
        <is>
          <t>Tabuyoc</t>
        </is>
      </c>
      <c r="F430" s="85" t="n"/>
      <c r="G430" s="85" t="n"/>
      <c r="H430" s="85" t="n"/>
      <c r="I430" s="75" t="n">
        <v>4</v>
      </c>
      <c r="J430" s="75" t="n">
        <v>10.87</v>
      </c>
      <c r="K430" s="75" t="n">
        <v>2.72</v>
      </c>
    </row>
    <row r="431" ht="15" customHeight="1" s="101">
      <c r="A431" s="72" t="inlineStr">
        <is>
          <t>WS</t>
        </is>
      </c>
      <c r="B431" s="72" t="inlineStr">
        <is>
          <t>2016</t>
        </is>
      </c>
      <c r="C431" s="72" t="inlineStr">
        <is>
          <t>Palay</t>
        </is>
      </c>
      <c r="D431" s="72" t="inlineStr">
        <is>
          <t>Harvest</t>
        </is>
      </c>
      <c r="E431" s="72" t="inlineStr">
        <is>
          <t>Bued</t>
        </is>
      </c>
      <c r="F431" s="84" t="n"/>
      <c r="G431" s="84" t="n"/>
      <c r="H431" s="84" t="n"/>
      <c r="I431" s="73" t="n">
        <v>24.01</v>
      </c>
      <c r="J431" s="73" t="n">
        <v>106.3</v>
      </c>
      <c r="K431" s="73" t="n">
        <v>4.43</v>
      </c>
    </row>
    <row r="432" ht="15" customHeight="1" s="101">
      <c r="A432" s="74" t="inlineStr">
        <is>
          <t>WS</t>
        </is>
      </c>
      <c r="B432" s="74" t="inlineStr">
        <is>
          <t>2016</t>
        </is>
      </c>
      <c r="C432" s="74" t="inlineStr">
        <is>
          <t>Palay</t>
        </is>
      </c>
      <c r="D432" s="74" t="inlineStr">
        <is>
          <t>Harvest</t>
        </is>
      </c>
      <c r="E432" s="74" t="inlineStr">
        <is>
          <t>Dumayat</t>
        </is>
      </c>
      <c r="F432" s="85" t="n"/>
      <c r="G432" s="85" t="n"/>
      <c r="H432" s="85" t="n"/>
      <c r="I432" s="75" t="n">
        <v>8</v>
      </c>
      <c r="J432" s="75" t="n">
        <v>30.24</v>
      </c>
      <c r="K432" s="75" t="n">
        <v>3.78</v>
      </c>
    </row>
    <row r="433" ht="15" customHeight="1" s="101">
      <c r="A433" s="72" t="inlineStr">
        <is>
          <t>WS</t>
        </is>
      </c>
      <c r="B433" s="72" t="inlineStr">
        <is>
          <t>2016</t>
        </is>
      </c>
      <c r="C433" s="72" t="inlineStr">
        <is>
          <t>Palay</t>
        </is>
      </c>
      <c r="D433" s="72" t="inlineStr">
        <is>
          <t>Harvest</t>
        </is>
      </c>
      <c r="E433" s="72" t="inlineStr">
        <is>
          <t>Camanggaan</t>
        </is>
      </c>
      <c r="F433" s="84" t="n"/>
      <c r="G433" s="84" t="n"/>
      <c r="H433" s="84" t="n"/>
      <c r="I433" s="73" t="n">
        <v>16</v>
      </c>
      <c r="J433" s="73" t="n">
        <v>60</v>
      </c>
      <c r="K433" s="73" t="n">
        <v>3.75</v>
      </c>
    </row>
    <row r="434" ht="15" customHeight="1" s="101">
      <c r="A434" s="74" t="inlineStr">
        <is>
          <t>WS</t>
        </is>
      </c>
      <c r="B434" s="74" t="inlineStr">
        <is>
          <t>2016</t>
        </is>
      </c>
      <c r="C434" s="74" t="inlineStr">
        <is>
          <t>Palay</t>
        </is>
      </c>
      <c r="D434" s="74" t="inlineStr">
        <is>
          <t>Harvest</t>
        </is>
      </c>
      <c r="E434" s="74" t="inlineStr">
        <is>
          <t>Vacante</t>
        </is>
      </c>
      <c r="F434" s="85" t="n"/>
      <c r="G434" s="85" t="n"/>
      <c r="H434" s="85" t="n"/>
      <c r="I434" s="75" t="n">
        <v>2.68</v>
      </c>
      <c r="J434" s="75" t="n">
        <v>7.77</v>
      </c>
      <c r="K434" s="75" t="n">
        <v>2.9</v>
      </c>
    </row>
    <row r="435" ht="15" customHeight="1" s="101">
      <c r="A435" s="72" t="inlineStr">
        <is>
          <t>WS</t>
        </is>
      </c>
      <c r="B435" s="72" t="inlineStr">
        <is>
          <t>2016</t>
        </is>
      </c>
      <c r="C435" s="72" t="inlineStr">
        <is>
          <t>Palay</t>
        </is>
      </c>
      <c r="D435" s="72" t="inlineStr">
        <is>
          <t>Harvest</t>
        </is>
      </c>
      <c r="E435" s="72" t="inlineStr">
        <is>
          <t>Sta. Catalina</t>
        </is>
      </c>
      <c r="F435" s="84" t="n"/>
      <c r="G435" s="84" t="n"/>
      <c r="H435" s="84" t="n"/>
      <c r="I435" s="73" t="n">
        <v>21</v>
      </c>
      <c r="J435" s="73" t="n">
        <v>83.58</v>
      </c>
      <c r="K435" s="73" t="n">
        <v>3.98</v>
      </c>
    </row>
    <row r="436" ht="15" customHeight="1" s="101">
      <c r="A436" s="74" t="inlineStr">
        <is>
          <t>WS</t>
        </is>
      </c>
      <c r="B436" s="74" t="inlineStr">
        <is>
          <t>2016</t>
        </is>
      </c>
      <c r="C436" s="74" t="inlineStr">
        <is>
          <t>Palay</t>
        </is>
      </c>
      <c r="D436" s="74" t="inlineStr">
        <is>
          <t>Harvest</t>
        </is>
      </c>
      <c r="E436" s="74" t="inlineStr">
        <is>
          <t>Moreno</t>
        </is>
      </c>
      <c r="F436" s="85" t="n"/>
      <c r="G436" s="85" t="n"/>
      <c r="H436" s="85" t="n"/>
      <c r="I436" s="75" t="n">
        <v>19</v>
      </c>
      <c r="J436" s="75" t="n">
        <v>76.19</v>
      </c>
      <c r="K436" s="75" t="n">
        <v>4.01</v>
      </c>
    </row>
    <row r="437" ht="15" customHeight="1" s="101">
      <c r="A437" s="72" t="inlineStr">
        <is>
          <t>WS</t>
        </is>
      </c>
      <c r="B437" s="72" t="inlineStr">
        <is>
          <t>2016</t>
        </is>
      </c>
      <c r="C437" s="72" t="inlineStr">
        <is>
          <t>Palay</t>
        </is>
      </c>
      <c r="D437" s="72" t="inlineStr">
        <is>
          <t>Harvest</t>
        </is>
      </c>
      <c r="E437" s="72" t="inlineStr">
        <is>
          <t>Cili</t>
        </is>
      </c>
      <c r="F437" s="84" t="n"/>
      <c r="G437" s="84" t="n"/>
      <c r="H437" s="84" t="n"/>
      <c r="I437" s="73" t="n">
        <v>17.54</v>
      </c>
      <c r="J437" s="73" t="n">
        <v>31.06</v>
      </c>
      <c r="K437" s="73" t="n">
        <v>1.77</v>
      </c>
    </row>
    <row r="438" ht="15" customHeight="1" s="101">
      <c r="A438" s="74" t="inlineStr">
        <is>
          <t>WS</t>
        </is>
      </c>
      <c r="B438" s="74" t="inlineStr">
        <is>
          <t>2016</t>
        </is>
      </c>
      <c r="C438" s="74" t="inlineStr">
        <is>
          <t>Palay</t>
        </is>
      </c>
      <c r="D438" s="74" t="inlineStr">
        <is>
          <t>Harvest</t>
        </is>
      </c>
      <c r="E438" s="74" t="inlineStr">
        <is>
          <t>Linmansangan</t>
        </is>
      </c>
      <c r="F438" s="85" t="n"/>
      <c r="G438" s="85" t="n"/>
      <c r="H438" s="85" t="n"/>
      <c r="I438" s="75" t="n">
        <v>40.86</v>
      </c>
      <c r="J438" s="75" t="n">
        <v>20.23</v>
      </c>
      <c r="K438" s="75" t="n">
        <v>0.5</v>
      </c>
    </row>
    <row r="439" ht="15" customHeight="1" s="101">
      <c r="A439" s="72" t="inlineStr">
        <is>
          <t>WS</t>
        </is>
      </c>
      <c r="B439" s="72" t="inlineStr">
        <is>
          <t>2016</t>
        </is>
      </c>
      <c r="C439" s="72" t="inlineStr">
        <is>
          <t>Palay</t>
        </is>
      </c>
      <c r="D439" s="72" t="inlineStr">
        <is>
          <t>Harvest</t>
        </is>
      </c>
      <c r="E439" s="72" t="inlineStr">
        <is>
          <t>Sumabnit</t>
        </is>
      </c>
      <c r="F439" s="84" t="n"/>
      <c r="G439" s="84" t="n"/>
      <c r="H439" s="84" t="n"/>
      <c r="I439" s="73" t="n">
        <v>3.23</v>
      </c>
      <c r="J439" s="73" t="n">
        <v>9.57</v>
      </c>
      <c r="K439" s="73" t="n">
        <v>2.96</v>
      </c>
    </row>
    <row r="440" ht="15" customHeight="1" s="101">
      <c r="A440" s="74" t="inlineStr">
        <is>
          <t>WS</t>
        </is>
      </c>
      <c r="B440" s="74" t="inlineStr">
        <is>
          <t>2016</t>
        </is>
      </c>
      <c r="C440" s="74" t="inlineStr">
        <is>
          <t>Palay</t>
        </is>
      </c>
      <c r="D440" s="74" t="inlineStr">
        <is>
          <t>Harvest</t>
        </is>
      </c>
      <c r="E440" s="74" t="inlineStr">
        <is>
          <t>Capas</t>
        </is>
      </c>
      <c r="F440" s="85" t="n"/>
      <c r="G440" s="85" t="n"/>
      <c r="H440" s="85" t="n"/>
      <c r="I440" s="75" t="n">
        <v>9</v>
      </c>
      <c r="J440" s="75" t="n">
        <v>27.09</v>
      </c>
      <c r="K440" s="75" t="n">
        <v>3.01</v>
      </c>
    </row>
    <row r="441" ht="15" customHeight="1" s="101">
      <c r="A441" s="72" t="inlineStr">
        <is>
          <t>WS</t>
        </is>
      </c>
      <c r="B441" s="72" t="inlineStr">
        <is>
          <t>2016</t>
        </is>
      </c>
      <c r="C441" s="72" t="inlineStr">
        <is>
          <t>Palay</t>
        </is>
      </c>
      <c r="D441" s="72" t="inlineStr">
        <is>
          <t>Harvest</t>
        </is>
      </c>
      <c r="E441" s="72" t="inlineStr">
        <is>
          <t>Mangkasuy</t>
        </is>
      </c>
      <c r="F441" s="84" t="n"/>
      <c r="G441" s="84" t="n"/>
      <c r="H441" s="84" t="n"/>
      <c r="I441" s="73" t="n">
        <v>11</v>
      </c>
      <c r="J441" s="73" t="n">
        <v>55.99</v>
      </c>
      <c r="K441" s="73" t="n">
        <v>5.09</v>
      </c>
    </row>
    <row r="442" ht="15" customHeight="1" s="101">
      <c r="A442" s="74" t="inlineStr">
        <is>
          <t>WS</t>
        </is>
      </c>
      <c r="B442" s="74" t="inlineStr">
        <is>
          <t>2016</t>
        </is>
      </c>
      <c r="C442" s="74" t="inlineStr">
        <is>
          <t>Palay</t>
        </is>
      </c>
      <c r="D442" s="74" t="inlineStr">
        <is>
          <t>Harvest</t>
        </is>
      </c>
      <c r="E442" s="74" t="inlineStr">
        <is>
          <t>San Pablo</t>
        </is>
      </c>
      <c r="F442" s="85" t="n"/>
      <c r="G442" s="85" t="n"/>
      <c r="H442" s="85" t="n"/>
      <c r="I442" s="75" t="n">
        <v>1.05</v>
      </c>
      <c r="J442" s="75" t="n">
        <v>8.4</v>
      </c>
      <c r="K442" s="75" t="n">
        <v>8</v>
      </c>
    </row>
    <row r="443" ht="15" customHeight="1" s="101">
      <c r="A443" s="72" t="inlineStr">
        <is>
          <t>WS</t>
        </is>
      </c>
      <c r="B443" s="72" t="inlineStr">
        <is>
          <t>2016</t>
        </is>
      </c>
      <c r="C443" s="72" t="inlineStr">
        <is>
          <t>Palay</t>
        </is>
      </c>
      <c r="D443" s="72" t="inlineStr">
        <is>
          <t>Harvest</t>
        </is>
      </c>
      <c r="E443" s="72" t="inlineStr">
        <is>
          <t>Balangobong</t>
        </is>
      </c>
      <c r="F443" s="84" t="n"/>
      <c r="G443" s="84" t="n"/>
      <c r="H443" s="84" t="n"/>
      <c r="I443" s="73" t="n">
        <v>39.81</v>
      </c>
      <c r="J443" s="73" t="n">
        <v>191.46</v>
      </c>
      <c r="K443" s="73" t="n">
        <v>4.81</v>
      </c>
    </row>
    <row r="444" ht="15" customHeight="1" s="101">
      <c r="A444" s="74" t="inlineStr">
        <is>
          <t>WS</t>
        </is>
      </c>
      <c r="B444" s="74" t="inlineStr">
        <is>
          <t>2016</t>
        </is>
      </c>
      <c r="C444" s="74" t="inlineStr">
        <is>
          <t>Palay</t>
        </is>
      </c>
      <c r="D444" s="74" t="inlineStr">
        <is>
          <t>Harvest</t>
        </is>
      </c>
      <c r="E444" s="74" t="inlineStr">
        <is>
          <t>San Felipe Central</t>
        </is>
      </c>
      <c r="F444" s="85" t="n"/>
      <c r="G444" s="85" t="n"/>
      <c r="H444" s="85" t="n"/>
      <c r="I444" s="75" t="n">
        <v>10</v>
      </c>
      <c r="J444" s="75" t="n">
        <v>46.15</v>
      </c>
      <c r="K444" s="75" t="n">
        <v>4.62</v>
      </c>
    </row>
    <row r="445" ht="15" customHeight="1" s="101">
      <c r="A445" s="72" t="inlineStr">
        <is>
          <t>WS</t>
        </is>
      </c>
      <c r="B445" s="72" t="inlineStr">
        <is>
          <t>2016</t>
        </is>
      </c>
      <c r="C445" s="72" t="inlineStr">
        <is>
          <t>Palay</t>
        </is>
      </c>
      <c r="D445" s="72" t="inlineStr">
        <is>
          <t>Harvest</t>
        </is>
      </c>
      <c r="E445" s="72" t="inlineStr">
        <is>
          <t>San Felipe Sur</t>
        </is>
      </c>
      <c r="F445" s="84" t="n"/>
      <c r="G445" s="84" t="n"/>
      <c r="H445" s="84" t="n"/>
      <c r="I445" s="73" t="n">
        <v>5.75</v>
      </c>
      <c r="J445" s="73" t="n">
        <v>25.56</v>
      </c>
      <c r="K445" s="73" t="n">
        <v>4.45</v>
      </c>
    </row>
    <row r="446" ht="15" customHeight="1" s="101">
      <c r="A446" s="74" t="inlineStr">
        <is>
          <t>WS</t>
        </is>
      </c>
      <c r="B446" s="74" t="inlineStr">
        <is>
          <t>2016</t>
        </is>
      </c>
      <c r="C446" s="74" t="inlineStr">
        <is>
          <t>Palay</t>
        </is>
      </c>
      <c r="D446" s="74" t="inlineStr">
        <is>
          <t>Harvest</t>
        </is>
      </c>
      <c r="E446" s="74" t="inlineStr">
        <is>
          <t>Pasileng Sur</t>
        </is>
      </c>
      <c r="F446" s="85" t="n"/>
      <c r="G446" s="85" t="n"/>
      <c r="H446" s="85" t="n"/>
      <c r="I446" s="75" t="n">
        <v>6.6</v>
      </c>
      <c r="J446" s="75" t="n">
        <v>31.64</v>
      </c>
      <c r="K446" s="75" t="n">
        <v>4.79</v>
      </c>
    </row>
    <row r="447" ht="15" customHeight="1" s="101">
      <c r="A447" s="72" t="inlineStr">
        <is>
          <t>WS</t>
        </is>
      </c>
      <c r="B447" s="72" t="inlineStr">
        <is>
          <t>2016</t>
        </is>
      </c>
      <c r="C447" s="72" t="inlineStr">
        <is>
          <t>Palay</t>
        </is>
      </c>
      <c r="D447" s="72" t="inlineStr">
        <is>
          <t>Harvest</t>
        </is>
      </c>
      <c r="E447" s="72" t="inlineStr">
        <is>
          <t>Sta. Maria Norte</t>
        </is>
      </c>
      <c r="F447" s="84" t="n"/>
      <c r="G447" s="84" t="n"/>
      <c r="H447" s="84" t="n"/>
      <c r="I447" s="73" t="n">
        <v>1.05</v>
      </c>
      <c r="J447" s="73" t="n">
        <v>5.38</v>
      </c>
      <c r="K447" s="73" t="n">
        <v>5.12</v>
      </c>
    </row>
    <row r="448" ht="15" customHeight="1" s="101">
      <c r="A448" s="74" t="inlineStr">
        <is>
          <t>WS</t>
        </is>
      </c>
      <c r="B448" s="74" t="inlineStr">
        <is>
          <t>2016</t>
        </is>
      </c>
      <c r="C448" s="74" t="inlineStr">
        <is>
          <t>Palay</t>
        </is>
      </c>
      <c r="D448" s="74" t="inlineStr">
        <is>
          <t>Harvest</t>
        </is>
      </c>
      <c r="E448" s="74" t="inlineStr">
        <is>
          <t>Bugayong</t>
        </is>
      </c>
      <c r="F448" s="85" t="n"/>
      <c r="G448" s="85" t="n"/>
      <c r="H448" s="85" t="n"/>
      <c r="I448" s="75" t="n">
        <v>25.1</v>
      </c>
      <c r="J448" s="75" t="n">
        <v>117.29</v>
      </c>
      <c r="K448" s="75" t="n">
        <v>4.67</v>
      </c>
    </row>
    <row r="449" ht="15" customHeight="1" s="101">
      <c r="A449" s="72" t="inlineStr">
        <is>
          <t>WS</t>
        </is>
      </c>
      <c r="B449" s="72" t="inlineStr">
        <is>
          <t>2016</t>
        </is>
      </c>
      <c r="C449" s="72" t="inlineStr">
        <is>
          <t>Palay</t>
        </is>
      </c>
      <c r="D449" s="72" t="inlineStr">
        <is>
          <t>Harvest</t>
        </is>
      </c>
      <c r="E449" s="72" t="inlineStr">
        <is>
          <t>Santiago</t>
        </is>
      </c>
      <c r="F449" s="84" t="n"/>
      <c r="G449" s="84" t="n"/>
      <c r="H449" s="84" t="n"/>
      <c r="I449" s="73" t="n">
        <v>3.47</v>
      </c>
      <c r="J449" s="73" t="n">
        <v>10.92</v>
      </c>
      <c r="K449" s="73" t="n">
        <v>3.15</v>
      </c>
    </row>
    <row r="450" ht="15" customHeight="1" s="101">
      <c r="A450" s="74" t="inlineStr">
        <is>
          <t>WS</t>
        </is>
      </c>
      <c r="B450" s="74" t="inlineStr">
        <is>
          <t>2017</t>
        </is>
      </c>
      <c r="C450" s="74" t="inlineStr">
        <is>
          <t>Palay</t>
        </is>
      </c>
      <c r="D450" s="74" t="inlineStr">
        <is>
          <t>Harvest</t>
        </is>
      </c>
      <c r="E450" s="74" t="inlineStr">
        <is>
          <t>Pasileng Norte</t>
        </is>
      </c>
      <c r="F450" s="85" t="n"/>
      <c r="G450" s="85" t="n"/>
      <c r="H450" s="85" t="n"/>
      <c r="I450" s="75" t="n">
        <v>2.25</v>
      </c>
      <c r="J450" s="75" t="n">
        <v>18</v>
      </c>
      <c r="K450" s="75" t="n">
        <v>8</v>
      </c>
    </row>
    <row r="451" ht="15" customHeight="1" s="101">
      <c r="A451" s="72" t="inlineStr">
        <is>
          <t>WS</t>
        </is>
      </c>
      <c r="B451" s="72" t="inlineStr">
        <is>
          <t>2017</t>
        </is>
      </c>
      <c r="C451" s="72" t="inlineStr">
        <is>
          <t>Palay</t>
        </is>
      </c>
      <c r="D451" s="72" t="inlineStr">
        <is>
          <t>Harvest</t>
        </is>
      </c>
      <c r="E451" s="72" t="inlineStr">
        <is>
          <t>Tabuyoc</t>
        </is>
      </c>
      <c r="F451" s="84" t="n"/>
      <c r="G451" s="84" t="n"/>
      <c r="H451" s="84" t="n"/>
      <c r="I451" s="73" t="n">
        <v>4</v>
      </c>
      <c r="J451" s="73" t="n">
        <v>11.07</v>
      </c>
      <c r="K451" s="73" t="n">
        <v>2.77</v>
      </c>
    </row>
    <row r="452" ht="15" customHeight="1" s="101">
      <c r="A452" s="74" t="inlineStr">
        <is>
          <t>WS</t>
        </is>
      </c>
      <c r="B452" s="74" t="inlineStr">
        <is>
          <t>2017</t>
        </is>
      </c>
      <c r="C452" s="74" t="inlineStr">
        <is>
          <t>Palay</t>
        </is>
      </c>
      <c r="D452" s="74" t="inlineStr">
        <is>
          <t>Harvest</t>
        </is>
      </c>
      <c r="E452" s="74" t="inlineStr">
        <is>
          <t>Bued</t>
        </is>
      </c>
      <c r="F452" s="85" t="n"/>
      <c r="G452" s="85" t="n"/>
      <c r="H452" s="85" t="n"/>
      <c r="I452" s="75" t="n">
        <v>24.54</v>
      </c>
      <c r="J452" s="75" t="n">
        <v>109.51</v>
      </c>
      <c r="K452" s="75" t="n">
        <v>4.46</v>
      </c>
    </row>
    <row r="453" ht="15" customHeight="1" s="101">
      <c r="A453" s="72" t="inlineStr">
        <is>
          <t>WS</t>
        </is>
      </c>
      <c r="B453" s="72" t="inlineStr">
        <is>
          <t>2017</t>
        </is>
      </c>
      <c r="C453" s="72" t="inlineStr">
        <is>
          <t>Palay</t>
        </is>
      </c>
      <c r="D453" s="72" t="inlineStr">
        <is>
          <t>Harvest</t>
        </is>
      </c>
      <c r="E453" s="72" t="inlineStr">
        <is>
          <t>Dumayat</t>
        </is>
      </c>
      <c r="F453" s="84" t="n"/>
      <c r="G453" s="84" t="n"/>
      <c r="H453" s="84" t="n"/>
      <c r="I453" s="73" t="n">
        <v>19.09</v>
      </c>
      <c r="J453" s="73" t="n">
        <v>25.11</v>
      </c>
      <c r="K453" s="73" t="n">
        <v>1.32</v>
      </c>
    </row>
    <row r="454" ht="15" customHeight="1" s="101">
      <c r="A454" s="74" t="inlineStr">
        <is>
          <t>WS</t>
        </is>
      </c>
      <c r="B454" s="74" t="inlineStr">
        <is>
          <t>2017</t>
        </is>
      </c>
      <c r="C454" s="74" t="inlineStr">
        <is>
          <t>Palay</t>
        </is>
      </c>
      <c r="D454" s="74" t="inlineStr">
        <is>
          <t>Harvest</t>
        </is>
      </c>
      <c r="E454" s="74" t="inlineStr">
        <is>
          <t>Camanggaan</t>
        </is>
      </c>
      <c r="F454" s="85" t="n"/>
      <c r="G454" s="85" t="n"/>
      <c r="H454" s="85" t="n"/>
      <c r="I454" s="75" t="n">
        <v>2.5</v>
      </c>
      <c r="J454" s="75" t="n">
        <v>20</v>
      </c>
      <c r="K454" s="75" t="n">
        <v>8</v>
      </c>
    </row>
    <row r="455" ht="15" customHeight="1" s="101">
      <c r="A455" s="72" t="inlineStr">
        <is>
          <t>WS</t>
        </is>
      </c>
      <c r="B455" s="72" t="inlineStr">
        <is>
          <t>2017</t>
        </is>
      </c>
      <c r="C455" s="72" t="inlineStr">
        <is>
          <t>Palay</t>
        </is>
      </c>
      <c r="D455" s="72" t="inlineStr">
        <is>
          <t>Harvest</t>
        </is>
      </c>
      <c r="E455" s="72" t="inlineStr">
        <is>
          <t>Vacante</t>
        </is>
      </c>
      <c r="F455" s="84" t="n"/>
      <c r="G455" s="84" t="n"/>
      <c r="H455" s="84" t="n"/>
      <c r="I455" s="73" t="n">
        <v>2.63</v>
      </c>
      <c r="J455" s="73" t="n">
        <v>5.27</v>
      </c>
      <c r="K455" s="73" t="n">
        <v>2</v>
      </c>
    </row>
    <row r="456" ht="15" customHeight="1" s="101">
      <c r="A456" s="74" t="inlineStr">
        <is>
          <t>WS</t>
        </is>
      </c>
      <c r="B456" s="74" t="inlineStr">
        <is>
          <t>2017</t>
        </is>
      </c>
      <c r="C456" s="74" t="inlineStr">
        <is>
          <t>Palay</t>
        </is>
      </c>
      <c r="D456" s="74" t="inlineStr">
        <is>
          <t>Harvest</t>
        </is>
      </c>
      <c r="E456" s="74" t="inlineStr">
        <is>
          <t>Sta. Catalina</t>
        </is>
      </c>
      <c r="F456" s="85" t="n"/>
      <c r="G456" s="85" t="n"/>
      <c r="H456" s="85" t="n"/>
      <c r="I456" s="75" t="n">
        <v>13</v>
      </c>
      <c r="J456" s="75" t="n">
        <v>32.23</v>
      </c>
      <c r="K456" s="75" t="n">
        <v>2.48</v>
      </c>
    </row>
    <row r="457" ht="15" customHeight="1" s="101">
      <c r="A457" s="72" t="inlineStr">
        <is>
          <t>WS</t>
        </is>
      </c>
      <c r="B457" s="72" t="inlineStr">
        <is>
          <t>2017</t>
        </is>
      </c>
      <c r="C457" s="72" t="inlineStr">
        <is>
          <t>Palay</t>
        </is>
      </c>
      <c r="D457" s="72" t="inlineStr">
        <is>
          <t>Harvest</t>
        </is>
      </c>
      <c r="E457" s="72" t="inlineStr">
        <is>
          <t>Moreno</t>
        </is>
      </c>
      <c r="F457" s="84" t="n"/>
      <c r="G457" s="84" t="n"/>
      <c r="H457" s="84" t="n"/>
      <c r="I457" s="73" t="n">
        <v>11.5</v>
      </c>
      <c r="J457" s="73" t="n">
        <v>33.43</v>
      </c>
      <c r="K457" s="73" t="n">
        <v>2.91</v>
      </c>
    </row>
    <row r="458" ht="15" customHeight="1" s="101">
      <c r="A458" s="74" t="inlineStr">
        <is>
          <t>WS</t>
        </is>
      </c>
      <c r="B458" s="74" t="inlineStr">
        <is>
          <t>2017</t>
        </is>
      </c>
      <c r="C458" s="74" t="inlineStr">
        <is>
          <t>Palay</t>
        </is>
      </c>
      <c r="D458" s="74" t="inlineStr">
        <is>
          <t>Harvest</t>
        </is>
      </c>
      <c r="E458" s="74" t="inlineStr">
        <is>
          <t>Cili</t>
        </is>
      </c>
      <c r="F458" s="85" t="n"/>
      <c r="G458" s="85" t="n"/>
      <c r="H458" s="85" t="n"/>
      <c r="I458" s="75" t="n">
        <v>20.04</v>
      </c>
      <c r="J458" s="75" t="n">
        <v>24.44</v>
      </c>
      <c r="K458" s="75" t="n">
        <v>1.22</v>
      </c>
    </row>
    <row r="459" ht="15" customHeight="1" s="101">
      <c r="A459" s="72" t="inlineStr">
        <is>
          <t>WS</t>
        </is>
      </c>
      <c r="B459" s="72" t="inlineStr">
        <is>
          <t>2017</t>
        </is>
      </c>
      <c r="C459" s="72" t="inlineStr">
        <is>
          <t>Palay</t>
        </is>
      </c>
      <c r="D459" s="72" t="inlineStr">
        <is>
          <t>Harvest</t>
        </is>
      </c>
      <c r="E459" s="72" t="inlineStr">
        <is>
          <t>Linmansangan</t>
        </is>
      </c>
      <c r="F459" s="84" t="n"/>
      <c r="G459" s="84" t="n"/>
      <c r="H459" s="84" t="n"/>
      <c r="I459" s="73" t="n">
        <v>42.7</v>
      </c>
      <c r="J459" s="73" t="n">
        <v>16.79</v>
      </c>
      <c r="K459" s="73" t="n">
        <v>0.39</v>
      </c>
    </row>
    <row r="460" ht="15" customHeight="1" s="101">
      <c r="A460" s="74" t="inlineStr">
        <is>
          <t>WS</t>
        </is>
      </c>
      <c r="B460" s="74" t="inlineStr">
        <is>
          <t>2017</t>
        </is>
      </c>
      <c r="C460" s="74" t="inlineStr">
        <is>
          <t>Palay</t>
        </is>
      </c>
      <c r="D460" s="74" t="inlineStr">
        <is>
          <t>Harvest</t>
        </is>
      </c>
      <c r="E460" s="74" t="inlineStr">
        <is>
          <t>Sumabnit</t>
        </is>
      </c>
      <c r="F460" s="85" t="n"/>
      <c r="G460" s="85" t="n"/>
      <c r="H460" s="85" t="n"/>
      <c r="I460" s="75" t="n">
        <v>3.14</v>
      </c>
      <c r="J460" s="75" t="n">
        <v>8.94</v>
      </c>
      <c r="K460" s="75" t="n">
        <v>2.85</v>
      </c>
    </row>
    <row r="461" ht="15" customHeight="1" s="101">
      <c r="A461" s="72" t="inlineStr">
        <is>
          <t>WS</t>
        </is>
      </c>
      <c r="B461" s="72" t="inlineStr">
        <is>
          <t>2017</t>
        </is>
      </c>
      <c r="C461" s="72" t="inlineStr">
        <is>
          <t>Palay</t>
        </is>
      </c>
      <c r="D461" s="72" t="inlineStr">
        <is>
          <t>Harvest</t>
        </is>
      </c>
      <c r="E461" s="72" t="inlineStr">
        <is>
          <t>Capas</t>
        </is>
      </c>
      <c r="F461" s="84" t="n"/>
      <c r="G461" s="84" t="n"/>
      <c r="H461" s="84" t="n"/>
      <c r="I461" s="73" t="n">
        <v>2</v>
      </c>
      <c r="J461" s="73" t="n">
        <v>16</v>
      </c>
      <c r="K461" s="73" t="n">
        <v>8</v>
      </c>
    </row>
    <row r="462" ht="15" customHeight="1" s="101">
      <c r="A462" s="74" t="inlineStr">
        <is>
          <t>WS</t>
        </is>
      </c>
      <c r="B462" s="74" t="inlineStr">
        <is>
          <t>2017</t>
        </is>
      </c>
      <c r="C462" s="74" t="inlineStr">
        <is>
          <t>Palay</t>
        </is>
      </c>
      <c r="D462" s="74" t="inlineStr">
        <is>
          <t>Harvest</t>
        </is>
      </c>
      <c r="E462" s="74" t="inlineStr">
        <is>
          <t>Mangkasuy</t>
        </is>
      </c>
      <c r="F462" s="85" t="n"/>
      <c r="G462" s="85" t="n"/>
      <c r="H462" s="85" t="n"/>
      <c r="I462" s="75" t="n">
        <v>8.44</v>
      </c>
      <c r="J462" s="75" t="n">
        <v>23.76</v>
      </c>
      <c r="K462" s="75" t="n">
        <v>2.82</v>
      </c>
    </row>
    <row r="463" ht="15" customHeight="1" s="101">
      <c r="A463" s="72" t="inlineStr">
        <is>
          <t>WS</t>
        </is>
      </c>
      <c r="B463" s="72" t="inlineStr">
        <is>
          <t>2017</t>
        </is>
      </c>
      <c r="C463" s="72" t="inlineStr">
        <is>
          <t>Palay</t>
        </is>
      </c>
      <c r="D463" s="72" t="inlineStr">
        <is>
          <t>Harvest</t>
        </is>
      </c>
      <c r="E463" s="72" t="inlineStr">
        <is>
          <t>San Pablo</t>
        </is>
      </c>
      <c r="F463" s="84" t="n"/>
      <c r="G463" s="84" t="n"/>
      <c r="H463" s="84" t="n"/>
      <c r="I463" s="73" t="n">
        <v>1.05</v>
      </c>
      <c r="J463" s="73" t="n">
        <v>6.66</v>
      </c>
      <c r="K463" s="73" t="n">
        <v>6.34</v>
      </c>
    </row>
    <row r="464" ht="15" customHeight="1" s="101">
      <c r="A464" s="74" t="inlineStr">
        <is>
          <t>WS</t>
        </is>
      </c>
      <c r="B464" s="74" t="inlineStr">
        <is>
          <t>2017</t>
        </is>
      </c>
      <c r="C464" s="74" t="inlineStr">
        <is>
          <t>Palay</t>
        </is>
      </c>
      <c r="D464" s="74" t="inlineStr">
        <is>
          <t>Harvest</t>
        </is>
      </c>
      <c r="E464" s="74" t="inlineStr">
        <is>
          <t>Balangobong</t>
        </is>
      </c>
      <c r="F464" s="85" t="n"/>
      <c r="G464" s="85" t="n"/>
      <c r="H464" s="85" t="n"/>
      <c r="I464" s="75" t="n">
        <v>39.98</v>
      </c>
      <c r="J464" s="75" t="n">
        <v>194.73</v>
      </c>
      <c r="K464" s="75" t="n">
        <v>4.87</v>
      </c>
    </row>
    <row r="465" ht="15" customHeight="1" s="101">
      <c r="A465" s="72" t="inlineStr">
        <is>
          <t>WS</t>
        </is>
      </c>
      <c r="B465" s="72" t="inlineStr">
        <is>
          <t>2017</t>
        </is>
      </c>
      <c r="C465" s="72" t="inlineStr">
        <is>
          <t>Palay</t>
        </is>
      </c>
      <c r="D465" s="72" t="inlineStr">
        <is>
          <t>Harvest</t>
        </is>
      </c>
      <c r="E465" s="72" t="inlineStr">
        <is>
          <t>San Felipe Central</t>
        </is>
      </c>
      <c r="F465" s="84" t="n"/>
      <c r="G465" s="84" t="n"/>
      <c r="H465" s="84" t="n"/>
      <c r="I465" s="73" t="n">
        <v>5.7</v>
      </c>
      <c r="J465" s="73" t="n">
        <v>25.65</v>
      </c>
      <c r="K465" s="73" t="n">
        <v>4.5</v>
      </c>
    </row>
    <row r="466" ht="15" customHeight="1" s="101">
      <c r="A466" s="74" t="inlineStr">
        <is>
          <t>WS</t>
        </is>
      </c>
      <c r="B466" s="74" t="inlineStr">
        <is>
          <t>2017</t>
        </is>
      </c>
      <c r="C466" s="74" t="inlineStr">
        <is>
          <t>Palay</t>
        </is>
      </c>
      <c r="D466" s="74" t="inlineStr">
        <is>
          <t>Harvest</t>
        </is>
      </c>
      <c r="E466" s="74" t="inlineStr">
        <is>
          <t>San Felipe Sur</t>
        </is>
      </c>
      <c r="F466" s="85" t="n"/>
      <c r="G466" s="85" t="n"/>
      <c r="H466" s="85" t="n"/>
      <c r="I466" s="75" t="n">
        <v>5</v>
      </c>
      <c r="J466" s="75" t="n">
        <v>18.13</v>
      </c>
      <c r="K466" s="75" t="n">
        <v>3.63</v>
      </c>
    </row>
    <row r="467" ht="15" customHeight="1" s="101">
      <c r="A467" s="72" t="inlineStr">
        <is>
          <t>WS</t>
        </is>
      </c>
      <c r="B467" s="72" t="inlineStr">
        <is>
          <t>2017</t>
        </is>
      </c>
      <c r="C467" s="72" t="inlineStr">
        <is>
          <t>Palay</t>
        </is>
      </c>
      <c r="D467" s="72" t="inlineStr">
        <is>
          <t>Harvest</t>
        </is>
      </c>
      <c r="E467" s="72" t="inlineStr">
        <is>
          <t>Pasileng Sur</t>
        </is>
      </c>
      <c r="F467" s="84" t="n"/>
      <c r="G467" s="84" t="n"/>
      <c r="H467" s="84" t="n"/>
      <c r="I467" s="73" t="n">
        <v>6.91</v>
      </c>
      <c r="J467" s="73" t="n">
        <v>29.51</v>
      </c>
      <c r="K467" s="73" t="n">
        <v>4.27</v>
      </c>
    </row>
    <row r="468" ht="15" customHeight="1" s="101">
      <c r="A468" s="74" t="inlineStr">
        <is>
          <t>WS</t>
        </is>
      </c>
      <c r="B468" s="74" t="inlineStr">
        <is>
          <t>2017</t>
        </is>
      </c>
      <c r="C468" s="74" t="inlineStr">
        <is>
          <t>Palay</t>
        </is>
      </c>
      <c r="D468" s="74" t="inlineStr">
        <is>
          <t>Harvest</t>
        </is>
      </c>
      <c r="E468" s="74" t="inlineStr">
        <is>
          <t>Sta. Maria Norte</t>
        </is>
      </c>
      <c r="F468" s="85" t="n"/>
      <c r="G468" s="85" t="n"/>
      <c r="H468" s="85" t="n"/>
      <c r="I468" s="75" t="n">
        <v>1.35</v>
      </c>
      <c r="J468" s="75" t="n">
        <v>3.98</v>
      </c>
      <c r="K468" s="75" t="n">
        <v>2.95</v>
      </c>
    </row>
    <row r="469" ht="15" customHeight="1" s="101">
      <c r="A469" s="72" t="inlineStr">
        <is>
          <t>WS</t>
        </is>
      </c>
      <c r="B469" s="72" t="inlineStr">
        <is>
          <t>2017</t>
        </is>
      </c>
      <c r="C469" s="72" t="inlineStr">
        <is>
          <t>Palay</t>
        </is>
      </c>
      <c r="D469" s="72" t="inlineStr">
        <is>
          <t>Harvest</t>
        </is>
      </c>
      <c r="E469" s="72" t="inlineStr">
        <is>
          <t>Bugayong</t>
        </is>
      </c>
      <c r="F469" s="84" t="n"/>
      <c r="G469" s="84" t="n"/>
      <c r="H469" s="84" t="n"/>
      <c r="I469" s="73" t="n">
        <v>25.48</v>
      </c>
      <c r="J469" s="73" t="n">
        <v>203.35</v>
      </c>
      <c r="K469" s="73" t="n">
        <v>7.98</v>
      </c>
    </row>
    <row r="470" ht="15" customHeight="1" s="101">
      <c r="A470" s="74" t="inlineStr">
        <is>
          <t>WS</t>
        </is>
      </c>
      <c r="B470" s="74" t="inlineStr">
        <is>
          <t>2017</t>
        </is>
      </c>
      <c r="C470" s="74" t="inlineStr">
        <is>
          <t>Palay</t>
        </is>
      </c>
      <c r="D470" s="74" t="inlineStr">
        <is>
          <t>Harvest</t>
        </is>
      </c>
      <c r="E470" s="74" t="inlineStr">
        <is>
          <t>Santiago</t>
        </is>
      </c>
      <c r="F470" s="85" t="n"/>
      <c r="G470" s="85" t="n"/>
      <c r="H470" s="85" t="n"/>
      <c r="I470" s="75" t="n">
        <v>4</v>
      </c>
      <c r="J470" s="75" t="n">
        <v>11.11</v>
      </c>
      <c r="K470" s="75" t="n">
        <v>2.78</v>
      </c>
    </row>
    <row r="471" ht="15" customHeight="1" s="101">
      <c r="A471" s="72" t="inlineStr">
        <is>
          <t>WS</t>
        </is>
      </c>
      <c r="B471" s="72" t="inlineStr">
        <is>
          <t>2018</t>
        </is>
      </c>
      <c r="C471" s="72" t="inlineStr">
        <is>
          <t>Palay</t>
        </is>
      </c>
      <c r="D471" s="72" t="inlineStr">
        <is>
          <t>Harvest</t>
        </is>
      </c>
      <c r="E471" s="72" t="inlineStr">
        <is>
          <t>Pasileng Norte</t>
        </is>
      </c>
      <c r="F471" s="84" t="n"/>
      <c r="G471" s="84" t="n"/>
      <c r="H471" s="84" t="n"/>
      <c r="I471" s="73" t="n">
        <v>2.44</v>
      </c>
      <c r="J471" s="73" t="n">
        <v>19.52</v>
      </c>
      <c r="K471" s="73" t="n">
        <v>8</v>
      </c>
    </row>
    <row r="472" ht="15" customHeight="1" s="101">
      <c r="A472" s="74" t="inlineStr">
        <is>
          <t>WS</t>
        </is>
      </c>
      <c r="B472" s="74" t="inlineStr">
        <is>
          <t>2018</t>
        </is>
      </c>
      <c r="C472" s="74" t="inlineStr">
        <is>
          <t>Palay</t>
        </is>
      </c>
      <c r="D472" s="74" t="inlineStr">
        <is>
          <t>Harvest</t>
        </is>
      </c>
      <c r="E472" s="74" t="inlineStr">
        <is>
          <t>Tabuyoc</t>
        </is>
      </c>
      <c r="F472" s="85" t="n"/>
      <c r="G472" s="85" t="n"/>
      <c r="H472" s="85" t="n"/>
      <c r="I472" s="75" t="n">
        <v>4</v>
      </c>
      <c r="J472" s="75" t="n">
        <v>11.46</v>
      </c>
      <c r="K472" s="75" t="n">
        <v>2.86</v>
      </c>
    </row>
    <row r="473" ht="15" customHeight="1" s="101">
      <c r="A473" s="72" t="inlineStr">
        <is>
          <t>WS</t>
        </is>
      </c>
      <c r="B473" s="72" t="inlineStr">
        <is>
          <t>2018</t>
        </is>
      </c>
      <c r="C473" s="72" t="inlineStr">
        <is>
          <t>Palay</t>
        </is>
      </c>
      <c r="D473" s="72" t="inlineStr">
        <is>
          <t>Harvest</t>
        </is>
      </c>
      <c r="E473" s="72" t="inlineStr">
        <is>
          <t>Bued</t>
        </is>
      </c>
      <c r="F473" s="84" t="n"/>
      <c r="G473" s="84" t="n"/>
      <c r="H473" s="84" t="n"/>
      <c r="I473" s="73" t="n">
        <v>38.97</v>
      </c>
      <c r="J473" s="73" t="n">
        <v>182.36</v>
      </c>
      <c r="K473" s="73" t="n">
        <v>4.68</v>
      </c>
    </row>
    <row r="474" ht="15" customHeight="1" s="101">
      <c r="A474" s="74" t="inlineStr">
        <is>
          <t>WS</t>
        </is>
      </c>
      <c r="B474" s="74" t="inlineStr">
        <is>
          <t>2018</t>
        </is>
      </c>
      <c r="C474" s="74" t="inlineStr">
        <is>
          <t>Palay</t>
        </is>
      </c>
      <c r="D474" s="74" t="inlineStr">
        <is>
          <t>Harvest</t>
        </is>
      </c>
      <c r="E474" s="74" t="inlineStr">
        <is>
          <t>Dumayat</t>
        </is>
      </c>
      <c r="F474" s="85" t="n"/>
      <c r="G474" s="85" t="n"/>
      <c r="H474" s="85" t="n"/>
      <c r="I474" s="75" t="n">
        <v>20.32</v>
      </c>
      <c r="J474" s="75" t="n">
        <v>19.01</v>
      </c>
      <c r="K474" s="75" t="n">
        <v>0.9399999999999999</v>
      </c>
    </row>
    <row r="475" ht="15" customHeight="1" s="101">
      <c r="A475" s="72" t="inlineStr">
        <is>
          <t>WS</t>
        </is>
      </c>
      <c r="B475" s="72" t="inlineStr">
        <is>
          <t>2018</t>
        </is>
      </c>
      <c r="C475" s="72" t="inlineStr">
        <is>
          <t>Palay</t>
        </is>
      </c>
      <c r="D475" s="72" t="inlineStr">
        <is>
          <t>Harvest</t>
        </is>
      </c>
      <c r="E475" s="72" t="inlineStr">
        <is>
          <t>Camanggaan</t>
        </is>
      </c>
      <c r="F475" s="84" t="n"/>
      <c r="G475" s="84" t="n"/>
      <c r="H475" s="84" t="n"/>
      <c r="I475" s="73" t="n">
        <v>0.8</v>
      </c>
      <c r="J475" s="73" t="n">
        <v>3.04</v>
      </c>
      <c r="K475" s="73" t="n">
        <v>3.8</v>
      </c>
    </row>
    <row r="476" ht="15" customHeight="1" s="101">
      <c r="A476" s="74" t="inlineStr">
        <is>
          <t>WS</t>
        </is>
      </c>
      <c r="B476" s="74" t="inlineStr">
        <is>
          <t>2018</t>
        </is>
      </c>
      <c r="C476" s="74" t="inlineStr">
        <is>
          <t>Palay</t>
        </is>
      </c>
      <c r="D476" s="74" t="inlineStr">
        <is>
          <t>Harvest</t>
        </is>
      </c>
      <c r="E476" s="74" t="inlineStr">
        <is>
          <t>Vacante</t>
        </is>
      </c>
      <c r="F476" s="85" t="n"/>
      <c r="G476" s="85" t="n"/>
      <c r="H476" s="85" t="n"/>
      <c r="I476" s="75" t="n">
        <v>2.53</v>
      </c>
      <c r="J476" s="75" t="n">
        <v>5.13</v>
      </c>
      <c r="K476" s="75" t="n">
        <v>2.03</v>
      </c>
    </row>
    <row r="477" ht="15" customHeight="1" s="101">
      <c r="A477" s="72" t="inlineStr">
        <is>
          <t>WS</t>
        </is>
      </c>
      <c r="B477" s="72" t="inlineStr">
        <is>
          <t>2018</t>
        </is>
      </c>
      <c r="C477" s="72" t="inlineStr">
        <is>
          <t>Palay</t>
        </is>
      </c>
      <c r="D477" s="72" t="inlineStr">
        <is>
          <t>Harvest</t>
        </is>
      </c>
      <c r="E477" s="72" t="inlineStr">
        <is>
          <t>Sta. Catalina</t>
        </is>
      </c>
      <c r="F477" s="84" t="n"/>
      <c r="G477" s="84" t="n"/>
      <c r="H477" s="84" t="n"/>
      <c r="I477" s="73" t="n">
        <v>11.49</v>
      </c>
      <c r="J477" s="73" t="n">
        <v>26.73</v>
      </c>
      <c r="K477" s="73" t="n">
        <v>2.33</v>
      </c>
    </row>
    <row r="478" ht="15" customHeight="1" s="101">
      <c r="A478" s="74" t="inlineStr">
        <is>
          <t>WS</t>
        </is>
      </c>
      <c r="B478" s="74" t="inlineStr">
        <is>
          <t>2018</t>
        </is>
      </c>
      <c r="C478" s="74" t="inlineStr">
        <is>
          <t>Palay</t>
        </is>
      </c>
      <c r="D478" s="74" t="inlineStr">
        <is>
          <t>Harvest</t>
        </is>
      </c>
      <c r="E478" s="74" t="inlineStr">
        <is>
          <t>Moreno</t>
        </is>
      </c>
      <c r="F478" s="85" t="n"/>
      <c r="G478" s="85" t="n"/>
      <c r="H478" s="85" t="n"/>
      <c r="I478" s="75" t="n">
        <v>21.11</v>
      </c>
      <c r="J478" s="75" t="n">
        <v>99.84999999999999</v>
      </c>
      <c r="K478" s="75" t="n">
        <v>4.73</v>
      </c>
    </row>
    <row r="479" ht="15" customHeight="1" s="101">
      <c r="A479" s="72" t="inlineStr">
        <is>
          <t>WS</t>
        </is>
      </c>
      <c r="B479" s="72" t="inlineStr">
        <is>
          <t>2018</t>
        </is>
      </c>
      <c r="C479" s="72" t="inlineStr">
        <is>
          <t>Palay</t>
        </is>
      </c>
      <c r="D479" s="72" t="inlineStr">
        <is>
          <t>Harvest</t>
        </is>
      </c>
      <c r="E479" s="72" t="inlineStr">
        <is>
          <t>Cili</t>
        </is>
      </c>
      <c r="F479" s="84" t="n"/>
      <c r="G479" s="84" t="n"/>
      <c r="H479" s="84" t="n"/>
      <c r="I479" s="73" t="n">
        <v>21.32</v>
      </c>
      <c r="J479" s="73" t="n">
        <v>19.08</v>
      </c>
      <c r="K479" s="73" t="n">
        <v>0.89</v>
      </c>
    </row>
    <row r="480" ht="15" customHeight="1" s="101">
      <c r="A480" s="74" t="inlineStr">
        <is>
          <t>WS</t>
        </is>
      </c>
      <c r="B480" s="74" t="inlineStr">
        <is>
          <t>2018</t>
        </is>
      </c>
      <c r="C480" s="74" t="inlineStr">
        <is>
          <t>Palay</t>
        </is>
      </c>
      <c r="D480" s="74" t="inlineStr">
        <is>
          <t>Harvest</t>
        </is>
      </c>
      <c r="E480" s="74" t="inlineStr">
        <is>
          <t>Linmansangan</t>
        </is>
      </c>
      <c r="F480" s="85" t="n"/>
      <c r="G480" s="85" t="n"/>
      <c r="H480" s="85" t="n"/>
      <c r="I480" s="75" t="n">
        <v>45.98</v>
      </c>
      <c r="J480" s="75" t="n">
        <v>5.25</v>
      </c>
      <c r="K480" s="75" t="n">
        <v>0.11</v>
      </c>
    </row>
    <row r="481" ht="15" customHeight="1" s="101">
      <c r="A481" s="72" t="inlineStr">
        <is>
          <t>WS</t>
        </is>
      </c>
      <c r="B481" s="72" t="inlineStr">
        <is>
          <t>2018</t>
        </is>
      </c>
      <c r="C481" s="72" t="inlineStr">
        <is>
          <t>Palay</t>
        </is>
      </c>
      <c r="D481" s="72" t="inlineStr">
        <is>
          <t>Harvest</t>
        </is>
      </c>
      <c r="E481" s="72" t="inlineStr">
        <is>
          <t>Sumabnit</t>
        </is>
      </c>
      <c r="F481" s="84" t="n"/>
      <c r="G481" s="84" t="n"/>
      <c r="H481" s="84" t="n"/>
      <c r="I481" s="73" t="n">
        <v>2.91</v>
      </c>
      <c r="J481" s="73" t="n">
        <v>5.99</v>
      </c>
      <c r="K481" s="73" t="n">
        <v>2.06</v>
      </c>
    </row>
    <row r="482" ht="15" customHeight="1" s="101">
      <c r="A482" s="74" t="inlineStr">
        <is>
          <t>WS</t>
        </is>
      </c>
      <c r="B482" s="74" t="inlineStr">
        <is>
          <t>2018</t>
        </is>
      </c>
      <c r="C482" s="74" t="inlineStr">
        <is>
          <t>Palay</t>
        </is>
      </c>
      <c r="D482" s="74" t="inlineStr">
        <is>
          <t>Harvest</t>
        </is>
      </c>
      <c r="E482" s="74" t="inlineStr">
        <is>
          <t>Capas</t>
        </is>
      </c>
      <c r="F482" s="85" t="n"/>
      <c r="G482" s="85" t="n"/>
      <c r="H482" s="85" t="n"/>
      <c r="I482" s="75" t="n">
        <v>4.82</v>
      </c>
      <c r="J482" s="75" t="n">
        <v>26.21</v>
      </c>
      <c r="K482" s="75" t="n">
        <v>5.44</v>
      </c>
    </row>
    <row r="483" ht="15" customHeight="1" s="101">
      <c r="A483" s="72" t="inlineStr">
        <is>
          <t>WS</t>
        </is>
      </c>
      <c r="B483" s="72" t="inlineStr">
        <is>
          <t>2018</t>
        </is>
      </c>
      <c r="C483" s="72" t="inlineStr">
        <is>
          <t>Palay</t>
        </is>
      </c>
      <c r="D483" s="72" t="inlineStr">
        <is>
          <t>Harvest</t>
        </is>
      </c>
      <c r="E483" s="72" t="inlineStr">
        <is>
          <t>Mangkasuy</t>
        </is>
      </c>
      <c r="F483" s="84" t="n"/>
      <c r="G483" s="84" t="n"/>
      <c r="H483" s="84" t="n"/>
      <c r="I483" s="73" t="n">
        <v>1.25</v>
      </c>
      <c r="J483" s="73" t="n">
        <v>5.31</v>
      </c>
      <c r="K483" s="73" t="n">
        <v>4.25</v>
      </c>
    </row>
    <row r="484" ht="15" customHeight="1" s="101">
      <c r="A484" s="74" t="inlineStr">
        <is>
          <t>WS</t>
        </is>
      </c>
      <c r="B484" s="74" t="inlineStr">
        <is>
          <t>2018</t>
        </is>
      </c>
      <c r="C484" s="74" t="inlineStr">
        <is>
          <t>Palay</t>
        </is>
      </c>
      <c r="D484" s="74" t="inlineStr">
        <is>
          <t>Harvest</t>
        </is>
      </c>
      <c r="E484" s="74" t="inlineStr">
        <is>
          <t>San Pablo</t>
        </is>
      </c>
      <c r="F484" s="85" t="n"/>
      <c r="G484" s="85" t="n"/>
      <c r="H484" s="85" t="n"/>
      <c r="I484" s="75" t="n">
        <v>1.5</v>
      </c>
      <c r="J484" s="75" t="n">
        <v>7.21</v>
      </c>
      <c r="K484" s="75" t="n">
        <v>4.81</v>
      </c>
    </row>
    <row r="485" ht="15" customHeight="1" s="101">
      <c r="A485" s="72" t="inlineStr">
        <is>
          <t>WS</t>
        </is>
      </c>
      <c r="B485" s="72" t="inlineStr">
        <is>
          <t>2018</t>
        </is>
      </c>
      <c r="C485" s="72" t="inlineStr">
        <is>
          <t>Palay</t>
        </is>
      </c>
      <c r="D485" s="72" t="inlineStr">
        <is>
          <t>Harvest</t>
        </is>
      </c>
      <c r="E485" s="72" t="inlineStr">
        <is>
          <t>Balangobong</t>
        </is>
      </c>
      <c r="F485" s="84" t="n"/>
      <c r="G485" s="84" t="n"/>
      <c r="H485" s="84" t="n"/>
      <c r="I485" s="73" t="n">
        <v>47.33</v>
      </c>
      <c r="J485" s="73" t="n">
        <v>180.84</v>
      </c>
      <c r="K485" s="73" t="n">
        <v>3.82</v>
      </c>
    </row>
    <row r="486" ht="15" customHeight="1" s="101">
      <c r="A486" s="74" t="inlineStr">
        <is>
          <t>WS</t>
        </is>
      </c>
      <c r="B486" s="74" t="inlineStr">
        <is>
          <t>2018</t>
        </is>
      </c>
      <c r="C486" s="74" t="inlineStr">
        <is>
          <t>Palay</t>
        </is>
      </c>
      <c r="D486" s="74" t="inlineStr">
        <is>
          <t>Harvest</t>
        </is>
      </c>
      <c r="E486" s="74" t="inlineStr">
        <is>
          <t>San Felipe Central</t>
        </is>
      </c>
      <c r="F486" s="85" t="n"/>
      <c r="G486" s="85" t="n"/>
      <c r="H486" s="85" t="n"/>
      <c r="I486" s="75" t="n">
        <v>4.11</v>
      </c>
      <c r="J486" s="75" t="n">
        <v>16.04</v>
      </c>
      <c r="K486" s="75" t="n">
        <v>3.9</v>
      </c>
    </row>
    <row r="487" ht="15" customHeight="1" s="101">
      <c r="A487" s="72" t="inlineStr">
        <is>
          <t>WS</t>
        </is>
      </c>
      <c r="B487" s="72" t="inlineStr">
        <is>
          <t>2018</t>
        </is>
      </c>
      <c r="C487" s="72" t="inlineStr">
        <is>
          <t>Palay</t>
        </is>
      </c>
      <c r="D487" s="72" t="inlineStr">
        <is>
          <t>Harvest</t>
        </is>
      </c>
      <c r="E487" s="72" t="inlineStr">
        <is>
          <t>San Felipe Sur</t>
        </is>
      </c>
      <c r="F487" s="84" t="n"/>
      <c r="G487" s="84" t="n"/>
      <c r="H487" s="84" t="n"/>
      <c r="I487" s="73" t="n">
        <v>0.75</v>
      </c>
      <c r="J487" s="73" t="n">
        <v>3</v>
      </c>
      <c r="K487" s="73" t="n">
        <v>4</v>
      </c>
    </row>
    <row r="488" ht="15" customHeight="1" s="101">
      <c r="A488" s="74" t="inlineStr">
        <is>
          <t>WS</t>
        </is>
      </c>
      <c r="B488" s="74" t="inlineStr">
        <is>
          <t>2018</t>
        </is>
      </c>
      <c r="C488" s="74" t="inlineStr">
        <is>
          <t>Palay</t>
        </is>
      </c>
      <c r="D488" s="74" t="inlineStr">
        <is>
          <t>Harvest</t>
        </is>
      </c>
      <c r="E488" s="74" t="inlineStr">
        <is>
          <t>Pasileng Sur</t>
        </is>
      </c>
      <c r="F488" s="85" t="n"/>
      <c r="G488" s="85" t="n"/>
      <c r="H488" s="85" t="n"/>
      <c r="I488" s="75" t="n">
        <v>4.48</v>
      </c>
      <c r="J488" s="75" t="n">
        <v>23.41</v>
      </c>
      <c r="K488" s="75" t="n">
        <v>5.23</v>
      </c>
    </row>
    <row r="489" ht="15" customHeight="1" s="101">
      <c r="A489" s="72" t="inlineStr">
        <is>
          <t>WS</t>
        </is>
      </c>
      <c r="B489" s="72" t="inlineStr">
        <is>
          <t>2018</t>
        </is>
      </c>
      <c r="C489" s="72" t="inlineStr">
        <is>
          <t>Palay</t>
        </is>
      </c>
      <c r="D489" s="72" t="inlineStr">
        <is>
          <t>Harvest</t>
        </is>
      </c>
      <c r="E489" s="72" t="inlineStr">
        <is>
          <t>Sta. Maria Norte</t>
        </is>
      </c>
      <c r="F489" s="84" t="n"/>
      <c r="G489" s="84" t="n"/>
      <c r="H489" s="84" t="n"/>
      <c r="I489" s="73" t="n">
        <v>0.5</v>
      </c>
      <c r="J489" s="73" t="n">
        <v>1.75</v>
      </c>
      <c r="K489" s="73" t="n">
        <v>3.5</v>
      </c>
    </row>
    <row r="490" ht="15" customHeight="1" s="101">
      <c r="A490" s="74" t="inlineStr">
        <is>
          <t>WS</t>
        </is>
      </c>
      <c r="B490" s="74" t="inlineStr">
        <is>
          <t>2018</t>
        </is>
      </c>
      <c r="C490" s="74" t="inlineStr">
        <is>
          <t>Palay</t>
        </is>
      </c>
      <c r="D490" s="74" t="inlineStr">
        <is>
          <t>Harvest</t>
        </is>
      </c>
      <c r="E490" s="74" t="inlineStr">
        <is>
          <t>Bugayong</t>
        </is>
      </c>
      <c r="F490" s="85" t="n"/>
      <c r="G490" s="85" t="n"/>
      <c r="H490" s="85" t="n"/>
      <c r="I490" s="75" t="n">
        <v>26.39</v>
      </c>
      <c r="J490" s="75" t="n">
        <v>211.12</v>
      </c>
      <c r="K490" s="75" t="n">
        <v>8</v>
      </c>
    </row>
    <row r="491" ht="15" customHeight="1" s="101">
      <c r="A491" s="72" t="inlineStr">
        <is>
          <t>WS</t>
        </is>
      </c>
      <c r="B491" s="72" t="inlineStr">
        <is>
          <t>2018</t>
        </is>
      </c>
      <c r="C491" s="72" t="inlineStr">
        <is>
          <t>Palay</t>
        </is>
      </c>
      <c r="D491" s="72" t="inlineStr">
        <is>
          <t>Harvest</t>
        </is>
      </c>
      <c r="E491" s="72" t="inlineStr">
        <is>
          <t>Santiago</t>
        </is>
      </c>
      <c r="F491" s="84" t="n"/>
      <c r="G491" s="84" t="n"/>
      <c r="H491" s="84" t="n"/>
      <c r="I491" s="73" t="n">
        <v>4</v>
      </c>
      <c r="J491" s="73" t="n">
        <v>13.5</v>
      </c>
      <c r="K491" s="73" t="n">
        <v>3.38</v>
      </c>
    </row>
    <row r="492" ht="15" customHeight="1" s="101">
      <c r="A492" s="74" t="inlineStr">
        <is>
          <t>WS</t>
        </is>
      </c>
      <c r="B492" s="74" t="inlineStr">
        <is>
          <t>2019</t>
        </is>
      </c>
      <c r="C492" s="74" t="inlineStr">
        <is>
          <t>Palay</t>
        </is>
      </c>
      <c r="D492" s="74" t="inlineStr">
        <is>
          <t>Harvest</t>
        </is>
      </c>
      <c r="E492" s="74" t="inlineStr">
        <is>
          <t>Pasileng Norte</t>
        </is>
      </c>
      <c r="F492" s="85" t="n"/>
      <c r="G492" s="85" t="n"/>
      <c r="H492" s="85" t="n"/>
      <c r="I492" s="75" t="n">
        <v>3.19</v>
      </c>
      <c r="J492" s="75" t="n">
        <v>25.52</v>
      </c>
      <c r="K492" s="75" t="n">
        <v>8</v>
      </c>
    </row>
    <row r="493" ht="15" customHeight="1" s="101">
      <c r="A493" s="72" t="inlineStr">
        <is>
          <t>WS</t>
        </is>
      </c>
      <c r="B493" s="72" t="inlineStr">
        <is>
          <t>2019</t>
        </is>
      </c>
      <c r="C493" s="72" t="inlineStr">
        <is>
          <t>Palay</t>
        </is>
      </c>
      <c r="D493" s="72" t="inlineStr">
        <is>
          <t>Harvest</t>
        </is>
      </c>
      <c r="E493" s="72" t="inlineStr">
        <is>
          <t>Tabuyoc</t>
        </is>
      </c>
      <c r="F493" s="84" t="n"/>
      <c r="G493" s="84" t="n"/>
      <c r="H493" s="84" t="n"/>
      <c r="I493" s="73" t="n">
        <v>4</v>
      </c>
      <c r="J493" s="73" t="n">
        <v>10.55</v>
      </c>
      <c r="K493" s="73" t="n">
        <v>2.64</v>
      </c>
    </row>
    <row r="494" ht="15" customHeight="1" s="101">
      <c r="A494" s="74" t="inlineStr">
        <is>
          <t>WS</t>
        </is>
      </c>
      <c r="B494" s="74" t="inlineStr">
        <is>
          <t>2019</t>
        </is>
      </c>
      <c r="C494" s="74" t="inlineStr">
        <is>
          <t>Palay</t>
        </is>
      </c>
      <c r="D494" s="74" t="inlineStr">
        <is>
          <t>Harvest</t>
        </is>
      </c>
      <c r="E494" s="74" t="inlineStr">
        <is>
          <t>Bued</t>
        </is>
      </c>
      <c r="F494" s="85" t="n"/>
      <c r="G494" s="85" t="n"/>
      <c r="H494" s="85" t="n"/>
      <c r="I494" s="75" t="n">
        <v>46.57</v>
      </c>
      <c r="J494" s="75" t="n">
        <v>172.96</v>
      </c>
      <c r="K494" s="75" t="n">
        <v>3.71</v>
      </c>
    </row>
    <row r="495" ht="15" customHeight="1" s="101">
      <c r="A495" s="72" t="inlineStr">
        <is>
          <t>WS</t>
        </is>
      </c>
      <c r="B495" s="72" t="inlineStr">
        <is>
          <t>2019</t>
        </is>
      </c>
      <c r="C495" s="72" t="inlineStr">
        <is>
          <t>Palay</t>
        </is>
      </c>
      <c r="D495" s="72" t="inlineStr">
        <is>
          <t>Harvest</t>
        </is>
      </c>
      <c r="E495" s="72" t="inlineStr">
        <is>
          <t>Dumayat</t>
        </is>
      </c>
      <c r="F495" s="84" t="n"/>
      <c r="G495" s="84" t="n"/>
      <c r="H495" s="84" t="n"/>
      <c r="I495" s="73" t="n">
        <v>18.8</v>
      </c>
      <c r="J495" s="73" t="n">
        <v>13.5</v>
      </c>
      <c r="K495" s="73" t="n">
        <v>0.72</v>
      </c>
    </row>
    <row r="496" ht="15" customHeight="1" s="101">
      <c r="A496" s="74" t="inlineStr">
        <is>
          <t>WS</t>
        </is>
      </c>
      <c r="B496" s="74" t="inlineStr">
        <is>
          <t>2019</t>
        </is>
      </c>
      <c r="C496" s="74" t="inlineStr">
        <is>
          <t>Palay</t>
        </is>
      </c>
      <c r="D496" s="74" t="inlineStr">
        <is>
          <t>Harvest</t>
        </is>
      </c>
      <c r="E496" s="74" t="inlineStr">
        <is>
          <t>Camanggaan</t>
        </is>
      </c>
      <c r="F496" s="85" t="n"/>
      <c r="G496" s="85" t="n"/>
      <c r="H496" s="85" t="n"/>
      <c r="I496" s="75" t="n">
        <v>3.02</v>
      </c>
      <c r="J496" s="75" t="n">
        <v>17.18</v>
      </c>
      <c r="K496" s="75" t="n">
        <v>5.69</v>
      </c>
    </row>
    <row r="497" ht="15" customHeight="1" s="101">
      <c r="A497" s="72" t="inlineStr">
        <is>
          <t>WS</t>
        </is>
      </c>
      <c r="B497" s="72" t="inlineStr">
        <is>
          <t>2019</t>
        </is>
      </c>
      <c r="C497" s="72" t="inlineStr">
        <is>
          <t>Palay</t>
        </is>
      </c>
      <c r="D497" s="72" t="inlineStr">
        <is>
          <t>Harvest</t>
        </is>
      </c>
      <c r="E497" s="72" t="inlineStr">
        <is>
          <t>Vacante</t>
        </is>
      </c>
      <c r="F497" s="84" t="n"/>
      <c r="G497" s="84" t="n"/>
      <c r="H497" s="84" t="n"/>
      <c r="I497" s="73" t="n">
        <v>2.27</v>
      </c>
      <c r="J497" s="73" t="n">
        <v>9.25</v>
      </c>
      <c r="K497" s="73" t="n">
        <v>4.07</v>
      </c>
    </row>
    <row r="498" ht="15" customHeight="1" s="101">
      <c r="A498" s="74" t="inlineStr">
        <is>
          <t>WS</t>
        </is>
      </c>
      <c r="B498" s="74" t="inlineStr">
        <is>
          <t>2019</t>
        </is>
      </c>
      <c r="C498" s="74" t="inlineStr">
        <is>
          <t>Palay</t>
        </is>
      </c>
      <c r="D498" s="74" t="inlineStr">
        <is>
          <t>Harvest</t>
        </is>
      </c>
      <c r="E498" s="74" t="inlineStr">
        <is>
          <t>Sta. Catalina</t>
        </is>
      </c>
      <c r="F498" s="85" t="n"/>
      <c r="G498" s="85" t="n"/>
      <c r="H498" s="85" t="n"/>
      <c r="I498" s="75" t="n">
        <v>7.88</v>
      </c>
      <c r="J498" s="75" t="n">
        <v>63.04</v>
      </c>
      <c r="K498" s="75" t="n">
        <v>8</v>
      </c>
    </row>
    <row r="499" ht="15" customHeight="1" s="101">
      <c r="A499" s="72" t="inlineStr">
        <is>
          <t>WS</t>
        </is>
      </c>
      <c r="B499" s="72" t="inlineStr">
        <is>
          <t>2019</t>
        </is>
      </c>
      <c r="C499" s="72" t="inlineStr">
        <is>
          <t>Palay</t>
        </is>
      </c>
      <c r="D499" s="72" t="inlineStr">
        <is>
          <t>Harvest</t>
        </is>
      </c>
      <c r="E499" s="72" t="inlineStr">
        <is>
          <t>Moreno</t>
        </is>
      </c>
      <c r="F499" s="84" t="n"/>
      <c r="G499" s="84" t="n"/>
      <c r="H499" s="84" t="n"/>
      <c r="I499" s="73" t="n">
        <v>27.65</v>
      </c>
      <c r="J499" s="73" t="n">
        <v>116.86</v>
      </c>
      <c r="K499" s="73" t="n">
        <v>4.23</v>
      </c>
    </row>
    <row r="500" ht="15" customHeight="1" s="101">
      <c r="A500" s="74" t="inlineStr">
        <is>
          <t>WS</t>
        </is>
      </c>
      <c r="B500" s="74" t="inlineStr">
        <is>
          <t>2019</t>
        </is>
      </c>
      <c r="C500" s="74" t="inlineStr">
        <is>
          <t>Palay</t>
        </is>
      </c>
      <c r="D500" s="74" t="inlineStr">
        <is>
          <t>Harvest</t>
        </is>
      </c>
      <c r="E500" s="74" t="inlineStr">
        <is>
          <t>Cili</t>
        </is>
      </c>
      <c r="F500" s="85" t="n"/>
      <c r="G500" s="85" t="n"/>
      <c r="H500" s="85" t="n"/>
      <c r="I500" s="75" t="n">
        <v>33.1</v>
      </c>
      <c r="J500" s="75" t="n">
        <v>13.5</v>
      </c>
      <c r="K500" s="75" t="n">
        <v>0.41</v>
      </c>
    </row>
    <row r="501" ht="15" customHeight="1" s="101">
      <c r="A501" s="72" t="inlineStr">
        <is>
          <t>WS</t>
        </is>
      </c>
      <c r="B501" s="72" t="inlineStr">
        <is>
          <t>2019</t>
        </is>
      </c>
      <c r="C501" s="72" t="inlineStr">
        <is>
          <t>Palay</t>
        </is>
      </c>
      <c r="D501" s="72" t="inlineStr">
        <is>
          <t>Harvest</t>
        </is>
      </c>
      <c r="E501" s="72" t="inlineStr">
        <is>
          <t>Linmansangan</t>
        </is>
      </c>
      <c r="F501" s="84" t="n"/>
      <c r="G501" s="84" t="n"/>
      <c r="H501" s="84" t="n"/>
      <c r="I501" s="73" t="n">
        <v>67.18000000000001</v>
      </c>
      <c r="J501" s="73" t="n">
        <v>97.11</v>
      </c>
      <c r="K501" s="73" t="n">
        <v>1.45</v>
      </c>
    </row>
    <row r="502" ht="15" customHeight="1" s="101">
      <c r="A502" s="74" t="inlineStr">
        <is>
          <t>WS</t>
        </is>
      </c>
      <c r="B502" s="74" t="inlineStr">
        <is>
          <t>2019</t>
        </is>
      </c>
      <c r="C502" s="74" t="inlineStr">
        <is>
          <t>Palay</t>
        </is>
      </c>
      <c r="D502" s="74" t="inlineStr">
        <is>
          <t>Harvest</t>
        </is>
      </c>
      <c r="E502" s="74" t="inlineStr">
        <is>
          <t>Sumabnit</t>
        </is>
      </c>
      <c r="F502" s="85" t="n"/>
      <c r="G502" s="85" t="n"/>
      <c r="H502" s="85" t="n"/>
      <c r="I502" s="75" t="n">
        <v>0.4</v>
      </c>
      <c r="J502" s="75" t="n">
        <v>2.02</v>
      </c>
      <c r="K502" s="75" t="n">
        <v>5.05</v>
      </c>
    </row>
    <row r="503" ht="15" customHeight="1" s="101">
      <c r="A503" s="72" t="inlineStr">
        <is>
          <t>WS</t>
        </is>
      </c>
      <c r="B503" s="72" t="inlineStr">
        <is>
          <t>2019</t>
        </is>
      </c>
      <c r="C503" s="72" t="inlineStr">
        <is>
          <t>Palay</t>
        </is>
      </c>
      <c r="D503" s="72" t="inlineStr">
        <is>
          <t>Harvest</t>
        </is>
      </c>
      <c r="E503" s="72" t="inlineStr">
        <is>
          <t>Capas</t>
        </is>
      </c>
      <c r="F503" s="84" t="n"/>
      <c r="G503" s="84" t="n"/>
      <c r="H503" s="84" t="n"/>
      <c r="I503" s="73" t="n">
        <v>3.49</v>
      </c>
      <c r="J503" s="73" t="n">
        <v>27.92</v>
      </c>
      <c r="K503" s="73" t="n">
        <v>8</v>
      </c>
    </row>
    <row r="504" ht="15" customHeight="1" s="101">
      <c r="A504" s="74" t="inlineStr">
        <is>
          <t>WS</t>
        </is>
      </c>
      <c r="B504" s="74" t="inlineStr">
        <is>
          <t>2019</t>
        </is>
      </c>
      <c r="C504" s="74" t="inlineStr">
        <is>
          <t>Palay</t>
        </is>
      </c>
      <c r="D504" s="74" t="inlineStr">
        <is>
          <t>Harvest</t>
        </is>
      </c>
      <c r="E504" s="74" t="inlineStr">
        <is>
          <t>Mangkasuy</t>
        </is>
      </c>
      <c r="F504" s="85" t="n"/>
      <c r="G504" s="85" t="n"/>
      <c r="H504" s="85" t="n"/>
      <c r="I504" s="75" t="n">
        <v>13.55</v>
      </c>
      <c r="J504" s="75" t="n">
        <v>23.42</v>
      </c>
      <c r="K504" s="75" t="n">
        <v>1.73</v>
      </c>
    </row>
    <row r="505" ht="15" customHeight="1" s="101">
      <c r="A505" s="72" t="inlineStr">
        <is>
          <t>WS</t>
        </is>
      </c>
      <c r="B505" s="72" t="inlineStr">
        <is>
          <t>2019</t>
        </is>
      </c>
      <c r="C505" s="72" t="inlineStr">
        <is>
          <t>Palay</t>
        </is>
      </c>
      <c r="D505" s="72" t="inlineStr">
        <is>
          <t>Harvest</t>
        </is>
      </c>
      <c r="E505" s="72" t="inlineStr">
        <is>
          <t>San Pablo</t>
        </is>
      </c>
      <c r="F505" s="84" t="n"/>
      <c r="G505" s="84" t="n"/>
      <c r="H505" s="84" t="n"/>
      <c r="I505" s="73" t="n">
        <v>1.43</v>
      </c>
      <c r="J505" s="73" t="n">
        <v>9</v>
      </c>
      <c r="K505" s="73" t="n">
        <v>6.29</v>
      </c>
    </row>
    <row r="506" ht="15" customHeight="1" s="101">
      <c r="A506" s="74" t="inlineStr">
        <is>
          <t>WS</t>
        </is>
      </c>
      <c r="B506" s="74" t="inlineStr">
        <is>
          <t>2019</t>
        </is>
      </c>
      <c r="C506" s="74" t="inlineStr">
        <is>
          <t>Palay</t>
        </is>
      </c>
      <c r="D506" s="74" t="inlineStr">
        <is>
          <t>Harvest</t>
        </is>
      </c>
      <c r="E506" s="74" t="inlineStr">
        <is>
          <t>Balangobong</t>
        </is>
      </c>
      <c r="F506" s="85" t="n"/>
      <c r="G506" s="85" t="n"/>
      <c r="H506" s="85" t="n"/>
      <c r="I506" s="75" t="n">
        <v>4.88</v>
      </c>
      <c r="J506" s="75" t="n">
        <v>23.65</v>
      </c>
      <c r="K506" s="75" t="n">
        <v>4.84</v>
      </c>
    </row>
    <row r="507" ht="15" customHeight="1" s="101">
      <c r="A507" s="72" t="inlineStr">
        <is>
          <t>WS</t>
        </is>
      </c>
      <c r="B507" s="72" t="inlineStr">
        <is>
          <t>2019</t>
        </is>
      </c>
      <c r="C507" s="72" t="inlineStr">
        <is>
          <t>Palay</t>
        </is>
      </c>
      <c r="D507" s="72" t="inlineStr">
        <is>
          <t>Harvest</t>
        </is>
      </c>
      <c r="E507" s="72" t="inlineStr">
        <is>
          <t>San Felipe Central</t>
        </is>
      </c>
      <c r="F507" s="84" t="n"/>
      <c r="G507" s="84" t="n"/>
      <c r="H507" s="84" t="n"/>
      <c r="I507" s="73" t="n">
        <v>4.7</v>
      </c>
      <c r="J507" s="73" t="n">
        <v>13.72</v>
      </c>
      <c r="K507" s="73" t="n">
        <v>2.92</v>
      </c>
    </row>
    <row r="508" ht="15" customHeight="1" s="101">
      <c r="A508" s="74" t="inlineStr">
        <is>
          <t>WS</t>
        </is>
      </c>
      <c r="B508" s="74" t="inlineStr">
        <is>
          <t>2019</t>
        </is>
      </c>
      <c r="C508" s="74" t="inlineStr">
        <is>
          <t>Palay</t>
        </is>
      </c>
      <c r="D508" s="74" t="inlineStr">
        <is>
          <t>Harvest</t>
        </is>
      </c>
      <c r="E508" s="74" t="inlineStr">
        <is>
          <t>San Felipe Sur</t>
        </is>
      </c>
      <c r="F508" s="85" t="n"/>
      <c r="G508" s="85" t="n"/>
      <c r="H508" s="85" t="n"/>
      <c r="I508" s="75" t="n">
        <v>5.69</v>
      </c>
      <c r="J508" s="75" t="n">
        <v>13.06</v>
      </c>
      <c r="K508" s="75" t="n">
        <v>2.3</v>
      </c>
    </row>
    <row r="509" ht="15" customHeight="1" s="101">
      <c r="A509" s="72" t="inlineStr">
        <is>
          <t>WS</t>
        </is>
      </c>
      <c r="B509" s="72" t="inlineStr">
        <is>
          <t>2019</t>
        </is>
      </c>
      <c r="C509" s="72" t="inlineStr">
        <is>
          <t>Palay</t>
        </is>
      </c>
      <c r="D509" s="72" t="inlineStr">
        <is>
          <t>Harvest</t>
        </is>
      </c>
      <c r="E509" s="72" t="inlineStr">
        <is>
          <t>Pasileng Sur</t>
        </is>
      </c>
      <c r="F509" s="84" t="n"/>
      <c r="G509" s="84" t="n"/>
      <c r="H509" s="84" t="n"/>
      <c r="I509" s="73" t="n">
        <v>4.76</v>
      </c>
      <c r="J509" s="73" t="n">
        <v>17.81</v>
      </c>
      <c r="K509" s="73" t="n">
        <v>3.74</v>
      </c>
    </row>
    <row r="510" ht="15" customHeight="1" s="101">
      <c r="A510" s="74" t="inlineStr">
        <is>
          <t>WS</t>
        </is>
      </c>
      <c r="B510" s="74" t="inlineStr">
        <is>
          <t>2019</t>
        </is>
      </c>
      <c r="C510" s="74" t="inlineStr">
        <is>
          <t>Palay</t>
        </is>
      </c>
      <c r="D510" s="74" t="inlineStr">
        <is>
          <t>Harvest</t>
        </is>
      </c>
      <c r="E510" s="74" t="inlineStr">
        <is>
          <t>Sta. Maria Norte</t>
        </is>
      </c>
      <c r="F510" s="85" t="n"/>
      <c r="G510" s="85" t="n"/>
      <c r="H510" s="85" t="n"/>
      <c r="I510" s="75" t="n">
        <v>2.36</v>
      </c>
      <c r="J510" s="75" t="n">
        <v>3.25</v>
      </c>
      <c r="K510" s="75" t="n">
        <v>1.38</v>
      </c>
    </row>
    <row r="511" ht="15" customHeight="1" s="101">
      <c r="A511" s="72" t="inlineStr">
        <is>
          <t>WS</t>
        </is>
      </c>
      <c r="B511" s="72" t="inlineStr">
        <is>
          <t>2019</t>
        </is>
      </c>
      <c r="C511" s="72" t="inlineStr">
        <is>
          <t>Palay</t>
        </is>
      </c>
      <c r="D511" s="72" t="inlineStr">
        <is>
          <t>Harvest</t>
        </is>
      </c>
      <c r="E511" s="72" t="inlineStr">
        <is>
          <t>Bugayong</t>
        </is>
      </c>
      <c r="F511" s="84" t="n"/>
      <c r="G511" s="84" t="n"/>
      <c r="H511" s="84" t="n"/>
      <c r="I511" s="73" t="n">
        <v>44.48</v>
      </c>
      <c r="J511" s="73" t="n">
        <v>306.15</v>
      </c>
      <c r="K511" s="73" t="n">
        <v>6.88</v>
      </c>
    </row>
    <row r="512" ht="15" customHeight="1" s="101">
      <c r="A512" s="74" t="inlineStr">
        <is>
          <t>WS</t>
        </is>
      </c>
      <c r="B512" s="74" t="inlineStr">
        <is>
          <t>2019</t>
        </is>
      </c>
      <c r="C512" s="74" t="inlineStr">
        <is>
          <t>Palay</t>
        </is>
      </c>
      <c r="D512" s="74" t="inlineStr">
        <is>
          <t>Harvest</t>
        </is>
      </c>
      <c r="E512" s="74" t="inlineStr">
        <is>
          <t>Santiago</t>
        </is>
      </c>
      <c r="F512" s="85" t="n"/>
      <c r="G512" s="85" t="n"/>
      <c r="H512" s="85" t="n"/>
      <c r="I512" s="75" t="n">
        <v>4</v>
      </c>
      <c r="J512" s="75" t="n">
        <v>11.7</v>
      </c>
      <c r="K512" s="75" t="n">
        <v>2.92</v>
      </c>
    </row>
    <row r="513" ht="15" customHeight="1" s="101">
      <c r="A513" s="72" t="inlineStr">
        <is>
          <t>WS</t>
        </is>
      </c>
      <c r="B513" s="72" t="inlineStr">
        <is>
          <t>2020</t>
        </is>
      </c>
      <c r="C513" s="72" t="inlineStr">
        <is>
          <t>Palay</t>
        </is>
      </c>
      <c r="D513" s="72" t="inlineStr">
        <is>
          <t>Harvest</t>
        </is>
      </c>
      <c r="E513" s="72" t="inlineStr">
        <is>
          <t>Pasileng Norte</t>
        </is>
      </c>
      <c r="F513" s="84" t="n"/>
      <c r="G513" s="84" t="n"/>
      <c r="H513" s="84" t="n"/>
      <c r="I513" s="73" t="n">
        <v>4.5</v>
      </c>
      <c r="J513" s="73" t="n">
        <v>24.75</v>
      </c>
      <c r="K513" s="73" t="n">
        <v>5.5</v>
      </c>
    </row>
    <row r="514" ht="15" customHeight="1" s="101">
      <c r="A514" s="74" t="inlineStr">
        <is>
          <t>WS</t>
        </is>
      </c>
      <c r="B514" s="74" t="inlineStr">
        <is>
          <t>2020</t>
        </is>
      </c>
      <c r="C514" s="74" t="inlineStr">
        <is>
          <t>Palay</t>
        </is>
      </c>
      <c r="D514" s="74" t="inlineStr">
        <is>
          <t>Harvest</t>
        </is>
      </c>
      <c r="E514" s="74" t="inlineStr">
        <is>
          <t>Tabuyoc</t>
        </is>
      </c>
      <c r="F514" s="85" t="n"/>
      <c r="G514" s="85" t="n"/>
      <c r="H514" s="85" t="n"/>
      <c r="I514" s="75" t="n">
        <v>4</v>
      </c>
      <c r="J514" s="75" t="n">
        <v>21.36</v>
      </c>
      <c r="K514" s="75" t="n">
        <v>5.34</v>
      </c>
    </row>
    <row r="515" ht="15" customHeight="1" s="101">
      <c r="A515" s="72" t="inlineStr">
        <is>
          <t>WS</t>
        </is>
      </c>
      <c r="B515" s="72" t="inlineStr">
        <is>
          <t>2020</t>
        </is>
      </c>
      <c r="C515" s="72" t="inlineStr">
        <is>
          <t>Palay</t>
        </is>
      </c>
      <c r="D515" s="72" t="inlineStr">
        <is>
          <t>Harvest</t>
        </is>
      </c>
      <c r="E515" s="72" t="inlineStr">
        <is>
          <t>Bued</t>
        </is>
      </c>
      <c r="F515" s="84" t="n"/>
      <c r="G515" s="84" t="n"/>
      <c r="H515" s="84" t="n"/>
      <c r="I515" s="73" t="n">
        <v>2.8</v>
      </c>
      <c r="J515" s="73" t="n">
        <v>8</v>
      </c>
      <c r="K515" s="73" t="n">
        <v>2.86</v>
      </c>
    </row>
    <row r="516" ht="15" customHeight="1" s="101">
      <c r="A516" s="74" t="inlineStr">
        <is>
          <t>WS</t>
        </is>
      </c>
      <c r="B516" s="74" t="inlineStr">
        <is>
          <t>2020</t>
        </is>
      </c>
      <c r="C516" s="74" t="inlineStr">
        <is>
          <t>Palay</t>
        </is>
      </c>
      <c r="D516" s="74" t="inlineStr">
        <is>
          <t>Harvest</t>
        </is>
      </c>
      <c r="E516" s="74" t="inlineStr">
        <is>
          <t>Dumayat</t>
        </is>
      </c>
      <c r="F516" s="85" t="n"/>
      <c r="G516" s="85" t="n"/>
      <c r="H516" s="85" t="n"/>
      <c r="I516" s="75" t="n">
        <v>3.15</v>
      </c>
      <c r="J516" s="75" t="n">
        <v>9.77</v>
      </c>
      <c r="K516" s="75" t="n">
        <v>3.1</v>
      </c>
    </row>
    <row r="517" ht="15" customHeight="1" s="101">
      <c r="A517" s="72" t="inlineStr">
        <is>
          <t>WS</t>
        </is>
      </c>
      <c r="B517" s="72" t="inlineStr">
        <is>
          <t>2020</t>
        </is>
      </c>
      <c r="C517" s="72" t="inlineStr">
        <is>
          <t>Palay</t>
        </is>
      </c>
      <c r="D517" s="72" t="inlineStr">
        <is>
          <t>Harvest</t>
        </is>
      </c>
      <c r="E517" s="72" t="inlineStr">
        <is>
          <t>Camanggaan</t>
        </is>
      </c>
      <c r="F517" s="84" t="n"/>
      <c r="G517" s="84" t="n"/>
      <c r="H517" s="84" t="n"/>
      <c r="I517" s="73" t="n">
        <v>4.23</v>
      </c>
      <c r="J517" s="73" t="n">
        <v>14.4</v>
      </c>
      <c r="K517" s="73" t="n">
        <v>3.4</v>
      </c>
    </row>
    <row r="518" ht="15" customHeight="1" s="101">
      <c r="A518" s="74" t="inlineStr">
        <is>
          <t>WS</t>
        </is>
      </c>
      <c r="B518" s="74" t="inlineStr">
        <is>
          <t>2020</t>
        </is>
      </c>
      <c r="C518" s="74" t="inlineStr">
        <is>
          <t>Palay</t>
        </is>
      </c>
      <c r="D518" s="74" t="inlineStr">
        <is>
          <t>Harvest</t>
        </is>
      </c>
      <c r="E518" s="74" t="inlineStr">
        <is>
          <t>Vacante</t>
        </is>
      </c>
      <c r="F518" s="85" t="n"/>
      <c r="G518" s="85" t="n"/>
      <c r="H518" s="85" t="n"/>
      <c r="I518" s="75" t="n">
        <v>2.5</v>
      </c>
      <c r="J518" s="75" t="n">
        <v>9.23</v>
      </c>
      <c r="K518" s="75" t="n">
        <v>3.69</v>
      </c>
    </row>
    <row r="519" ht="15" customHeight="1" s="101">
      <c r="A519" s="72" t="inlineStr">
        <is>
          <t>WS</t>
        </is>
      </c>
      <c r="B519" s="72" t="inlineStr">
        <is>
          <t>2020</t>
        </is>
      </c>
      <c r="C519" s="72" t="inlineStr">
        <is>
          <t>Palay</t>
        </is>
      </c>
      <c r="D519" s="72" t="inlineStr">
        <is>
          <t>Harvest</t>
        </is>
      </c>
      <c r="E519" s="72" t="inlineStr">
        <is>
          <t>Sta. Catalina</t>
        </is>
      </c>
      <c r="F519" s="84" t="n"/>
      <c r="G519" s="84" t="n"/>
      <c r="H519" s="84" t="n"/>
      <c r="I519" s="73" t="n">
        <v>2.8</v>
      </c>
      <c r="J519" s="73" t="n">
        <v>8.4</v>
      </c>
      <c r="K519" s="73" t="n">
        <v>3</v>
      </c>
    </row>
    <row r="520" ht="15" customHeight="1" s="101">
      <c r="A520" s="74" t="inlineStr">
        <is>
          <t>WS</t>
        </is>
      </c>
      <c r="B520" s="74" t="inlineStr">
        <is>
          <t>2020</t>
        </is>
      </c>
      <c r="C520" s="74" t="inlineStr">
        <is>
          <t>Palay</t>
        </is>
      </c>
      <c r="D520" s="74" t="inlineStr">
        <is>
          <t>Harvest</t>
        </is>
      </c>
      <c r="E520" s="74" t="inlineStr">
        <is>
          <t>Moreno</t>
        </is>
      </c>
      <c r="F520" s="85" t="n"/>
      <c r="G520" s="85" t="n"/>
      <c r="H520" s="85" t="n"/>
      <c r="I520" s="75" t="n">
        <v>34.35</v>
      </c>
      <c r="J520" s="75" t="n">
        <v>123.96</v>
      </c>
      <c r="K520" s="75" t="n">
        <v>3.61</v>
      </c>
    </row>
    <row r="521" ht="15" customHeight="1" s="101">
      <c r="A521" s="72" t="inlineStr">
        <is>
          <t>WS</t>
        </is>
      </c>
      <c r="B521" s="72" t="inlineStr">
        <is>
          <t>2020</t>
        </is>
      </c>
      <c r="C521" s="72" t="inlineStr">
        <is>
          <t>Palay</t>
        </is>
      </c>
      <c r="D521" s="72" t="inlineStr">
        <is>
          <t>Harvest</t>
        </is>
      </c>
      <c r="E521" s="72" t="inlineStr">
        <is>
          <t>Cili</t>
        </is>
      </c>
      <c r="F521" s="84" t="n"/>
      <c r="G521" s="84" t="n"/>
      <c r="H521" s="84" t="n"/>
      <c r="I521" s="73" t="n">
        <v>38.6</v>
      </c>
      <c r="J521" s="73" t="n">
        <v>12.07</v>
      </c>
      <c r="K521" s="73" t="n">
        <v>0.31</v>
      </c>
    </row>
    <row r="522" ht="15" customHeight="1" s="101">
      <c r="A522" s="74" t="inlineStr">
        <is>
          <t>WS</t>
        </is>
      </c>
      <c r="B522" s="74" t="inlineStr">
        <is>
          <t>2020</t>
        </is>
      </c>
      <c r="C522" s="74" t="inlineStr">
        <is>
          <t>Palay</t>
        </is>
      </c>
      <c r="D522" s="74" t="inlineStr">
        <is>
          <t>Harvest</t>
        </is>
      </c>
      <c r="E522" s="74" t="inlineStr">
        <is>
          <t>Linmansangan</t>
        </is>
      </c>
      <c r="F522" s="85" t="n"/>
      <c r="G522" s="85" t="n"/>
      <c r="H522" s="85" t="n"/>
      <c r="I522" s="75" t="n">
        <v>85.18000000000001</v>
      </c>
      <c r="J522" s="75" t="n">
        <v>171.55</v>
      </c>
      <c r="K522" s="75" t="n">
        <v>2.01</v>
      </c>
    </row>
    <row r="523" ht="15" customHeight="1" s="101">
      <c r="A523" s="72" t="inlineStr">
        <is>
          <t>WS</t>
        </is>
      </c>
      <c r="B523" s="72" t="inlineStr">
        <is>
          <t>2020</t>
        </is>
      </c>
      <c r="C523" s="72" t="inlineStr">
        <is>
          <t>Palay</t>
        </is>
      </c>
      <c r="D523" s="72" t="inlineStr">
        <is>
          <t>Harvest</t>
        </is>
      </c>
      <c r="E523" s="72" t="inlineStr">
        <is>
          <t>Sumabnit</t>
        </is>
      </c>
      <c r="F523" s="84" t="n"/>
      <c r="G523" s="84" t="n"/>
      <c r="H523" s="84" t="n"/>
      <c r="I523" s="73" t="n">
        <v>3.5</v>
      </c>
      <c r="J523" s="73" t="n">
        <v>18.03</v>
      </c>
      <c r="K523" s="73" t="n">
        <v>5.15</v>
      </c>
    </row>
    <row r="524" ht="15" customHeight="1" s="101">
      <c r="A524" s="74" t="inlineStr">
        <is>
          <t>WS</t>
        </is>
      </c>
      <c r="B524" s="74" t="inlineStr">
        <is>
          <t>2020</t>
        </is>
      </c>
      <c r="C524" s="74" t="inlineStr">
        <is>
          <t>Palay</t>
        </is>
      </c>
      <c r="D524" s="74" t="inlineStr">
        <is>
          <t>Harvest</t>
        </is>
      </c>
      <c r="E524" s="74" t="inlineStr">
        <is>
          <t>Capas</t>
        </is>
      </c>
      <c r="F524" s="85" t="n"/>
      <c r="G524" s="85" t="n"/>
      <c r="H524" s="85" t="n"/>
      <c r="I524" s="75" t="n">
        <v>7.5</v>
      </c>
      <c r="J524" s="75" t="n">
        <v>37.58</v>
      </c>
      <c r="K524" s="75" t="n">
        <v>5.01</v>
      </c>
    </row>
    <row r="525" ht="15" customHeight="1" s="101">
      <c r="A525" s="72" t="inlineStr">
        <is>
          <t>WS</t>
        </is>
      </c>
      <c r="B525" s="72" t="inlineStr">
        <is>
          <t>2020</t>
        </is>
      </c>
      <c r="C525" s="72" t="inlineStr">
        <is>
          <t>Palay</t>
        </is>
      </c>
      <c r="D525" s="72" t="inlineStr">
        <is>
          <t>Harvest</t>
        </is>
      </c>
      <c r="E525" s="72" t="inlineStr">
        <is>
          <t>Mangkasuy</t>
        </is>
      </c>
      <c r="F525" s="84" t="n"/>
      <c r="G525" s="84" t="n"/>
      <c r="H525" s="84" t="n"/>
      <c r="I525" s="73" t="n">
        <v>6</v>
      </c>
      <c r="J525" s="73" t="n">
        <v>30</v>
      </c>
      <c r="K525" s="73" t="n">
        <v>5</v>
      </c>
    </row>
    <row r="526" ht="15" customHeight="1" s="101">
      <c r="A526" s="74" t="inlineStr">
        <is>
          <t>WS</t>
        </is>
      </c>
      <c r="B526" s="74" t="inlineStr">
        <is>
          <t>2020</t>
        </is>
      </c>
      <c r="C526" s="74" t="inlineStr">
        <is>
          <t>Palay</t>
        </is>
      </c>
      <c r="D526" s="74" t="inlineStr">
        <is>
          <t>Harvest</t>
        </is>
      </c>
      <c r="E526" s="74" t="inlineStr">
        <is>
          <t>San Pablo</t>
        </is>
      </c>
      <c r="F526" s="85" t="n"/>
      <c r="G526" s="85" t="n"/>
      <c r="H526" s="85" t="n"/>
      <c r="I526" s="75" t="n">
        <v>2.7</v>
      </c>
      <c r="J526" s="75" t="n">
        <v>15.53</v>
      </c>
      <c r="K526" s="75" t="n">
        <v>5.75</v>
      </c>
    </row>
    <row r="527" ht="15" customHeight="1" s="101">
      <c r="A527" s="72" t="inlineStr">
        <is>
          <t>WS</t>
        </is>
      </c>
      <c r="B527" s="72" t="inlineStr">
        <is>
          <t>2020</t>
        </is>
      </c>
      <c r="C527" s="72" t="inlineStr">
        <is>
          <t>Palay</t>
        </is>
      </c>
      <c r="D527" s="72" t="inlineStr">
        <is>
          <t>Harvest</t>
        </is>
      </c>
      <c r="E527" s="72" t="inlineStr">
        <is>
          <t>Balangobong</t>
        </is>
      </c>
      <c r="F527" s="84" t="n"/>
      <c r="G527" s="84" t="n"/>
      <c r="H527" s="84" t="n"/>
      <c r="I527" s="73" t="n">
        <v>34.8</v>
      </c>
      <c r="J527" s="73" t="n">
        <v>182.7</v>
      </c>
      <c r="K527" s="73" t="n">
        <v>5.25</v>
      </c>
    </row>
    <row r="528" ht="15" customHeight="1" s="101">
      <c r="A528" s="74" t="inlineStr">
        <is>
          <t>WS</t>
        </is>
      </c>
      <c r="B528" s="74" t="inlineStr">
        <is>
          <t>2020</t>
        </is>
      </c>
      <c r="C528" s="74" t="inlineStr">
        <is>
          <t>Palay</t>
        </is>
      </c>
      <c r="D528" s="74" t="inlineStr">
        <is>
          <t>Harvest</t>
        </is>
      </c>
      <c r="E528" s="74" t="inlineStr">
        <is>
          <t>San Felipe Central</t>
        </is>
      </c>
      <c r="F528" s="85" t="n"/>
      <c r="G528" s="85" t="n"/>
      <c r="H528" s="85" t="n"/>
      <c r="I528" s="75" t="n">
        <v>2.8</v>
      </c>
      <c r="J528" s="75" t="n">
        <v>14</v>
      </c>
      <c r="K528" s="75" t="n">
        <v>5</v>
      </c>
    </row>
    <row r="529" ht="15" customHeight="1" s="101">
      <c r="A529" s="72" t="inlineStr">
        <is>
          <t>WS</t>
        </is>
      </c>
      <c r="B529" s="72" t="inlineStr">
        <is>
          <t>2020</t>
        </is>
      </c>
      <c r="C529" s="72" t="inlineStr">
        <is>
          <t>Palay</t>
        </is>
      </c>
      <c r="D529" s="72" t="inlineStr">
        <is>
          <t>Harvest</t>
        </is>
      </c>
      <c r="E529" s="72" t="inlineStr">
        <is>
          <t>San Felipe Sur</t>
        </is>
      </c>
      <c r="F529" s="84" t="n"/>
      <c r="G529" s="84" t="n"/>
      <c r="H529" s="84" t="n"/>
      <c r="I529" s="73" t="n">
        <v>6.4</v>
      </c>
      <c r="J529" s="73" t="n">
        <v>31.04</v>
      </c>
      <c r="K529" s="73" t="n">
        <v>4.85</v>
      </c>
    </row>
    <row r="530" ht="15" customHeight="1" s="101">
      <c r="A530" s="74" t="inlineStr">
        <is>
          <t>WS</t>
        </is>
      </c>
      <c r="B530" s="74" t="inlineStr">
        <is>
          <t>2020</t>
        </is>
      </c>
      <c r="C530" s="74" t="inlineStr">
        <is>
          <t>Palay</t>
        </is>
      </c>
      <c r="D530" s="74" t="inlineStr">
        <is>
          <t>Harvest</t>
        </is>
      </c>
      <c r="E530" s="74" t="inlineStr">
        <is>
          <t>Pasileng Sur</t>
        </is>
      </c>
      <c r="F530" s="85" t="n"/>
      <c r="G530" s="85" t="n"/>
      <c r="H530" s="85" t="n"/>
      <c r="I530" s="75" t="n">
        <v>3.6</v>
      </c>
      <c r="J530" s="75" t="n">
        <v>21.82</v>
      </c>
      <c r="K530" s="75" t="n">
        <v>6.06</v>
      </c>
    </row>
    <row r="531" ht="15" customHeight="1" s="101">
      <c r="A531" s="72" t="inlineStr">
        <is>
          <t>WS</t>
        </is>
      </c>
      <c r="B531" s="72" t="inlineStr">
        <is>
          <t>2020</t>
        </is>
      </c>
      <c r="C531" s="72" t="inlineStr">
        <is>
          <t>Palay</t>
        </is>
      </c>
      <c r="D531" s="72" t="inlineStr">
        <is>
          <t>Harvest</t>
        </is>
      </c>
      <c r="E531" s="72" t="inlineStr">
        <is>
          <t>Sta. Maria Norte</t>
        </is>
      </c>
      <c r="F531" s="84" t="n"/>
      <c r="G531" s="84" t="n"/>
      <c r="H531" s="84" t="n"/>
      <c r="I531" s="73" t="n">
        <v>3.1</v>
      </c>
      <c r="J531" s="73" t="n">
        <v>4.84</v>
      </c>
      <c r="K531" s="73" t="n">
        <v>1.56</v>
      </c>
    </row>
    <row r="532" ht="15" customHeight="1" s="101">
      <c r="A532" s="74" t="inlineStr">
        <is>
          <t>WS</t>
        </is>
      </c>
      <c r="B532" s="74" t="inlineStr">
        <is>
          <t>2020</t>
        </is>
      </c>
      <c r="C532" s="74" t="inlineStr">
        <is>
          <t>Palay</t>
        </is>
      </c>
      <c r="D532" s="74" t="inlineStr">
        <is>
          <t>Harvest</t>
        </is>
      </c>
      <c r="E532" s="74" t="inlineStr">
        <is>
          <t>Bugayong</t>
        </is>
      </c>
      <c r="F532" s="85" t="n"/>
      <c r="G532" s="85" t="n"/>
      <c r="H532" s="85" t="n"/>
      <c r="I532" s="75" t="n">
        <v>28.81</v>
      </c>
      <c r="J532" s="75" t="n">
        <v>98.48999999999999</v>
      </c>
      <c r="K532" s="75" t="n">
        <v>3.42</v>
      </c>
    </row>
    <row r="533" ht="15" customHeight="1" s="101">
      <c r="A533" s="72" t="inlineStr">
        <is>
          <t>WS</t>
        </is>
      </c>
      <c r="B533" s="72" t="inlineStr">
        <is>
          <t>2020</t>
        </is>
      </c>
      <c r="C533" s="72" t="inlineStr">
        <is>
          <t>Palay</t>
        </is>
      </c>
      <c r="D533" s="72" t="inlineStr">
        <is>
          <t>Harvest</t>
        </is>
      </c>
      <c r="E533" s="72" t="inlineStr">
        <is>
          <t>Santiago</t>
        </is>
      </c>
      <c r="F533" s="84" t="n"/>
      <c r="G533" s="84" t="n"/>
      <c r="H533" s="84" t="n"/>
      <c r="I533" s="73" t="n">
        <v>4</v>
      </c>
      <c r="J533" s="73" t="n">
        <v>21</v>
      </c>
      <c r="K533" s="73" t="n">
        <v>5.25</v>
      </c>
    </row>
    <row r="534" ht="15" customHeight="1" s="101">
      <c r="A534" s="74" t="inlineStr">
        <is>
          <t>WS</t>
        </is>
      </c>
      <c r="B534" s="74" t="inlineStr">
        <is>
          <t>2023</t>
        </is>
      </c>
      <c r="C534" s="74" t="inlineStr">
        <is>
          <t>Palay</t>
        </is>
      </c>
      <c r="D534" s="74" t="inlineStr">
        <is>
          <t>Harvest</t>
        </is>
      </c>
      <c r="E534" s="74" t="inlineStr">
        <is>
          <t>Balangobong</t>
        </is>
      </c>
      <c r="F534" s="85" t="n"/>
      <c r="G534" s="85" t="n"/>
      <c r="H534" s="85" t="n"/>
      <c r="I534" s="75" t="n">
        <v>120</v>
      </c>
      <c r="J534" s="75" t="n">
        <v>569.5700000000001</v>
      </c>
      <c r="K534" s="75" t="n">
        <v>4.75</v>
      </c>
    </row>
    <row r="535" ht="15" customHeight="1" s="101">
      <c r="A535" s="72" t="inlineStr">
        <is>
          <t>WS</t>
        </is>
      </c>
      <c r="B535" s="72" t="inlineStr">
        <is>
          <t>2023</t>
        </is>
      </c>
      <c r="C535" s="72" t="inlineStr">
        <is>
          <t>Palay</t>
        </is>
      </c>
      <c r="D535" s="72" t="inlineStr">
        <is>
          <t>Harvest</t>
        </is>
      </c>
      <c r="E535" s="72" t="inlineStr">
        <is>
          <t>Bued</t>
        </is>
      </c>
      <c r="F535" s="84" t="n"/>
      <c r="G535" s="84" t="n"/>
      <c r="H535" s="84" t="n"/>
      <c r="I535" s="73" t="n">
        <v>56.5</v>
      </c>
      <c r="J535" s="73" t="n">
        <v>248.22</v>
      </c>
      <c r="K535" s="73" t="n">
        <v>4.39</v>
      </c>
    </row>
    <row r="536" ht="15" customHeight="1" s="101">
      <c r="A536" s="74" t="inlineStr">
        <is>
          <t>WS</t>
        </is>
      </c>
      <c r="B536" s="74" t="inlineStr">
        <is>
          <t>2023</t>
        </is>
      </c>
      <c r="C536" s="74" t="inlineStr">
        <is>
          <t>Palay</t>
        </is>
      </c>
      <c r="D536" s="74" t="inlineStr">
        <is>
          <t>Harvest</t>
        </is>
      </c>
      <c r="E536" s="74" t="inlineStr">
        <is>
          <t>Bugayong</t>
        </is>
      </c>
      <c r="F536" s="85" t="n"/>
      <c r="G536" s="85" t="n"/>
      <c r="H536" s="85" t="n"/>
      <c r="I536" s="75" t="n">
        <v>25.95</v>
      </c>
      <c r="J536" s="75" t="n">
        <v>130.27</v>
      </c>
      <c r="K536" s="75" t="n">
        <v>5.02</v>
      </c>
    </row>
    <row r="537" ht="15" customHeight="1" s="101">
      <c r="A537" s="72" t="inlineStr">
        <is>
          <t>WS</t>
        </is>
      </c>
      <c r="B537" s="72" t="inlineStr">
        <is>
          <t>2023</t>
        </is>
      </c>
      <c r="C537" s="72" t="inlineStr">
        <is>
          <t>Palay</t>
        </is>
      </c>
      <c r="D537" s="72" t="inlineStr">
        <is>
          <t>Harvest</t>
        </is>
      </c>
      <c r="E537" s="72" t="inlineStr">
        <is>
          <t>Camanggaan</t>
        </is>
      </c>
      <c r="F537" s="84" t="n"/>
      <c r="G537" s="84" t="n"/>
      <c r="H537" s="84" t="n"/>
      <c r="I537" s="73" t="n">
        <v>19</v>
      </c>
      <c r="J537" s="73" t="n">
        <v>81.73999999999999</v>
      </c>
      <c r="K537" s="73" t="n">
        <v>4.3</v>
      </c>
    </row>
    <row r="538" ht="15" customHeight="1" s="101">
      <c r="A538" s="74" t="inlineStr">
        <is>
          <t>WS</t>
        </is>
      </c>
      <c r="B538" s="74" t="inlineStr">
        <is>
          <t>2023</t>
        </is>
      </c>
      <c r="C538" s="74" t="inlineStr">
        <is>
          <t>Palay</t>
        </is>
      </c>
      <c r="D538" s="74" t="inlineStr">
        <is>
          <t>Harvest</t>
        </is>
      </c>
      <c r="E538" s="74" t="inlineStr">
        <is>
          <t>Capas</t>
        </is>
      </c>
      <c r="F538" s="85" t="n"/>
      <c r="G538" s="85" t="n"/>
      <c r="H538" s="85" t="n"/>
      <c r="I538" s="75" t="n">
        <v>139</v>
      </c>
      <c r="J538" s="75" t="n">
        <v>766.55</v>
      </c>
      <c r="K538" s="75" t="n">
        <v>5.51</v>
      </c>
    </row>
    <row r="539" ht="15" customHeight="1" s="101">
      <c r="A539" s="72" t="inlineStr">
        <is>
          <t>WS</t>
        </is>
      </c>
      <c r="B539" s="72" t="inlineStr">
        <is>
          <t>2023</t>
        </is>
      </c>
      <c r="C539" s="72" t="inlineStr">
        <is>
          <t>Palay</t>
        </is>
      </c>
      <c r="D539" s="72" t="inlineStr">
        <is>
          <t>Harvest</t>
        </is>
      </c>
      <c r="E539" s="72" t="inlineStr">
        <is>
          <t>Cili</t>
        </is>
      </c>
      <c r="F539" s="84" t="n"/>
      <c r="G539" s="84" t="n"/>
      <c r="H539" s="84" t="n"/>
      <c r="I539" s="73" t="n">
        <v>40</v>
      </c>
      <c r="J539" s="73" t="n">
        <v>185.2</v>
      </c>
      <c r="K539" s="73" t="n">
        <v>4.63</v>
      </c>
    </row>
    <row r="540" ht="15" customHeight="1" s="101">
      <c r="A540" s="74" t="inlineStr">
        <is>
          <t>WS</t>
        </is>
      </c>
      <c r="B540" s="74" t="inlineStr">
        <is>
          <t>2023</t>
        </is>
      </c>
      <c r="C540" s="74" t="inlineStr">
        <is>
          <t>Palay</t>
        </is>
      </c>
      <c r="D540" s="74" t="inlineStr">
        <is>
          <t>Harvest</t>
        </is>
      </c>
      <c r="E540" s="74" t="inlineStr">
        <is>
          <t>Dumayat</t>
        </is>
      </c>
      <c r="F540" s="85" t="n"/>
      <c r="G540" s="85" t="n"/>
      <c r="H540" s="85" t="n"/>
      <c r="I540" s="75" t="n">
        <v>56</v>
      </c>
      <c r="J540" s="75" t="n">
        <v>287.84</v>
      </c>
      <c r="K540" s="75" t="n">
        <v>5.14</v>
      </c>
    </row>
    <row r="541" ht="15" customHeight="1" s="101">
      <c r="A541" s="72" t="inlineStr">
        <is>
          <t>WS</t>
        </is>
      </c>
      <c r="B541" s="72" t="inlineStr">
        <is>
          <t>2023</t>
        </is>
      </c>
      <c r="C541" s="72" t="inlineStr">
        <is>
          <t>Palay</t>
        </is>
      </c>
      <c r="D541" s="72" t="inlineStr">
        <is>
          <t>Harvest</t>
        </is>
      </c>
      <c r="E541" s="72" t="inlineStr">
        <is>
          <t>Linmansangan</t>
        </is>
      </c>
      <c r="F541" s="84" t="n"/>
      <c r="G541" s="84" t="n"/>
      <c r="H541" s="84" t="n"/>
      <c r="I541" s="73" t="n">
        <v>65.5</v>
      </c>
      <c r="J541" s="73" t="n">
        <v>302.43</v>
      </c>
      <c r="K541" s="73" t="n">
        <v>4.62</v>
      </c>
    </row>
    <row r="542" ht="15" customHeight="1" s="101">
      <c r="A542" s="74" t="inlineStr">
        <is>
          <t>WS</t>
        </is>
      </c>
      <c r="B542" s="74" t="inlineStr">
        <is>
          <t>2023</t>
        </is>
      </c>
      <c r="C542" s="74" t="inlineStr">
        <is>
          <t>Palay</t>
        </is>
      </c>
      <c r="D542" s="74" t="inlineStr">
        <is>
          <t>Harvest</t>
        </is>
      </c>
      <c r="E542" s="74" t="inlineStr">
        <is>
          <t>Mangkasuy</t>
        </is>
      </c>
      <c r="F542" s="85" t="n"/>
      <c r="G542" s="85" t="n"/>
      <c r="H542" s="85" t="n"/>
      <c r="I542" s="75" t="n">
        <v>90</v>
      </c>
      <c r="J542" s="75" t="n">
        <v>471.74</v>
      </c>
      <c r="K542" s="75" t="n">
        <v>5.24</v>
      </c>
    </row>
    <row r="543" ht="15" customHeight="1" s="101">
      <c r="A543" s="72" t="inlineStr">
        <is>
          <t>WS</t>
        </is>
      </c>
      <c r="B543" s="72" t="inlineStr">
        <is>
          <t>2023</t>
        </is>
      </c>
      <c r="C543" s="72" t="inlineStr">
        <is>
          <t>Palay</t>
        </is>
      </c>
      <c r="D543" s="72" t="inlineStr">
        <is>
          <t>Harvest</t>
        </is>
      </c>
      <c r="E543" s="72" t="inlineStr">
        <is>
          <t>Moreno</t>
        </is>
      </c>
      <c r="F543" s="84" t="n"/>
      <c r="G543" s="84" t="n"/>
      <c r="H543" s="84" t="n"/>
      <c r="I543" s="73" t="n">
        <v>47.4</v>
      </c>
      <c r="J543" s="73" t="n">
        <v>250.3</v>
      </c>
      <c r="K543" s="73" t="n">
        <v>5.28</v>
      </c>
    </row>
    <row r="544" ht="15" customHeight="1" s="101">
      <c r="A544" s="74" t="inlineStr">
        <is>
          <t>WS</t>
        </is>
      </c>
      <c r="B544" s="74" t="inlineStr">
        <is>
          <t>2023</t>
        </is>
      </c>
      <c r="C544" s="74" t="inlineStr">
        <is>
          <t>Palay</t>
        </is>
      </c>
      <c r="D544" s="74" t="inlineStr">
        <is>
          <t>Harvest</t>
        </is>
      </c>
      <c r="E544" s="74" t="inlineStr">
        <is>
          <t>Pasileng Norte</t>
        </is>
      </c>
      <c r="F544" s="85" t="n"/>
      <c r="G544" s="85" t="n"/>
      <c r="H544" s="85" t="n"/>
      <c r="I544" s="75" t="n">
        <v>78.34999999999999</v>
      </c>
      <c r="J544" s="75" t="n">
        <v>423.46</v>
      </c>
      <c r="K544" s="75" t="n">
        <v>5.4</v>
      </c>
    </row>
    <row r="545" ht="15" customHeight="1" s="101">
      <c r="A545" s="72" t="inlineStr">
        <is>
          <t>WS</t>
        </is>
      </c>
      <c r="B545" s="72" t="inlineStr">
        <is>
          <t>2023</t>
        </is>
      </c>
      <c r="C545" s="72" t="inlineStr">
        <is>
          <t>Palay</t>
        </is>
      </c>
      <c r="D545" s="72" t="inlineStr">
        <is>
          <t>Harvest</t>
        </is>
      </c>
      <c r="E545" s="72" t="inlineStr">
        <is>
          <t>Pasileng Sur</t>
        </is>
      </c>
      <c r="F545" s="84" t="n"/>
      <c r="G545" s="84" t="n"/>
      <c r="H545" s="84" t="n"/>
      <c r="I545" s="73" t="n">
        <v>150.9</v>
      </c>
      <c r="J545" s="73" t="n">
        <v>761.85</v>
      </c>
      <c r="K545" s="73" t="n">
        <v>5.05</v>
      </c>
    </row>
    <row r="546" ht="15" customHeight="1" s="101">
      <c r="A546" s="74" t="inlineStr">
        <is>
          <t>WS</t>
        </is>
      </c>
      <c r="B546" s="74" t="inlineStr">
        <is>
          <t>2023</t>
        </is>
      </c>
      <c r="C546" s="74" t="inlineStr">
        <is>
          <t>Palay</t>
        </is>
      </c>
      <c r="D546" s="74" t="inlineStr">
        <is>
          <t>Harvest</t>
        </is>
      </c>
      <c r="E546" s="74" t="inlineStr">
        <is>
          <t>San Felipe Central</t>
        </is>
      </c>
      <c r="F546" s="85" t="n"/>
      <c r="G546" s="85" t="n"/>
      <c r="H546" s="85" t="n"/>
      <c r="I546" s="75" t="n">
        <v>117</v>
      </c>
      <c r="J546" s="75" t="n">
        <v>537.83</v>
      </c>
      <c r="K546" s="75" t="n">
        <v>4.6</v>
      </c>
    </row>
    <row r="547" ht="15" customHeight="1" s="101">
      <c r="A547" s="72" t="inlineStr">
        <is>
          <t>WS</t>
        </is>
      </c>
      <c r="B547" s="72" t="inlineStr">
        <is>
          <t>2023</t>
        </is>
      </c>
      <c r="C547" s="72" t="inlineStr">
        <is>
          <t>Palay</t>
        </is>
      </c>
      <c r="D547" s="72" t="inlineStr">
        <is>
          <t>Harvest</t>
        </is>
      </c>
      <c r="E547" s="72" t="inlineStr">
        <is>
          <t>San Felipe Sur</t>
        </is>
      </c>
      <c r="F547" s="84" t="n"/>
      <c r="G547" s="84" t="n"/>
      <c r="H547" s="84" t="n"/>
      <c r="I547" s="73" t="n">
        <v>127.5</v>
      </c>
      <c r="J547" s="73" t="n">
        <v>744.6</v>
      </c>
      <c r="K547" s="73" t="n">
        <v>5.84</v>
      </c>
    </row>
    <row r="548" ht="15" customHeight="1" s="101">
      <c r="A548" s="74" t="inlineStr">
        <is>
          <t>WS</t>
        </is>
      </c>
      <c r="B548" s="74" t="inlineStr">
        <is>
          <t>2023</t>
        </is>
      </c>
      <c r="C548" s="74" t="inlineStr">
        <is>
          <t>Palay</t>
        </is>
      </c>
      <c r="D548" s="74" t="inlineStr">
        <is>
          <t>Harvest</t>
        </is>
      </c>
      <c r="E548" s="74" t="inlineStr">
        <is>
          <t>San Pablo</t>
        </is>
      </c>
      <c r="F548" s="85" t="n"/>
      <c r="G548" s="85" t="n"/>
      <c r="H548" s="85" t="n"/>
      <c r="I548" s="75" t="n">
        <v>103.5</v>
      </c>
      <c r="J548" s="75" t="n">
        <v>492.65</v>
      </c>
      <c r="K548" s="75" t="n">
        <v>4.76</v>
      </c>
    </row>
    <row r="549" ht="15" customHeight="1" s="101">
      <c r="A549" s="72" t="inlineStr">
        <is>
          <t>WS</t>
        </is>
      </c>
      <c r="B549" s="72" t="inlineStr">
        <is>
          <t>2023</t>
        </is>
      </c>
      <c r="C549" s="72" t="inlineStr">
        <is>
          <t>Palay</t>
        </is>
      </c>
      <c r="D549" s="72" t="inlineStr">
        <is>
          <t>Harvest</t>
        </is>
      </c>
      <c r="E549" s="72" t="inlineStr">
        <is>
          <t>Santiago</t>
        </is>
      </c>
      <c r="F549" s="84" t="n"/>
      <c r="G549" s="84" t="n"/>
      <c r="H549" s="84" t="n"/>
      <c r="I549" s="73" t="n">
        <v>103.6</v>
      </c>
      <c r="J549" s="73" t="n">
        <v>528.0700000000001</v>
      </c>
      <c r="K549" s="73" t="n">
        <v>5.1</v>
      </c>
    </row>
    <row r="550" ht="15" customHeight="1" s="101">
      <c r="A550" s="74" t="inlineStr">
        <is>
          <t>WS</t>
        </is>
      </c>
      <c r="B550" s="74" t="inlineStr">
        <is>
          <t>2023</t>
        </is>
      </c>
      <c r="C550" s="74" t="inlineStr">
        <is>
          <t>Palay</t>
        </is>
      </c>
      <c r="D550" s="74" t="inlineStr">
        <is>
          <t>Harvest</t>
        </is>
      </c>
      <c r="E550" s="74" t="inlineStr">
        <is>
          <t>Sta. Catalina</t>
        </is>
      </c>
      <c r="F550" s="85" t="n"/>
      <c r="G550" s="85" t="n"/>
      <c r="H550" s="85" t="n"/>
      <c r="I550" s="75" t="n">
        <v>49</v>
      </c>
      <c r="J550" s="75" t="n">
        <v>237.31</v>
      </c>
      <c r="K550" s="75" t="n">
        <v>4.84</v>
      </c>
    </row>
    <row r="551" ht="15" customHeight="1" s="101">
      <c r="A551" s="72" t="inlineStr">
        <is>
          <t>WS</t>
        </is>
      </c>
      <c r="B551" s="72" t="inlineStr">
        <is>
          <t>2023</t>
        </is>
      </c>
      <c r="C551" s="72" t="inlineStr">
        <is>
          <t>Palay</t>
        </is>
      </c>
      <c r="D551" s="72" t="inlineStr">
        <is>
          <t>Harvest</t>
        </is>
      </c>
      <c r="E551" s="72" t="inlineStr">
        <is>
          <t>Sta. Maria Norte</t>
        </is>
      </c>
      <c r="F551" s="84" t="n"/>
      <c r="G551" s="84" t="n"/>
      <c r="H551" s="84" t="n"/>
      <c r="I551" s="73" t="n">
        <v>24.5</v>
      </c>
      <c r="J551" s="73" t="n">
        <v>128.17</v>
      </c>
      <c r="K551" s="73" t="n">
        <v>5.23</v>
      </c>
    </row>
    <row r="552" ht="15" customHeight="1" s="101">
      <c r="A552" s="74" t="inlineStr">
        <is>
          <t>WS</t>
        </is>
      </c>
      <c r="B552" s="74" t="inlineStr">
        <is>
          <t>2023</t>
        </is>
      </c>
      <c r="C552" s="74" t="inlineStr">
        <is>
          <t>Palay</t>
        </is>
      </c>
      <c r="D552" s="74" t="inlineStr">
        <is>
          <t>Harvest</t>
        </is>
      </c>
      <c r="E552" s="74" t="inlineStr">
        <is>
          <t>Sumabnit</t>
        </is>
      </c>
      <c r="F552" s="85" t="n"/>
      <c r="G552" s="85" t="n"/>
      <c r="H552" s="85" t="n"/>
      <c r="I552" s="75" t="n">
        <v>133.3</v>
      </c>
      <c r="J552" s="75" t="n">
        <v>669.95</v>
      </c>
      <c r="K552" s="75" t="n">
        <v>5.03</v>
      </c>
    </row>
    <row r="553" ht="15" customHeight="1" s="101">
      <c r="A553" s="72" t="inlineStr">
        <is>
          <t>WS</t>
        </is>
      </c>
      <c r="B553" s="72" t="inlineStr">
        <is>
          <t>2023</t>
        </is>
      </c>
      <c r="C553" s="72" t="inlineStr">
        <is>
          <t>Palay</t>
        </is>
      </c>
      <c r="D553" s="72" t="inlineStr">
        <is>
          <t>Harvest</t>
        </is>
      </c>
      <c r="E553" s="72" t="inlineStr">
        <is>
          <t>Tabuyoc</t>
        </is>
      </c>
      <c r="F553" s="84" t="n"/>
      <c r="G553" s="84" t="n"/>
      <c r="H553" s="84" t="n"/>
      <c r="I553" s="73" t="n">
        <v>134</v>
      </c>
      <c r="J553" s="73" t="n">
        <v>691.25</v>
      </c>
      <c r="K553" s="73" t="n">
        <v>5.16</v>
      </c>
    </row>
    <row r="554" ht="15" customHeight="1" s="101">
      <c r="A554" s="74" t="inlineStr">
        <is>
          <t>WS</t>
        </is>
      </c>
      <c r="B554" s="74" t="inlineStr">
        <is>
          <t>2023</t>
        </is>
      </c>
      <c r="C554" s="74" t="inlineStr">
        <is>
          <t>Palay</t>
        </is>
      </c>
      <c r="D554" s="74" t="inlineStr">
        <is>
          <t>Harvest</t>
        </is>
      </c>
      <c r="E554" s="74" t="inlineStr">
        <is>
          <t>Vacante</t>
        </is>
      </c>
      <c r="F554" s="85" t="n"/>
      <c r="G554" s="85" t="n"/>
      <c r="H554" s="85" t="n"/>
      <c r="I554" s="75" t="n">
        <v>28</v>
      </c>
      <c r="J554" s="75" t="n">
        <v>109.2</v>
      </c>
      <c r="K554" s="75" t="n">
        <v>3.9</v>
      </c>
    </row>
    <row r="555" ht="15" customHeight="1" s="101">
      <c r="A555" s="72" t="inlineStr">
        <is>
          <t>DS</t>
        </is>
      </c>
      <c r="B555" s="72" t="inlineStr">
        <is>
          <t>2021-2022</t>
        </is>
      </c>
      <c r="C555" s="72" t="inlineStr">
        <is>
          <t>Palay</t>
        </is>
      </c>
      <c r="D555" s="72" t="inlineStr">
        <is>
          <t>Planting</t>
        </is>
      </c>
      <c r="E555" s="72" t="inlineStr">
        <is>
          <t>Pasileng Norte</t>
        </is>
      </c>
      <c r="F555" s="73" t="n">
        <v>0.6</v>
      </c>
      <c r="G555" s="73" t="n">
        <v>26.4</v>
      </c>
      <c r="H555" s="73" t="n">
        <v>0.6</v>
      </c>
      <c r="I555" s="84" t="n"/>
      <c r="J555" s="84" t="n"/>
      <c r="K555" s="84" t="n"/>
    </row>
    <row r="556" ht="15" customHeight="1" s="101">
      <c r="A556" s="74" t="inlineStr">
        <is>
          <t>DS</t>
        </is>
      </c>
      <c r="B556" s="74" t="inlineStr">
        <is>
          <t>2021-2022</t>
        </is>
      </c>
      <c r="C556" s="74" t="inlineStr">
        <is>
          <t>Palay</t>
        </is>
      </c>
      <c r="D556" s="74" t="inlineStr">
        <is>
          <t>Planting</t>
        </is>
      </c>
      <c r="E556" s="74" t="inlineStr">
        <is>
          <t>Tabuyoc</t>
        </is>
      </c>
      <c r="F556" s="75" t="n">
        <v>0.8</v>
      </c>
      <c r="G556" s="75" t="n">
        <v>44.8</v>
      </c>
      <c r="H556" s="75" t="n">
        <v>0.8</v>
      </c>
      <c r="I556" s="85" t="n"/>
      <c r="J556" s="85" t="n"/>
      <c r="K556" s="85" t="n"/>
    </row>
    <row r="557" ht="15" customHeight="1" s="101">
      <c r="A557" s="72" t="inlineStr">
        <is>
          <t>DS</t>
        </is>
      </c>
      <c r="B557" s="72" t="inlineStr">
        <is>
          <t>2021-2022</t>
        </is>
      </c>
      <c r="C557" s="72" t="inlineStr">
        <is>
          <t>Palay</t>
        </is>
      </c>
      <c r="D557" s="72" t="inlineStr">
        <is>
          <t>Planting</t>
        </is>
      </c>
      <c r="E557" s="72" t="inlineStr">
        <is>
          <t>Camanggaan</t>
        </is>
      </c>
      <c r="F557" s="73" t="n">
        <v>2.85</v>
      </c>
      <c r="G557" s="73" t="n">
        <v>101.98</v>
      </c>
      <c r="H557" s="73" t="n">
        <v>2.85</v>
      </c>
      <c r="I557" s="84" t="n"/>
      <c r="J557" s="84" t="n"/>
      <c r="K557" s="84" t="n"/>
    </row>
    <row r="558" ht="15" customHeight="1" s="101">
      <c r="A558" s="74" t="inlineStr">
        <is>
          <t>DS</t>
        </is>
      </c>
      <c r="B558" s="74" t="inlineStr">
        <is>
          <t>2021-2022</t>
        </is>
      </c>
      <c r="C558" s="74" t="inlineStr">
        <is>
          <t>Palay</t>
        </is>
      </c>
      <c r="D558" s="74" t="inlineStr">
        <is>
          <t>Planting</t>
        </is>
      </c>
      <c r="E558" s="74" t="inlineStr">
        <is>
          <t>Sta. Catalina</t>
        </is>
      </c>
      <c r="F558" s="75" t="n">
        <v>1.3</v>
      </c>
      <c r="G558" s="75" t="n">
        <v>164</v>
      </c>
      <c r="H558" s="75" t="n">
        <v>1.3</v>
      </c>
      <c r="I558" s="85" t="n"/>
      <c r="J558" s="85" t="n"/>
      <c r="K558" s="85" t="n"/>
    </row>
    <row r="559" ht="15" customHeight="1" s="101">
      <c r="A559" s="72" t="inlineStr">
        <is>
          <t>DS</t>
        </is>
      </c>
      <c r="B559" s="72" t="inlineStr">
        <is>
          <t>2021-2022</t>
        </is>
      </c>
      <c r="C559" s="72" t="inlineStr">
        <is>
          <t>Palay</t>
        </is>
      </c>
      <c r="D559" s="72" t="inlineStr">
        <is>
          <t>Planting</t>
        </is>
      </c>
      <c r="E559" s="72" t="inlineStr">
        <is>
          <t>Sumabnit</t>
        </is>
      </c>
      <c r="F559" s="73" t="n">
        <v>0.7</v>
      </c>
      <c r="G559" s="73" t="n">
        <v>116.6</v>
      </c>
      <c r="H559" s="73" t="n">
        <v>0.7</v>
      </c>
      <c r="I559" s="84" t="n"/>
      <c r="J559" s="84" t="n"/>
      <c r="K559" s="84" t="n"/>
    </row>
    <row r="560" ht="15" customHeight="1" s="101">
      <c r="A560" s="74" t="inlineStr">
        <is>
          <t>DS</t>
        </is>
      </c>
      <c r="B560" s="74" t="inlineStr">
        <is>
          <t>2021-2022</t>
        </is>
      </c>
      <c r="C560" s="74" t="inlineStr">
        <is>
          <t>Palay</t>
        </is>
      </c>
      <c r="D560" s="74" t="inlineStr">
        <is>
          <t>Planting</t>
        </is>
      </c>
      <c r="E560" s="74" t="inlineStr">
        <is>
          <t>Capas</t>
        </is>
      </c>
      <c r="F560" s="75" t="n">
        <v>3.8</v>
      </c>
      <c r="G560" s="75" t="n">
        <v>154.52</v>
      </c>
      <c r="H560" s="75" t="n">
        <v>3.8</v>
      </c>
      <c r="I560" s="85" t="n"/>
      <c r="J560" s="85" t="n"/>
      <c r="K560" s="85" t="n"/>
    </row>
    <row r="561" ht="15" customHeight="1" s="101">
      <c r="A561" s="72" t="inlineStr">
        <is>
          <t>DS</t>
        </is>
      </c>
      <c r="B561" s="72" t="inlineStr">
        <is>
          <t>2021-2022</t>
        </is>
      </c>
      <c r="C561" s="72" t="inlineStr">
        <is>
          <t>Palay</t>
        </is>
      </c>
      <c r="D561" s="72" t="inlineStr">
        <is>
          <t>Planting</t>
        </is>
      </c>
      <c r="E561" s="72" t="inlineStr">
        <is>
          <t>Mangkasuy</t>
        </is>
      </c>
      <c r="F561" s="73" t="n">
        <v>2.95</v>
      </c>
      <c r="G561" s="73" t="n">
        <v>164</v>
      </c>
      <c r="H561" s="73" t="n">
        <v>2.95</v>
      </c>
      <c r="I561" s="84" t="n"/>
      <c r="J561" s="84" t="n"/>
      <c r="K561" s="84" t="n"/>
    </row>
    <row r="562" ht="15" customHeight="1" s="101">
      <c r="A562" s="74" t="inlineStr">
        <is>
          <t>DS</t>
        </is>
      </c>
      <c r="B562" s="74" t="inlineStr">
        <is>
          <t>2021-2022</t>
        </is>
      </c>
      <c r="C562" s="74" t="inlineStr">
        <is>
          <t>Palay</t>
        </is>
      </c>
      <c r="D562" s="74" t="inlineStr">
        <is>
          <t>Planting</t>
        </is>
      </c>
      <c r="E562" s="74" t="inlineStr">
        <is>
          <t>San Pablo</t>
        </is>
      </c>
      <c r="F562" s="75" t="n">
        <v>0.1</v>
      </c>
      <c r="G562" s="75" t="n">
        <v>37.8</v>
      </c>
      <c r="H562" s="75" t="n">
        <v>0.1</v>
      </c>
      <c r="I562" s="85" t="n"/>
      <c r="J562" s="85" t="n"/>
      <c r="K562" s="85" t="n"/>
    </row>
    <row r="563" ht="15" customHeight="1" s="101">
      <c r="A563" s="72" t="inlineStr">
        <is>
          <t>DS</t>
        </is>
      </c>
      <c r="B563" s="72" t="inlineStr">
        <is>
          <t>2021-2022</t>
        </is>
      </c>
      <c r="C563" s="72" t="inlineStr">
        <is>
          <t>Palay</t>
        </is>
      </c>
      <c r="D563" s="72" t="inlineStr">
        <is>
          <t>Planting</t>
        </is>
      </c>
      <c r="E563" s="72" t="inlineStr">
        <is>
          <t>Balangobong</t>
        </is>
      </c>
      <c r="F563" s="73" t="n">
        <v>1.6</v>
      </c>
      <c r="G563" s="73" t="n">
        <v>26.4</v>
      </c>
      <c r="H563" s="73" t="n">
        <v>1.6</v>
      </c>
      <c r="I563" s="84" t="n"/>
      <c r="J563" s="84" t="n"/>
      <c r="K563" s="84" t="n"/>
    </row>
    <row r="564" ht="15" customHeight="1" s="101">
      <c r="A564" s="74" t="inlineStr">
        <is>
          <t>DS</t>
        </is>
      </c>
      <c r="B564" s="74" t="inlineStr">
        <is>
          <t>2021-2022</t>
        </is>
      </c>
      <c r="C564" s="74" t="inlineStr">
        <is>
          <t>Palay</t>
        </is>
      </c>
      <c r="D564" s="74" t="inlineStr">
        <is>
          <t>Planting</t>
        </is>
      </c>
      <c r="E564" s="74" t="inlineStr">
        <is>
          <t>San Felipe Central</t>
        </is>
      </c>
      <c r="F564" s="75" t="n">
        <v>4.15</v>
      </c>
      <c r="G564" s="75" t="n">
        <v>32.1</v>
      </c>
      <c r="H564" s="75" t="n">
        <v>4.15</v>
      </c>
      <c r="I564" s="85" t="n"/>
      <c r="J564" s="85" t="n"/>
      <c r="K564" s="85" t="n"/>
    </row>
    <row r="565" ht="15" customHeight="1" s="101">
      <c r="A565" s="72" t="inlineStr">
        <is>
          <t>DS</t>
        </is>
      </c>
      <c r="B565" s="72" t="inlineStr">
        <is>
          <t>2021-2022</t>
        </is>
      </c>
      <c r="C565" s="72" t="inlineStr">
        <is>
          <t>Palay</t>
        </is>
      </c>
      <c r="D565" s="72" t="inlineStr">
        <is>
          <t>Planting</t>
        </is>
      </c>
      <c r="E565" s="72" t="inlineStr">
        <is>
          <t>San Felipe Sur</t>
        </is>
      </c>
      <c r="F565" s="73" t="n">
        <v>3.2</v>
      </c>
      <c r="G565" s="73" t="n">
        <v>32.1</v>
      </c>
      <c r="H565" s="73" t="n">
        <v>3.2</v>
      </c>
      <c r="I565" s="84" t="n"/>
      <c r="J565" s="84" t="n"/>
      <c r="K565" s="84" t="n"/>
    </row>
    <row r="566" ht="15" customHeight="1" s="101">
      <c r="A566" s="74" t="inlineStr">
        <is>
          <t>DS</t>
        </is>
      </c>
      <c r="B566" s="74" t="inlineStr">
        <is>
          <t>2021-2022</t>
        </is>
      </c>
      <c r="C566" s="74" t="inlineStr">
        <is>
          <t>Palay</t>
        </is>
      </c>
      <c r="D566" s="74" t="inlineStr">
        <is>
          <t>Planting</t>
        </is>
      </c>
      <c r="E566" s="74" t="inlineStr">
        <is>
          <t>Pasileng Sur</t>
        </is>
      </c>
      <c r="F566" s="75" t="n">
        <v>1.2</v>
      </c>
      <c r="G566" s="75" t="n">
        <v>26.4</v>
      </c>
      <c r="H566" s="75" t="n">
        <v>1.2</v>
      </c>
      <c r="I566" s="85" t="n"/>
      <c r="J566" s="85" t="n"/>
      <c r="K566" s="85" t="n"/>
    </row>
    <row r="567" ht="15" customHeight="1" s="101">
      <c r="A567" s="72" t="inlineStr">
        <is>
          <t>DS</t>
        </is>
      </c>
      <c r="B567" s="72" t="inlineStr">
        <is>
          <t>2021-2022</t>
        </is>
      </c>
      <c r="C567" s="72" t="inlineStr">
        <is>
          <t>Palay</t>
        </is>
      </c>
      <c r="D567" s="72" t="inlineStr">
        <is>
          <t>Planting</t>
        </is>
      </c>
      <c r="E567" s="72" t="inlineStr">
        <is>
          <t>Bugayong</t>
        </is>
      </c>
      <c r="F567" s="73" t="n">
        <v>1</v>
      </c>
      <c r="G567" s="73" t="n">
        <v>37.8</v>
      </c>
      <c r="H567" s="73" t="n">
        <v>1</v>
      </c>
      <c r="I567" s="84" t="n"/>
      <c r="J567" s="84" t="n"/>
      <c r="K567" s="84" t="n"/>
    </row>
    <row r="568" ht="15" customHeight="1" s="101">
      <c r="A568" s="74" t="inlineStr">
        <is>
          <t>DS</t>
        </is>
      </c>
      <c r="B568" s="74" t="inlineStr">
        <is>
          <t>2021-2022</t>
        </is>
      </c>
      <c r="C568" s="74" t="inlineStr">
        <is>
          <t>Palay</t>
        </is>
      </c>
      <c r="D568" s="74" t="inlineStr">
        <is>
          <t>Planting</t>
        </is>
      </c>
      <c r="E568" s="74" t="inlineStr">
        <is>
          <t>Santiago</t>
        </is>
      </c>
      <c r="F568" s="75" t="n">
        <v>1.5</v>
      </c>
      <c r="G568" s="75" t="n">
        <v>94.92</v>
      </c>
      <c r="H568" s="75" t="n">
        <v>1.5</v>
      </c>
      <c r="I568" s="85" t="n"/>
      <c r="J568" s="85" t="n"/>
      <c r="K568" s="85" t="n"/>
    </row>
    <row r="569" ht="15" customHeight="1" s="101">
      <c r="A569" s="72" t="inlineStr">
        <is>
          <t>DS</t>
        </is>
      </c>
      <c r="B569" s="72" t="inlineStr">
        <is>
          <t>2021-2022</t>
        </is>
      </c>
      <c r="C569" s="72" t="inlineStr">
        <is>
          <t>Palay</t>
        </is>
      </c>
      <c r="D569" s="72" t="inlineStr">
        <is>
          <t>Harvest</t>
        </is>
      </c>
      <c r="E569" s="72" t="inlineStr">
        <is>
          <t>Pasileng Norte</t>
        </is>
      </c>
      <c r="F569" s="84" t="n"/>
      <c r="G569" s="84" t="n"/>
      <c r="H569" s="84" t="n"/>
      <c r="I569" s="73" t="n">
        <v>0.6</v>
      </c>
      <c r="J569" s="73" t="n">
        <v>3.06</v>
      </c>
      <c r="K569" s="73" t="n">
        <v>5.1</v>
      </c>
    </row>
    <row r="570" ht="15" customHeight="1" s="101">
      <c r="A570" s="74" t="inlineStr">
        <is>
          <t>DS</t>
        </is>
      </c>
      <c r="B570" s="74" t="inlineStr">
        <is>
          <t>2021-2022</t>
        </is>
      </c>
      <c r="C570" s="74" t="inlineStr">
        <is>
          <t>Palay</t>
        </is>
      </c>
      <c r="D570" s="74" t="inlineStr">
        <is>
          <t>Harvest</t>
        </is>
      </c>
      <c r="E570" s="74" t="inlineStr">
        <is>
          <t>Tabuyoc</t>
        </is>
      </c>
      <c r="F570" s="85" t="n"/>
      <c r="G570" s="85" t="n"/>
      <c r="H570" s="85" t="n"/>
      <c r="I570" s="75" t="n">
        <v>0.8</v>
      </c>
      <c r="J570" s="75" t="n">
        <v>3.66</v>
      </c>
      <c r="K570" s="75" t="n">
        <v>4.58</v>
      </c>
    </row>
    <row r="571" ht="15" customHeight="1" s="101">
      <c r="A571" s="72" t="inlineStr">
        <is>
          <t>DS</t>
        </is>
      </c>
      <c r="B571" s="72" t="inlineStr">
        <is>
          <t>2021-2022</t>
        </is>
      </c>
      <c r="C571" s="72" t="inlineStr">
        <is>
          <t>Palay</t>
        </is>
      </c>
      <c r="D571" s="72" t="inlineStr">
        <is>
          <t>Harvest</t>
        </is>
      </c>
      <c r="E571" s="72" t="inlineStr">
        <is>
          <t>Camanggaan</t>
        </is>
      </c>
      <c r="F571" s="84" t="n"/>
      <c r="G571" s="84" t="n"/>
      <c r="H571" s="84" t="n"/>
      <c r="I571" s="73" t="n">
        <v>2.85</v>
      </c>
      <c r="J571" s="73" t="n">
        <v>16.13</v>
      </c>
      <c r="K571" s="73" t="n">
        <v>5.66</v>
      </c>
    </row>
    <row r="572" ht="15" customHeight="1" s="101">
      <c r="A572" s="74" t="inlineStr">
        <is>
          <t>DS</t>
        </is>
      </c>
      <c r="B572" s="74" t="inlineStr">
        <is>
          <t>2021-2022</t>
        </is>
      </c>
      <c r="C572" s="74" t="inlineStr">
        <is>
          <t>Palay</t>
        </is>
      </c>
      <c r="D572" s="74" t="inlineStr">
        <is>
          <t>Harvest</t>
        </is>
      </c>
      <c r="E572" s="74" t="inlineStr">
        <is>
          <t>Sta. Catalina</t>
        </is>
      </c>
      <c r="F572" s="85" t="n"/>
      <c r="G572" s="85" t="n"/>
      <c r="H572" s="85" t="n"/>
      <c r="I572" s="75" t="n">
        <v>1.3</v>
      </c>
      <c r="J572" s="75" t="n">
        <v>6.4</v>
      </c>
      <c r="K572" s="75" t="n">
        <v>4.92</v>
      </c>
    </row>
    <row r="573" ht="15" customHeight="1" s="101">
      <c r="A573" s="72" t="inlineStr">
        <is>
          <t>DS</t>
        </is>
      </c>
      <c r="B573" s="72" t="inlineStr">
        <is>
          <t>2021-2022</t>
        </is>
      </c>
      <c r="C573" s="72" t="inlineStr">
        <is>
          <t>Palay</t>
        </is>
      </c>
      <c r="D573" s="72" t="inlineStr">
        <is>
          <t>Harvest</t>
        </is>
      </c>
      <c r="E573" s="72" t="inlineStr">
        <is>
          <t>Sumabnit</t>
        </is>
      </c>
      <c r="F573" s="84" t="n"/>
      <c r="G573" s="84" t="n"/>
      <c r="H573" s="84" t="n"/>
      <c r="I573" s="73" t="n">
        <v>0.7</v>
      </c>
      <c r="J573" s="73" t="n">
        <v>3.66</v>
      </c>
      <c r="K573" s="73" t="n">
        <v>5.23</v>
      </c>
    </row>
    <row r="574" ht="15" customHeight="1" s="101">
      <c r="A574" s="74" t="inlineStr">
        <is>
          <t>DS</t>
        </is>
      </c>
      <c r="B574" s="74" t="inlineStr">
        <is>
          <t>2021-2022</t>
        </is>
      </c>
      <c r="C574" s="74" t="inlineStr">
        <is>
          <t>Palay</t>
        </is>
      </c>
      <c r="D574" s="74" t="inlineStr">
        <is>
          <t>Harvest</t>
        </is>
      </c>
      <c r="E574" s="74" t="inlineStr">
        <is>
          <t>Capas</t>
        </is>
      </c>
      <c r="F574" s="85" t="n"/>
      <c r="G574" s="85" t="n"/>
      <c r="H574" s="85" t="n"/>
      <c r="I574" s="75" t="n">
        <v>3.8</v>
      </c>
      <c r="J574" s="75" t="n">
        <v>19.77</v>
      </c>
      <c r="K574" s="75" t="n">
        <v>5.2</v>
      </c>
    </row>
    <row r="575" ht="15" customHeight="1" s="101">
      <c r="A575" s="72" t="inlineStr">
        <is>
          <t>DS</t>
        </is>
      </c>
      <c r="B575" s="72" t="inlineStr">
        <is>
          <t>2021-2022</t>
        </is>
      </c>
      <c r="C575" s="72" t="inlineStr">
        <is>
          <t>Palay</t>
        </is>
      </c>
      <c r="D575" s="72" t="inlineStr">
        <is>
          <t>Harvest</t>
        </is>
      </c>
      <c r="E575" s="72" t="inlineStr">
        <is>
          <t>Mangkasuy</t>
        </is>
      </c>
      <c r="F575" s="84" t="n"/>
      <c r="G575" s="84" t="n"/>
      <c r="H575" s="84" t="n"/>
      <c r="I575" s="73" t="n">
        <v>2.95</v>
      </c>
      <c r="J575" s="73" t="n">
        <v>19.38</v>
      </c>
      <c r="K575" s="73" t="n">
        <v>6.57</v>
      </c>
    </row>
    <row r="576" ht="15" customHeight="1" s="101">
      <c r="A576" s="74" t="inlineStr">
        <is>
          <t>DS</t>
        </is>
      </c>
      <c r="B576" s="74" t="inlineStr">
        <is>
          <t>2021-2022</t>
        </is>
      </c>
      <c r="C576" s="74" t="inlineStr">
        <is>
          <t>Palay</t>
        </is>
      </c>
      <c r="D576" s="74" t="inlineStr">
        <is>
          <t>Harvest</t>
        </is>
      </c>
      <c r="E576" s="74" t="inlineStr">
        <is>
          <t>San Pablo</t>
        </is>
      </c>
      <c r="F576" s="85" t="n"/>
      <c r="G576" s="85" t="n"/>
      <c r="H576" s="85" t="n"/>
      <c r="I576" s="75" t="n">
        <v>0.1</v>
      </c>
      <c r="J576" s="75" t="n">
        <v>0.47</v>
      </c>
      <c r="K576" s="75" t="n">
        <v>4.7</v>
      </c>
    </row>
    <row r="577" ht="15" customHeight="1" s="101">
      <c r="A577" s="72" t="inlineStr">
        <is>
          <t>DS</t>
        </is>
      </c>
      <c r="B577" s="72" t="inlineStr">
        <is>
          <t>2021-2022</t>
        </is>
      </c>
      <c r="C577" s="72" t="inlineStr">
        <is>
          <t>Palay</t>
        </is>
      </c>
      <c r="D577" s="72" t="inlineStr">
        <is>
          <t>Harvest</t>
        </is>
      </c>
      <c r="E577" s="72" t="inlineStr">
        <is>
          <t>Balangobong</t>
        </is>
      </c>
      <c r="F577" s="84" t="n"/>
      <c r="G577" s="84" t="n"/>
      <c r="H577" s="84" t="n"/>
      <c r="I577" s="73" t="n">
        <v>1.6</v>
      </c>
      <c r="J577" s="73" t="n">
        <v>8.24</v>
      </c>
      <c r="K577" s="73" t="n">
        <v>5.15</v>
      </c>
    </row>
    <row r="578" ht="15" customHeight="1" s="101">
      <c r="A578" s="74" t="inlineStr">
        <is>
          <t>DS</t>
        </is>
      </c>
      <c r="B578" s="74" t="inlineStr">
        <is>
          <t>2021-2022</t>
        </is>
      </c>
      <c r="C578" s="74" t="inlineStr">
        <is>
          <t>Palay</t>
        </is>
      </c>
      <c r="D578" s="74" t="inlineStr">
        <is>
          <t>Harvest</t>
        </is>
      </c>
      <c r="E578" s="74" t="inlineStr">
        <is>
          <t>San Felipe Central</t>
        </is>
      </c>
      <c r="F578" s="85" t="n"/>
      <c r="G578" s="85" t="n"/>
      <c r="H578" s="85" t="n"/>
      <c r="I578" s="75" t="n">
        <v>4.15</v>
      </c>
      <c r="J578" s="75" t="n">
        <v>23.86</v>
      </c>
      <c r="K578" s="75" t="n">
        <v>5.75</v>
      </c>
    </row>
    <row r="579" ht="15" customHeight="1" s="101">
      <c r="A579" s="72" t="inlineStr">
        <is>
          <t>DS</t>
        </is>
      </c>
      <c r="B579" s="72" t="inlineStr">
        <is>
          <t>2021-2022</t>
        </is>
      </c>
      <c r="C579" s="72" t="inlineStr">
        <is>
          <t>Palay</t>
        </is>
      </c>
      <c r="D579" s="72" t="inlineStr">
        <is>
          <t>Harvest</t>
        </is>
      </c>
      <c r="E579" s="72" t="inlineStr">
        <is>
          <t>San Felipe Sur</t>
        </is>
      </c>
      <c r="F579" s="84" t="n"/>
      <c r="G579" s="84" t="n"/>
      <c r="H579" s="84" t="n"/>
      <c r="I579" s="73" t="n">
        <v>3.2</v>
      </c>
      <c r="J579" s="73" t="n">
        <v>17.31</v>
      </c>
      <c r="K579" s="73" t="n">
        <v>5.41</v>
      </c>
    </row>
    <row r="580" ht="15" customHeight="1" s="101">
      <c r="A580" s="74" t="inlineStr">
        <is>
          <t>DS</t>
        </is>
      </c>
      <c r="B580" s="74" t="inlineStr">
        <is>
          <t>2021-2022</t>
        </is>
      </c>
      <c r="C580" s="74" t="inlineStr">
        <is>
          <t>Palay</t>
        </is>
      </c>
      <c r="D580" s="74" t="inlineStr">
        <is>
          <t>Harvest</t>
        </is>
      </c>
      <c r="E580" s="74" t="inlineStr">
        <is>
          <t>Pasileng Sur</t>
        </is>
      </c>
      <c r="F580" s="85" t="n"/>
      <c r="G580" s="85" t="n"/>
      <c r="H580" s="85" t="n"/>
      <c r="I580" s="75" t="n">
        <v>1.2</v>
      </c>
      <c r="J580" s="75" t="n">
        <v>5.84</v>
      </c>
      <c r="K580" s="75" t="n">
        <v>4.87</v>
      </c>
    </row>
    <row r="581" ht="15" customHeight="1" s="101">
      <c r="A581" s="72" t="inlineStr">
        <is>
          <t>DS</t>
        </is>
      </c>
      <c r="B581" s="72" t="inlineStr">
        <is>
          <t>2021-2022</t>
        </is>
      </c>
      <c r="C581" s="72" t="inlineStr">
        <is>
          <t>Palay</t>
        </is>
      </c>
      <c r="D581" s="72" t="inlineStr">
        <is>
          <t>Harvest</t>
        </is>
      </c>
      <c r="E581" s="72" t="inlineStr">
        <is>
          <t>Bugayong</t>
        </is>
      </c>
      <c r="F581" s="84" t="n"/>
      <c r="G581" s="84" t="n"/>
      <c r="H581" s="84" t="n"/>
      <c r="I581" s="73" t="n">
        <v>1</v>
      </c>
      <c r="J581" s="73" t="n">
        <v>4.5</v>
      </c>
      <c r="K581" s="73" t="n">
        <v>4.5</v>
      </c>
    </row>
    <row r="582" ht="15" customHeight="1" s="101">
      <c r="A582" s="74" t="inlineStr">
        <is>
          <t>DS</t>
        </is>
      </c>
      <c r="B582" s="74" t="inlineStr">
        <is>
          <t>2021-2022</t>
        </is>
      </c>
      <c r="C582" s="74" t="inlineStr">
        <is>
          <t>Palay</t>
        </is>
      </c>
      <c r="D582" s="74" t="inlineStr">
        <is>
          <t>Harvest</t>
        </is>
      </c>
      <c r="E582" s="74" t="inlineStr">
        <is>
          <t>Santiago</t>
        </is>
      </c>
      <c r="F582" s="85" t="n"/>
      <c r="G582" s="85" t="n"/>
      <c r="H582" s="85" t="n"/>
      <c r="I582" s="75" t="n">
        <v>1.5</v>
      </c>
      <c r="J582" s="75" t="n">
        <v>5.97</v>
      </c>
      <c r="K582" s="75" t="n">
        <v>3.98</v>
      </c>
    </row>
    <row r="583" ht="15" customHeight="1" s="101">
      <c r="A583" s="72" t="inlineStr">
        <is>
          <t>WS</t>
        </is>
      </c>
      <c r="B583" s="72" t="inlineStr">
        <is>
          <t>2021</t>
        </is>
      </c>
      <c r="C583" s="72" t="inlineStr">
        <is>
          <t>Palay</t>
        </is>
      </c>
      <c r="D583" s="72" t="inlineStr">
        <is>
          <t>Planting</t>
        </is>
      </c>
      <c r="E583" s="72" t="inlineStr">
        <is>
          <t>Pasileng Norte</t>
        </is>
      </c>
      <c r="F583" s="73" t="n">
        <v>78.34999999999999</v>
      </c>
      <c r="G583" s="73" t="n">
        <v>2.65</v>
      </c>
      <c r="H583" s="73" t="n">
        <v>81</v>
      </c>
      <c r="I583" s="84" t="n"/>
      <c r="J583" s="84" t="n"/>
      <c r="K583" s="84" t="n"/>
    </row>
    <row r="584" ht="15" customHeight="1" s="101">
      <c r="A584" s="74" t="inlineStr">
        <is>
          <t>WS</t>
        </is>
      </c>
      <c r="B584" s="74" t="inlineStr">
        <is>
          <t>2021</t>
        </is>
      </c>
      <c r="C584" s="74" t="inlineStr">
        <is>
          <t>Palay</t>
        </is>
      </c>
      <c r="D584" s="74" t="inlineStr">
        <is>
          <t>Planting</t>
        </is>
      </c>
      <c r="E584" s="74" t="inlineStr">
        <is>
          <t>Tabuyoc</t>
        </is>
      </c>
      <c r="F584" s="75" t="n">
        <v>134</v>
      </c>
      <c r="G584" s="75" t="n">
        <v>5</v>
      </c>
      <c r="H584" s="75" t="n">
        <v>139</v>
      </c>
      <c r="I584" s="85" t="n"/>
      <c r="J584" s="85" t="n"/>
      <c r="K584" s="85" t="n"/>
    </row>
    <row r="585" ht="15" customHeight="1" s="101">
      <c r="A585" s="72" t="inlineStr">
        <is>
          <t>WS</t>
        </is>
      </c>
      <c r="B585" s="72" t="inlineStr">
        <is>
          <t>2021</t>
        </is>
      </c>
      <c r="C585" s="72" t="inlineStr">
        <is>
          <t>Palay</t>
        </is>
      </c>
      <c r="D585" s="72" t="inlineStr">
        <is>
          <t>Planting</t>
        </is>
      </c>
      <c r="E585" s="72" t="inlineStr">
        <is>
          <t>Bued</t>
        </is>
      </c>
      <c r="F585" s="73" t="n">
        <v>56.5</v>
      </c>
      <c r="G585" s="73" t="n">
        <v>37.5</v>
      </c>
      <c r="H585" s="73" t="n">
        <v>94</v>
      </c>
      <c r="I585" s="84" t="n"/>
      <c r="J585" s="84" t="n"/>
      <c r="K585" s="84" t="n"/>
    </row>
    <row r="586" ht="15" customHeight="1" s="101">
      <c r="A586" s="74" t="inlineStr">
        <is>
          <t>WS</t>
        </is>
      </c>
      <c r="B586" s="74" t="inlineStr">
        <is>
          <t>2021</t>
        </is>
      </c>
      <c r="C586" s="74" t="inlineStr">
        <is>
          <t>Palay</t>
        </is>
      </c>
      <c r="D586" s="74" t="inlineStr">
        <is>
          <t>Planting</t>
        </is>
      </c>
      <c r="E586" s="74" t="inlineStr">
        <is>
          <t>Dumayat</t>
        </is>
      </c>
      <c r="F586" s="75" t="n">
        <v>56</v>
      </c>
      <c r="G586" s="75" t="n">
        <v>30</v>
      </c>
      <c r="H586" s="75" t="n">
        <v>86</v>
      </c>
      <c r="I586" s="85" t="n"/>
      <c r="J586" s="85" t="n"/>
      <c r="K586" s="85" t="n"/>
    </row>
    <row r="587" ht="15" customHeight="1" s="101">
      <c r="A587" s="72" t="inlineStr">
        <is>
          <t>WS</t>
        </is>
      </c>
      <c r="B587" s="72" t="inlineStr">
        <is>
          <t>2021</t>
        </is>
      </c>
      <c r="C587" s="72" t="inlineStr">
        <is>
          <t>Palay</t>
        </is>
      </c>
      <c r="D587" s="72" t="inlineStr">
        <is>
          <t>Planting</t>
        </is>
      </c>
      <c r="E587" s="72" t="inlineStr">
        <is>
          <t>Camanggaan</t>
        </is>
      </c>
      <c r="F587" s="73" t="n">
        <v>19</v>
      </c>
      <c r="G587" s="73" t="n">
        <v>68</v>
      </c>
      <c r="H587" s="73" t="n">
        <v>87</v>
      </c>
      <c r="I587" s="84" t="n"/>
      <c r="J587" s="84" t="n"/>
      <c r="K587" s="84" t="n"/>
    </row>
    <row r="588" ht="15" customHeight="1" s="101">
      <c r="A588" s="74" t="inlineStr">
        <is>
          <t>WS</t>
        </is>
      </c>
      <c r="B588" s="74" t="inlineStr">
        <is>
          <t>2021</t>
        </is>
      </c>
      <c r="C588" s="74" t="inlineStr">
        <is>
          <t>Palay</t>
        </is>
      </c>
      <c r="D588" s="74" t="inlineStr">
        <is>
          <t>Planting</t>
        </is>
      </c>
      <c r="E588" s="74" t="inlineStr">
        <is>
          <t>Vacante</t>
        </is>
      </c>
      <c r="F588" s="75" t="n">
        <v>28</v>
      </c>
      <c r="G588" s="75" t="n">
        <v>81</v>
      </c>
      <c r="H588" s="75" t="n">
        <v>109</v>
      </c>
      <c r="I588" s="85" t="n"/>
      <c r="J588" s="85" t="n"/>
      <c r="K588" s="85" t="n"/>
    </row>
    <row r="589" ht="15" customHeight="1" s="101">
      <c r="A589" s="72" t="inlineStr">
        <is>
          <t>WS</t>
        </is>
      </c>
      <c r="B589" s="72" t="inlineStr">
        <is>
          <t>2021</t>
        </is>
      </c>
      <c r="C589" s="72" t="inlineStr">
        <is>
          <t>Palay</t>
        </is>
      </c>
      <c r="D589" s="72" t="inlineStr">
        <is>
          <t>Planting</t>
        </is>
      </c>
      <c r="E589" s="72" t="inlineStr">
        <is>
          <t>Sta. Catalina</t>
        </is>
      </c>
      <c r="F589" s="73" t="n">
        <v>49</v>
      </c>
      <c r="G589" s="73" t="n">
        <v>180</v>
      </c>
      <c r="H589" s="73" t="n">
        <v>229</v>
      </c>
      <c r="I589" s="84" t="n"/>
      <c r="J589" s="84" t="n"/>
      <c r="K589" s="84" t="n"/>
    </row>
    <row r="590" ht="15" customHeight="1" s="101">
      <c r="A590" s="74" t="inlineStr">
        <is>
          <t>WS</t>
        </is>
      </c>
      <c r="B590" s="74" t="inlineStr">
        <is>
          <t>2021</t>
        </is>
      </c>
      <c r="C590" s="74" t="inlineStr">
        <is>
          <t>Palay</t>
        </is>
      </c>
      <c r="D590" s="74" t="inlineStr">
        <is>
          <t>Planting</t>
        </is>
      </c>
      <c r="E590" s="74" t="inlineStr">
        <is>
          <t>Moreno</t>
        </is>
      </c>
      <c r="F590" s="75" t="n">
        <v>47.4</v>
      </c>
      <c r="G590" s="75" t="n">
        <v>116.6</v>
      </c>
      <c r="H590" s="75" t="n">
        <v>164</v>
      </c>
      <c r="I590" s="85" t="n"/>
      <c r="J590" s="85" t="n"/>
      <c r="K590" s="85" t="n"/>
    </row>
    <row r="591" ht="15" customHeight="1" s="101">
      <c r="A591" s="72" t="inlineStr">
        <is>
          <t>WS</t>
        </is>
      </c>
      <c r="B591" s="72" t="inlineStr">
        <is>
          <t>2021</t>
        </is>
      </c>
      <c r="C591" s="72" t="inlineStr">
        <is>
          <t>Palay</t>
        </is>
      </c>
      <c r="D591" s="72" t="inlineStr">
        <is>
          <t>Planting</t>
        </is>
      </c>
      <c r="E591" s="72" t="inlineStr">
        <is>
          <t>Cili</t>
        </is>
      </c>
      <c r="F591" s="73" t="n">
        <v>40</v>
      </c>
      <c r="G591" s="73" t="n">
        <v>128</v>
      </c>
      <c r="H591" s="73" t="n">
        <v>168</v>
      </c>
      <c r="I591" s="84" t="n"/>
      <c r="J591" s="84" t="n"/>
      <c r="K591" s="84" t="n"/>
    </row>
    <row r="592" ht="15" customHeight="1" s="101">
      <c r="A592" s="74" t="inlineStr">
        <is>
          <t>WS</t>
        </is>
      </c>
      <c r="B592" s="74" t="inlineStr">
        <is>
          <t>2021</t>
        </is>
      </c>
      <c r="C592" s="74" t="inlineStr">
        <is>
          <t>Palay</t>
        </is>
      </c>
      <c r="D592" s="74" t="inlineStr">
        <is>
          <t>Planting</t>
        </is>
      </c>
      <c r="E592" s="74" t="inlineStr">
        <is>
          <t>Linmansangan</t>
        </is>
      </c>
      <c r="F592" s="75" t="n">
        <v>65.5</v>
      </c>
      <c r="G592" s="75" t="n">
        <v>129</v>
      </c>
      <c r="H592" s="75" t="n">
        <v>194.5</v>
      </c>
      <c r="I592" s="85" t="n"/>
      <c r="J592" s="85" t="n"/>
      <c r="K592" s="85" t="n"/>
    </row>
    <row r="593" ht="15" customHeight="1" s="101">
      <c r="A593" s="72" t="inlineStr">
        <is>
          <t>WS</t>
        </is>
      </c>
      <c r="B593" s="72" t="inlineStr">
        <is>
          <t>2021</t>
        </is>
      </c>
      <c r="C593" s="72" t="inlineStr">
        <is>
          <t>Palay</t>
        </is>
      </c>
      <c r="D593" s="72" t="inlineStr">
        <is>
          <t>Planting</t>
        </is>
      </c>
      <c r="E593" s="72" t="inlineStr">
        <is>
          <t>Sumabnit</t>
        </is>
      </c>
      <c r="F593" s="73" t="n">
        <v>133.3</v>
      </c>
      <c r="G593" s="73" t="n">
        <v>123.7</v>
      </c>
      <c r="H593" s="73" t="n">
        <v>257</v>
      </c>
      <c r="I593" s="84" t="n"/>
      <c r="J593" s="84" t="n"/>
      <c r="K593" s="84" t="n"/>
    </row>
    <row r="594" ht="15" customHeight="1" s="101">
      <c r="A594" s="74" t="inlineStr">
        <is>
          <t>WS</t>
        </is>
      </c>
      <c r="B594" s="74" t="inlineStr">
        <is>
          <t>2021</t>
        </is>
      </c>
      <c r="C594" s="74" t="inlineStr">
        <is>
          <t>Palay</t>
        </is>
      </c>
      <c r="D594" s="74" t="inlineStr">
        <is>
          <t>Planting</t>
        </is>
      </c>
      <c r="E594" s="74" t="inlineStr">
        <is>
          <t>Capas</t>
        </is>
      </c>
      <c r="F594" s="75" t="n">
        <v>139</v>
      </c>
      <c r="G594" s="75" t="n">
        <v>164</v>
      </c>
      <c r="H594" s="75" t="n">
        <v>303</v>
      </c>
      <c r="I594" s="85" t="n"/>
      <c r="J594" s="85" t="n"/>
      <c r="K594" s="85" t="n"/>
    </row>
    <row r="595" ht="15" customHeight="1" s="101">
      <c r="A595" s="72" t="inlineStr">
        <is>
          <t>WS</t>
        </is>
      </c>
      <c r="B595" s="72" t="inlineStr">
        <is>
          <t>2021</t>
        </is>
      </c>
      <c r="C595" s="72" t="inlineStr">
        <is>
          <t>Palay</t>
        </is>
      </c>
      <c r="D595" s="72" t="inlineStr">
        <is>
          <t>Planting</t>
        </is>
      </c>
      <c r="E595" s="72" t="inlineStr">
        <is>
          <t>Mangkasuy</t>
        </is>
      </c>
      <c r="F595" s="73" t="n">
        <v>90</v>
      </c>
      <c r="G595" s="73" t="n">
        <v>262</v>
      </c>
      <c r="H595" s="73" t="n">
        <v>352</v>
      </c>
      <c r="I595" s="84" t="n"/>
      <c r="J595" s="84" t="n"/>
      <c r="K595" s="84" t="n"/>
    </row>
    <row r="596" ht="15" customHeight="1" s="101">
      <c r="A596" s="74" t="inlineStr">
        <is>
          <t>WS</t>
        </is>
      </c>
      <c r="B596" s="74" t="inlineStr">
        <is>
          <t>2021</t>
        </is>
      </c>
      <c r="C596" s="74" t="inlineStr">
        <is>
          <t>Palay</t>
        </is>
      </c>
      <c r="D596" s="74" t="inlineStr">
        <is>
          <t>Planting</t>
        </is>
      </c>
      <c r="E596" s="74" t="inlineStr">
        <is>
          <t>San Pablo</t>
        </is>
      </c>
      <c r="F596" s="75" t="n">
        <v>103.5</v>
      </c>
      <c r="G596" s="75" t="n">
        <v>30.5</v>
      </c>
      <c r="H596" s="75" t="n">
        <v>134</v>
      </c>
      <c r="I596" s="85" t="n"/>
      <c r="J596" s="85" t="n"/>
      <c r="K596" s="85" t="n"/>
    </row>
    <row r="597" ht="15" customHeight="1" s="101">
      <c r="A597" s="72" t="inlineStr">
        <is>
          <t>WS</t>
        </is>
      </c>
      <c r="B597" s="72" t="inlineStr">
        <is>
          <t>2021</t>
        </is>
      </c>
      <c r="C597" s="72" t="inlineStr">
        <is>
          <t>Palay</t>
        </is>
      </c>
      <c r="D597" s="72" t="inlineStr">
        <is>
          <t>Planting</t>
        </is>
      </c>
      <c r="E597" s="72" t="inlineStr">
        <is>
          <t>Balangobong</t>
        </is>
      </c>
      <c r="F597" s="73" t="n">
        <v>120</v>
      </c>
      <c r="G597" s="73" t="n">
        <v>15</v>
      </c>
      <c r="H597" s="73" t="n">
        <v>135</v>
      </c>
      <c r="I597" s="84" t="n"/>
      <c r="J597" s="84" t="n"/>
      <c r="K597" s="84" t="n"/>
    </row>
    <row r="598" ht="15" customHeight="1" s="101">
      <c r="A598" s="74" t="inlineStr">
        <is>
          <t>WS</t>
        </is>
      </c>
      <c r="B598" s="74" t="inlineStr">
        <is>
          <t>2021</t>
        </is>
      </c>
      <c r="C598" s="74" t="inlineStr">
        <is>
          <t>Palay</t>
        </is>
      </c>
      <c r="D598" s="74" t="inlineStr">
        <is>
          <t>Planting</t>
        </is>
      </c>
      <c r="E598" s="74" t="inlineStr">
        <is>
          <t>San Felipe Central</t>
        </is>
      </c>
      <c r="F598" s="75" t="n">
        <v>117</v>
      </c>
      <c r="G598" s="75" t="n">
        <v>62</v>
      </c>
      <c r="H598" s="75" t="n">
        <v>179</v>
      </c>
      <c r="I598" s="85" t="n"/>
      <c r="J598" s="85" t="n"/>
      <c r="K598" s="85" t="n"/>
    </row>
    <row r="599" ht="15" customHeight="1" s="101">
      <c r="A599" s="72" t="inlineStr">
        <is>
          <t>WS</t>
        </is>
      </c>
      <c r="B599" s="72" t="inlineStr">
        <is>
          <t>2021</t>
        </is>
      </c>
      <c r="C599" s="72" t="inlineStr">
        <is>
          <t>Palay</t>
        </is>
      </c>
      <c r="D599" s="72" t="inlineStr">
        <is>
          <t>Planting</t>
        </is>
      </c>
      <c r="E599" s="72" t="inlineStr">
        <is>
          <t>San Felipe Sur</t>
        </is>
      </c>
      <c r="F599" s="73" t="n">
        <v>127.5</v>
      </c>
      <c r="G599" s="73" t="n">
        <v>50.5</v>
      </c>
      <c r="H599" s="73" t="n">
        <v>178</v>
      </c>
      <c r="I599" s="84" t="n"/>
      <c r="J599" s="84" t="n"/>
      <c r="K599" s="84" t="n"/>
    </row>
    <row r="600" ht="15" customHeight="1" s="101">
      <c r="A600" s="74" t="inlineStr">
        <is>
          <t>WS</t>
        </is>
      </c>
      <c r="B600" s="74" t="inlineStr">
        <is>
          <t>2021</t>
        </is>
      </c>
      <c r="C600" s="74" t="inlineStr">
        <is>
          <t>Palay</t>
        </is>
      </c>
      <c r="D600" s="74" t="inlineStr">
        <is>
          <t>Planting</t>
        </is>
      </c>
      <c r="E600" s="74" t="inlineStr">
        <is>
          <t>Pasileng Sur</t>
        </is>
      </c>
      <c r="F600" s="75" t="n">
        <v>150.9</v>
      </c>
      <c r="G600" s="75" t="n">
        <v>29.1</v>
      </c>
      <c r="H600" s="75" t="n">
        <v>180</v>
      </c>
      <c r="I600" s="85" t="n"/>
      <c r="J600" s="85" t="n"/>
      <c r="K600" s="85" t="n"/>
    </row>
    <row r="601" ht="15" customHeight="1" s="101">
      <c r="A601" s="72" t="inlineStr">
        <is>
          <t>WS</t>
        </is>
      </c>
      <c r="B601" s="72" t="inlineStr">
        <is>
          <t>2021</t>
        </is>
      </c>
      <c r="C601" s="72" t="inlineStr">
        <is>
          <t>Palay</t>
        </is>
      </c>
      <c r="D601" s="72" t="inlineStr">
        <is>
          <t>Planting</t>
        </is>
      </c>
      <c r="E601" s="72" t="inlineStr">
        <is>
          <t>Sta. Maria Norte</t>
        </is>
      </c>
      <c r="F601" s="73" t="n">
        <v>24.5</v>
      </c>
      <c r="G601" s="73" t="n">
        <v>43.5</v>
      </c>
      <c r="H601" s="73" t="n">
        <v>68</v>
      </c>
      <c r="I601" s="84" t="n"/>
      <c r="J601" s="84" t="n"/>
      <c r="K601" s="84" t="n"/>
    </row>
    <row r="602" ht="15" customHeight="1" s="101">
      <c r="A602" s="74" t="inlineStr">
        <is>
          <t>WS</t>
        </is>
      </c>
      <c r="B602" s="74" t="inlineStr">
        <is>
          <t>2021</t>
        </is>
      </c>
      <c r="C602" s="74" t="inlineStr">
        <is>
          <t>Palay</t>
        </is>
      </c>
      <c r="D602" s="74" t="inlineStr">
        <is>
          <t>Planting</t>
        </is>
      </c>
      <c r="E602" s="74" t="inlineStr">
        <is>
          <t>Bugayong</t>
        </is>
      </c>
      <c r="F602" s="75" t="n">
        <v>25.95</v>
      </c>
      <c r="G602" s="75" t="n">
        <v>52.05</v>
      </c>
      <c r="H602" s="75" t="n">
        <v>78</v>
      </c>
      <c r="I602" s="85" t="n"/>
      <c r="J602" s="85" t="n"/>
      <c r="K602" s="85" t="n"/>
    </row>
    <row r="603" ht="15" customHeight="1" s="101">
      <c r="A603" s="72" t="inlineStr">
        <is>
          <t>WS</t>
        </is>
      </c>
      <c r="B603" s="72" t="inlineStr">
        <is>
          <t>2021</t>
        </is>
      </c>
      <c r="C603" s="72" t="inlineStr">
        <is>
          <t>Palay</t>
        </is>
      </c>
      <c r="D603" s="72" t="inlineStr">
        <is>
          <t>Planting</t>
        </is>
      </c>
      <c r="E603" s="72" t="inlineStr">
        <is>
          <t>Santiago</t>
        </is>
      </c>
      <c r="F603" s="73" t="n">
        <v>103.6</v>
      </c>
      <c r="G603" s="73" t="n">
        <v>145.4</v>
      </c>
      <c r="H603" s="73" t="n">
        <v>249</v>
      </c>
      <c r="I603" s="84" t="n"/>
      <c r="J603" s="84" t="n"/>
      <c r="K603" s="84" t="n"/>
    </row>
    <row r="604" ht="15" customHeight="1" s="101">
      <c r="A604" s="74" t="inlineStr">
        <is>
          <t>WS</t>
        </is>
      </c>
      <c r="B604" s="74" t="inlineStr">
        <is>
          <t>2021</t>
        </is>
      </c>
      <c r="C604" s="74" t="inlineStr">
        <is>
          <t>Palay</t>
        </is>
      </c>
      <c r="D604" s="74" t="inlineStr">
        <is>
          <t>Harvest</t>
        </is>
      </c>
      <c r="E604" s="74" t="inlineStr">
        <is>
          <t>Pasileng Norte</t>
        </is>
      </c>
      <c r="F604" s="85" t="n"/>
      <c r="G604" s="85" t="n"/>
      <c r="H604" s="85" t="n"/>
      <c r="I604" s="75" t="n">
        <v>18.07</v>
      </c>
      <c r="J604" s="75" t="n">
        <v>92.89</v>
      </c>
      <c r="K604" s="75" t="n">
        <v>5.14</v>
      </c>
    </row>
    <row r="605" ht="15" customHeight="1" s="101">
      <c r="A605" s="72" t="inlineStr">
        <is>
          <t>WS</t>
        </is>
      </c>
      <c r="B605" s="72" t="inlineStr">
        <is>
          <t>2021</t>
        </is>
      </c>
      <c r="C605" s="72" t="inlineStr">
        <is>
          <t>Palay</t>
        </is>
      </c>
      <c r="D605" s="72" t="inlineStr">
        <is>
          <t>Harvest</t>
        </is>
      </c>
      <c r="E605" s="72" t="inlineStr">
        <is>
          <t>Tabuyoc</t>
        </is>
      </c>
      <c r="F605" s="84" t="n"/>
      <c r="G605" s="84" t="n"/>
      <c r="H605" s="84" t="n"/>
      <c r="I605" s="73" t="n">
        <v>16.06</v>
      </c>
      <c r="J605" s="73" t="n">
        <v>5.84</v>
      </c>
      <c r="K605" s="73" t="n">
        <v>0.36</v>
      </c>
    </row>
    <row r="606" ht="15" customHeight="1" s="101">
      <c r="A606" s="74" t="inlineStr">
        <is>
          <t>WS</t>
        </is>
      </c>
      <c r="B606" s="74" t="inlineStr">
        <is>
          <t>2021</t>
        </is>
      </c>
      <c r="C606" s="74" t="inlineStr">
        <is>
          <t>Palay</t>
        </is>
      </c>
      <c r="D606" s="74" t="inlineStr">
        <is>
          <t>Harvest</t>
        </is>
      </c>
      <c r="E606" s="74" t="inlineStr">
        <is>
          <t>Bued</t>
        </is>
      </c>
      <c r="F606" s="85" t="n"/>
      <c r="G606" s="85" t="n"/>
      <c r="H606" s="85" t="n"/>
      <c r="I606" s="75" t="n">
        <v>73.3</v>
      </c>
      <c r="J606" s="75" t="n">
        <v>157.91</v>
      </c>
      <c r="K606" s="75" t="n">
        <v>2.15</v>
      </c>
    </row>
    <row r="607" ht="15" customHeight="1" s="101">
      <c r="A607" s="72" t="inlineStr">
        <is>
          <t>WS</t>
        </is>
      </c>
      <c r="B607" s="72" t="inlineStr">
        <is>
          <t>2021</t>
        </is>
      </c>
      <c r="C607" s="72" t="inlineStr">
        <is>
          <t>Palay</t>
        </is>
      </c>
      <c r="D607" s="72" t="inlineStr">
        <is>
          <t>Harvest</t>
        </is>
      </c>
      <c r="E607" s="72" t="inlineStr">
        <is>
          <t>Dumayat</t>
        </is>
      </c>
      <c r="F607" s="84" t="n"/>
      <c r="G607" s="84" t="n"/>
      <c r="H607" s="84" t="n"/>
      <c r="I607" s="73" t="n">
        <v>70.11</v>
      </c>
      <c r="J607" s="73" t="n">
        <v>8</v>
      </c>
      <c r="K607" s="73" t="n">
        <v>0.11</v>
      </c>
    </row>
    <row r="608" ht="15" customHeight="1" s="101">
      <c r="A608" s="74" t="inlineStr">
        <is>
          <t>WS</t>
        </is>
      </c>
      <c r="B608" s="74" t="inlineStr">
        <is>
          <t>2021</t>
        </is>
      </c>
      <c r="C608" s="74" t="inlineStr">
        <is>
          <t>Palay</t>
        </is>
      </c>
      <c r="D608" s="74" t="inlineStr">
        <is>
          <t>Harvest</t>
        </is>
      </c>
      <c r="E608" s="74" t="inlineStr">
        <is>
          <t>Camanggaan</t>
        </is>
      </c>
      <c r="F608" s="85" t="n"/>
      <c r="G608" s="85" t="n"/>
      <c r="H608" s="85" t="n"/>
      <c r="I608" s="75" t="n">
        <v>6.85</v>
      </c>
      <c r="J608" s="75" t="n">
        <v>19.27</v>
      </c>
      <c r="K608" s="75" t="n">
        <v>2.81</v>
      </c>
    </row>
    <row r="609" ht="15" customHeight="1" s="101">
      <c r="A609" s="72" t="inlineStr">
        <is>
          <t>WS</t>
        </is>
      </c>
      <c r="B609" s="72" t="inlineStr">
        <is>
          <t>2021</t>
        </is>
      </c>
      <c r="C609" s="72" t="inlineStr">
        <is>
          <t>Palay</t>
        </is>
      </c>
      <c r="D609" s="72" t="inlineStr">
        <is>
          <t>Harvest</t>
        </is>
      </c>
      <c r="E609" s="72" t="inlineStr">
        <is>
          <t>Vacante</t>
        </is>
      </c>
      <c r="F609" s="84" t="n"/>
      <c r="G609" s="84" t="n"/>
      <c r="H609" s="84" t="n"/>
      <c r="I609" s="73" t="n">
        <v>6.37</v>
      </c>
      <c r="J609" s="73" t="n">
        <v>8.34</v>
      </c>
      <c r="K609" s="73" t="n">
        <v>1.31</v>
      </c>
    </row>
    <row r="610" ht="15" customHeight="1" s="101">
      <c r="A610" s="74" t="inlineStr">
        <is>
          <t>WS</t>
        </is>
      </c>
      <c r="B610" s="74" t="inlineStr">
        <is>
          <t>2021</t>
        </is>
      </c>
      <c r="C610" s="74" t="inlineStr">
        <is>
          <t>Palay</t>
        </is>
      </c>
      <c r="D610" s="74" t="inlineStr">
        <is>
          <t>Harvest</t>
        </is>
      </c>
      <c r="E610" s="74" t="inlineStr">
        <is>
          <t>Sta. Catalina</t>
        </is>
      </c>
      <c r="F610" s="85" t="n"/>
      <c r="G610" s="85" t="n"/>
      <c r="H610" s="85" t="n"/>
      <c r="I610" s="75" t="n">
        <v>13.47</v>
      </c>
      <c r="J610" s="75" t="n">
        <v>94.73999999999999</v>
      </c>
      <c r="K610" s="75" t="n">
        <v>7.03</v>
      </c>
    </row>
    <row r="611" ht="15" customHeight="1" s="101">
      <c r="A611" s="72" t="inlineStr">
        <is>
          <t>WS</t>
        </is>
      </c>
      <c r="B611" s="72" t="inlineStr">
        <is>
          <t>2021</t>
        </is>
      </c>
      <c r="C611" s="72" t="inlineStr">
        <is>
          <t>Palay</t>
        </is>
      </c>
      <c r="D611" s="72" t="inlineStr">
        <is>
          <t>Harvest</t>
        </is>
      </c>
      <c r="E611" s="72" t="inlineStr">
        <is>
          <t>Moreno</t>
        </is>
      </c>
      <c r="F611" s="84" t="n"/>
      <c r="G611" s="84" t="n"/>
      <c r="H611" s="84" t="n"/>
      <c r="I611" s="73" t="n">
        <v>45.72</v>
      </c>
      <c r="J611" s="73" t="n">
        <v>126.27</v>
      </c>
      <c r="K611" s="73" t="n">
        <v>2.76</v>
      </c>
    </row>
    <row r="612" ht="15" customHeight="1" s="101">
      <c r="A612" s="74" t="inlineStr">
        <is>
          <t>WS</t>
        </is>
      </c>
      <c r="B612" s="74" t="inlineStr">
        <is>
          <t>2021</t>
        </is>
      </c>
      <c r="C612" s="74" t="inlineStr">
        <is>
          <t>Palay</t>
        </is>
      </c>
      <c r="D612" s="74" t="inlineStr">
        <is>
          <t>Harvest</t>
        </is>
      </c>
      <c r="E612" s="74" t="inlineStr">
        <is>
          <t>Cili</t>
        </is>
      </c>
      <c r="F612" s="85" t="n"/>
      <c r="G612" s="85" t="n"/>
      <c r="H612" s="85" t="n"/>
      <c r="I612" s="75" t="n">
        <v>75.14</v>
      </c>
      <c r="J612" s="75" t="n">
        <v>5.28</v>
      </c>
      <c r="K612" s="75" t="n">
        <v>0.07000000000000001</v>
      </c>
    </row>
    <row r="613" ht="15" customHeight="1" s="101">
      <c r="A613" s="72" t="inlineStr">
        <is>
          <t>WS</t>
        </is>
      </c>
      <c r="B613" s="72" t="inlineStr">
        <is>
          <t>2021</t>
        </is>
      </c>
      <c r="C613" s="72" t="inlineStr">
        <is>
          <t>Palay</t>
        </is>
      </c>
      <c r="D613" s="72" t="inlineStr">
        <is>
          <t>Harvest</t>
        </is>
      </c>
      <c r="E613" s="72" t="inlineStr">
        <is>
          <t>Linmansangan</t>
        </is>
      </c>
      <c r="F613" s="84" t="n"/>
      <c r="G613" s="84" t="n"/>
      <c r="H613" s="84" t="n"/>
      <c r="I613" s="73" t="n">
        <v>88.77</v>
      </c>
      <c r="J613" s="73" t="n">
        <v>157.93</v>
      </c>
      <c r="K613" s="73" t="n">
        <v>1.78</v>
      </c>
    </row>
    <row r="614" ht="15" customHeight="1" s="101">
      <c r="A614" s="74" t="inlineStr">
        <is>
          <t>WS</t>
        </is>
      </c>
      <c r="B614" s="74" t="inlineStr">
        <is>
          <t>2021</t>
        </is>
      </c>
      <c r="C614" s="74" t="inlineStr">
        <is>
          <t>Palay</t>
        </is>
      </c>
      <c r="D614" s="74" t="inlineStr">
        <is>
          <t>Harvest</t>
        </is>
      </c>
      <c r="E614" s="74" t="inlineStr">
        <is>
          <t>Sumabnit</t>
        </is>
      </c>
      <c r="F614" s="85" t="n"/>
      <c r="G614" s="85" t="n"/>
      <c r="H614" s="85" t="n"/>
      <c r="I614" s="75" t="n">
        <v>17.44</v>
      </c>
      <c r="J614" s="75" t="n">
        <v>79.06</v>
      </c>
      <c r="K614" s="75" t="n">
        <v>4.53</v>
      </c>
    </row>
    <row r="615" ht="15" customHeight="1" s="101">
      <c r="A615" s="72" t="inlineStr">
        <is>
          <t>WS</t>
        </is>
      </c>
      <c r="B615" s="72" t="inlineStr">
        <is>
          <t>2021</t>
        </is>
      </c>
      <c r="C615" s="72" t="inlineStr">
        <is>
          <t>Palay</t>
        </is>
      </c>
      <c r="D615" s="72" t="inlineStr">
        <is>
          <t>Harvest</t>
        </is>
      </c>
      <c r="E615" s="72" t="inlineStr">
        <is>
          <t>Capas</t>
        </is>
      </c>
      <c r="F615" s="84" t="n"/>
      <c r="G615" s="84" t="n"/>
      <c r="H615" s="84" t="n"/>
      <c r="I615" s="73" t="n">
        <v>2.73</v>
      </c>
      <c r="J615" s="73" t="n">
        <v>21.84</v>
      </c>
      <c r="K615" s="73" t="n">
        <v>8</v>
      </c>
    </row>
    <row r="616" ht="15" customHeight="1" s="101">
      <c r="A616" s="74" t="inlineStr">
        <is>
          <t>WS</t>
        </is>
      </c>
      <c r="B616" s="74" t="inlineStr">
        <is>
          <t>2021</t>
        </is>
      </c>
      <c r="C616" s="74" t="inlineStr">
        <is>
          <t>Palay</t>
        </is>
      </c>
      <c r="D616" s="74" t="inlineStr">
        <is>
          <t>Harvest</t>
        </is>
      </c>
      <c r="E616" s="74" t="inlineStr">
        <is>
          <t>Mangkasuy</t>
        </is>
      </c>
      <c r="F616" s="85" t="n"/>
      <c r="G616" s="85" t="n"/>
      <c r="H616" s="85" t="n"/>
      <c r="I616" s="75" t="n">
        <v>50.15</v>
      </c>
      <c r="J616" s="75" t="n">
        <v>97.64</v>
      </c>
      <c r="K616" s="75" t="n">
        <v>1.95</v>
      </c>
    </row>
    <row r="617" ht="15" customHeight="1" s="101">
      <c r="A617" s="72" t="inlineStr">
        <is>
          <t>WS</t>
        </is>
      </c>
      <c r="B617" s="72" t="inlineStr">
        <is>
          <t>2021</t>
        </is>
      </c>
      <c r="C617" s="72" t="inlineStr">
        <is>
          <t>Palay</t>
        </is>
      </c>
      <c r="D617" s="72" t="inlineStr">
        <is>
          <t>Harvest</t>
        </is>
      </c>
      <c r="E617" s="72" t="inlineStr">
        <is>
          <t>San Pablo</t>
        </is>
      </c>
      <c r="F617" s="84" t="n"/>
      <c r="G617" s="84" t="n"/>
      <c r="H617" s="84" t="n"/>
      <c r="I617" s="73" t="n">
        <v>32.37</v>
      </c>
      <c r="J617" s="73" t="n">
        <v>79.22</v>
      </c>
      <c r="K617" s="73" t="n">
        <v>2.45</v>
      </c>
    </row>
    <row r="618" ht="15" customHeight="1" s="101">
      <c r="A618" s="74" t="inlineStr">
        <is>
          <t>WS</t>
        </is>
      </c>
      <c r="B618" s="74" t="inlineStr">
        <is>
          <t>2021</t>
        </is>
      </c>
      <c r="C618" s="74" t="inlineStr">
        <is>
          <t>Palay</t>
        </is>
      </c>
      <c r="D618" s="74" t="inlineStr">
        <is>
          <t>Harvest</t>
        </is>
      </c>
      <c r="E618" s="74" t="inlineStr">
        <is>
          <t>Balangobong</t>
        </is>
      </c>
      <c r="F618" s="85" t="n"/>
      <c r="G618" s="85" t="n"/>
      <c r="H618" s="85" t="n"/>
      <c r="I618" s="75" t="n">
        <v>97.12</v>
      </c>
      <c r="J618" s="75" t="n">
        <v>307.78</v>
      </c>
      <c r="K618" s="75" t="n">
        <v>3.17</v>
      </c>
    </row>
    <row r="619" ht="15" customHeight="1" s="101">
      <c r="A619" s="72" t="inlineStr">
        <is>
          <t>WS</t>
        </is>
      </c>
      <c r="B619" s="72" t="inlineStr">
        <is>
          <t>2021</t>
        </is>
      </c>
      <c r="C619" s="72" t="inlineStr">
        <is>
          <t>Palay</t>
        </is>
      </c>
      <c r="D619" s="72" t="inlineStr">
        <is>
          <t>Harvest</t>
        </is>
      </c>
      <c r="E619" s="72" t="inlineStr">
        <is>
          <t>San Felipe Central</t>
        </is>
      </c>
      <c r="F619" s="84" t="n"/>
      <c r="G619" s="84" t="n"/>
      <c r="H619" s="84" t="n"/>
      <c r="I619" s="73" t="n">
        <v>20.12</v>
      </c>
      <c r="J619" s="73" t="n">
        <v>5.51</v>
      </c>
      <c r="K619" s="73" t="n">
        <v>0.27</v>
      </c>
    </row>
    <row r="620" ht="15" customHeight="1" s="101">
      <c r="A620" s="74" t="inlineStr">
        <is>
          <t>WS</t>
        </is>
      </c>
      <c r="B620" s="74" t="inlineStr">
        <is>
          <t>2021</t>
        </is>
      </c>
      <c r="C620" s="74" t="inlineStr">
        <is>
          <t>Palay</t>
        </is>
      </c>
      <c r="D620" s="74" t="inlineStr">
        <is>
          <t>Harvest</t>
        </is>
      </c>
      <c r="E620" s="74" t="inlineStr">
        <is>
          <t>San Felipe Sur</t>
        </is>
      </c>
      <c r="F620" s="85" t="n"/>
      <c r="G620" s="85" t="n"/>
      <c r="H620" s="85" t="n"/>
      <c r="I620" s="75" t="n">
        <v>54.06</v>
      </c>
      <c r="J620" s="75" t="n">
        <v>11.5</v>
      </c>
      <c r="K620" s="75" t="n">
        <v>0.21</v>
      </c>
    </row>
    <row r="621" ht="15" customHeight="1" s="101">
      <c r="A621" s="72" t="inlineStr">
        <is>
          <t>WS</t>
        </is>
      </c>
      <c r="B621" s="72" t="inlineStr">
        <is>
          <t>2021</t>
        </is>
      </c>
      <c r="C621" s="72" t="inlineStr">
        <is>
          <t>Palay</t>
        </is>
      </c>
      <c r="D621" s="72" t="inlineStr">
        <is>
          <t>Harvest</t>
        </is>
      </c>
      <c r="E621" s="72" t="inlineStr">
        <is>
          <t>Pasileng Sur</t>
        </is>
      </c>
      <c r="F621" s="84" t="n"/>
      <c r="G621" s="84" t="n"/>
      <c r="H621" s="84" t="n"/>
      <c r="I621" s="73" t="n">
        <v>17.25</v>
      </c>
      <c r="J621" s="73" t="n">
        <v>4.94</v>
      </c>
      <c r="K621" s="73" t="n">
        <v>0.29</v>
      </c>
    </row>
    <row r="622" ht="15" customHeight="1" s="101">
      <c r="A622" s="74" t="inlineStr">
        <is>
          <t>WS</t>
        </is>
      </c>
      <c r="B622" s="74" t="inlineStr">
        <is>
          <t>2021</t>
        </is>
      </c>
      <c r="C622" s="74" t="inlineStr">
        <is>
          <t>Palay</t>
        </is>
      </c>
      <c r="D622" s="74" t="inlineStr">
        <is>
          <t>Harvest</t>
        </is>
      </c>
      <c r="E622" s="74" t="inlineStr">
        <is>
          <t>Sta. Maria Norte</t>
        </is>
      </c>
      <c r="F622" s="85" t="n"/>
      <c r="G622" s="85" t="n"/>
      <c r="H622" s="85" t="n"/>
      <c r="I622" s="75" t="n">
        <v>40.09</v>
      </c>
      <c r="J622" s="75" t="n">
        <v>9.619999999999999</v>
      </c>
      <c r="K622" s="75" t="n">
        <v>0.24</v>
      </c>
    </row>
    <row r="623" ht="15" customHeight="1" s="101">
      <c r="A623" s="72" t="inlineStr">
        <is>
          <t>WS</t>
        </is>
      </c>
      <c r="B623" s="72" t="inlineStr">
        <is>
          <t>2021</t>
        </is>
      </c>
      <c r="C623" s="72" t="inlineStr">
        <is>
          <t>Palay</t>
        </is>
      </c>
      <c r="D623" s="72" t="inlineStr">
        <is>
          <t>Harvest</t>
        </is>
      </c>
      <c r="E623" s="72" t="inlineStr">
        <is>
          <t>Bugayong</t>
        </is>
      </c>
      <c r="F623" s="84" t="n"/>
      <c r="G623" s="84" t="n"/>
      <c r="H623" s="84" t="n"/>
      <c r="I623" s="73" t="n">
        <v>24.91</v>
      </c>
      <c r="J623" s="73" t="n">
        <v>76.68000000000001</v>
      </c>
      <c r="K623" s="73" t="n">
        <v>3.08</v>
      </c>
    </row>
    <row r="624" ht="15" customHeight="1" s="101">
      <c r="A624" s="74" t="inlineStr">
        <is>
          <t>WS</t>
        </is>
      </c>
      <c r="B624" s="74" t="inlineStr">
        <is>
          <t>2021</t>
        </is>
      </c>
      <c r="C624" s="74" t="inlineStr">
        <is>
          <t>Palay</t>
        </is>
      </c>
      <c r="D624" s="74" t="inlineStr">
        <is>
          <t>Harvest</t>
        </is>
      </c>
      <c r="E624" s="74" t="inlineStr">
        <is>
          <t>Santiago</t>
        </is>
      </c>
      <c r="F624" s="85" t="n"/>
      <c r="G624" s="85" t="n"/>
      <c r="H624" s="85" t="n"/>
      <c r="I624" s="75" t="n">
        <v>17.46</v>
      </c>
      <c r="J624" s="75" t="n">
        <v>137.84</v>
      </c>
      <c r="K624" s="75" t="n">
        <v>7.89</v>
      </c>
    </row>
    <row r="625" ht="15" customHeight="1" s="101">
      <c r="A625" s="72" t="inlineStr">
        <is>
          <t>WS</t>
        </is>
      </c>
      <c r="B625" s="72" t="inlineStr">
        <is>
          <t>2022</t>
        </is>
      </c>
      <c r="C625" s="72" t="inlineStr">
        <is>
          <t>Palay</t>
        </is>
      </c>
      <c r="D625" s="72" t="inlineStr">
        <is>
          <t>Planting</t>
        </is>
      </c>
      <c r="E625" s="72" t="inlineStr">
        <is>
          <t>Pasileng Norte</t>
        </is>
      </c>
      <c r="F625" s="73" t="n">
        <v>78.34999999999999</v>
      </c>
      <c r="G625" s="73" t="n">
        <v>2.65</v>
      </c>
      <c r="H625" s="73" t="n">
        <v>81</v>
      </c>
      <c r="I625" s="84" t="n"/>
      <c r="J625" s="84" t="n"/>
      <c r="K625" s="84" t="n"/>
    </row>
    <row r="626" ht="15" customHeight="1" s="101">
      <c r="A626" s="74" t="inlineStr">
        <is>
          <t>WS</t>
        </is>
      </c>
      <c r="B626" s="74" t="inlineStr">
        <is>
          <t>2022</t>
        </is>
      </c>
      <c r="C626" s="74" t="inlineStr">
        <is>
          <t>Palay</t>
        </is>
      </c>
      <c r="D626" s="74" t="inlineStr">
        <is>
          <t>Planting</t>
        </is>
      </c>
      <c r="E626" s="74" t="inlineStr">
        <is>
          <t>Tabuyoc</t>
        </is>
      </c>
      <c r="F626" s="75" t="n">
        <v>134</v>
      </c>
      <c r="G626" s="75" t="n">
        <v>5</v>
      </c>
      <c r="H626" s="75" t="n">
        <v>139</v>
      </c>
      <c r="I626" s="85" t="n"/>
      <c r="J626" s="85" t="n"/>
      <c r="K626" s="85" t="n"/>
    </row>
    <row r="627" ht="15" customHeight="1" s="101">
      <c r="A627" s="72" t="inlineStr">
        <is>
          <t>WS</t>
        </is>
      </c>
      <c r="B627" s="72" t="inlineStr">
        <is>
          <t>2022</t>
        </is>
      </c>
      <c r="C627" s="72" t="inlineStr">
        <is>
          <t>Palay</t>
        </is>
      </c>
      <c r="D627" s="72" t="inlineStr">
        <is>
          <t>Planting</t>
        </is>
      </c>
      <c r="E627" s="72" t="inlineStr">
        <is>
          <t>Bued</t>
        </is>
      </c>
      <c r="F627" s="73" t="n">
        <v>56.5</v>
      </c>
      <c r="G627" s="73" t="n">
        <v>37.5</v>
      </c>
      <c r="H627" s="73" t="n">
        <v>94</v>
      </c>
      <c r="I627" s="84" t="n"/>
      <c r="J627" s="84" t="n"/>
      <c r="K627" s="84" t="n"/>
    </row>
    <row r="628" ht="15" customHeight="1" s="101">
      <c r="A628" s="74" t="inlineStr">
        <is>
          <t>WS</t>
        </is>
      </c>
      <c r="B628" s="74" t="inlineStr">
        <is>
          <t>2022</t>
        </is>
      </c>
      <c r="C628" s="74" t="inlineStr">
        <is>
          <t>Palay</t>
        </is>
      </c>
      <c r="D628" s="74" t="inlineStr">
        <is>
          <t>Planting</t>
        </is>
      </c>
      <c r="E628" s="74" t="inlineStr">
        <is>
          <t>Dumayat</t>
        </is>
      </c>
      <c r="F628" s="75" t="n">
        <v>56</v>
      </c>
      <c r="G628" s="75" t="n">
        <v>30</v>
      </c>
      <c r="H628" s="75" t="n">
        <v>86</v>
      </c>
      <c r="I628" s="85" t="n"/>
      <c r="J628" s="85" t="n"/>
      <c r="K628" s="85" t="n"/>
    </row>
    <row r="629" ht="15" customHeight="1" s="101">
      <c r="A629" s="72" t="inlineStr">
        <is>
          <t>WS</t>
        </is>
      </c>
      <c r="B629" s="72" t="inlineStr">
        <is>
          <t>2022</t>
        </is>
      </c>
      <c r="C629" s="72" t="inlineStr">
        <is>
          <t>Palay</t>
        </is>
      </c>
      <c r="D629" s="72" t="inlineStr">
        <is>
          <t>Planting</t>
        </is>
      </c>
      <c r="E629" s="72" t="inlineStr">
        <is>
          <t>Camanggaan</t>
        </is>
      </c>
      <c r="F629" s="73" t="n">
        <v>19</v>
      </c>
      <c r="G629" s="73" t="n">
        <v>68</v>
      </c>
      <c r="H629" s="73" t="n">
        <v>87</v>
      </c>
      <c r="I629" s="84" t="n"/>
      <c r="J629" s="84" t="n"/>
      <c r="K629" s="84" t="n"/>
    </row>
    <row r="630" ht="15" customHeight="1" s="101">
      <c r="A630" s="74" t="inlineStr">
        <is>
          <t>WS</t>
        </is>
      </c>
      <c r="B630" s="74" t="inlineStr">
        <is>
          <t>2022</t>
        </is>
      </c>
      <c r="C630" s="74" t="inlineStr">
        <is>
          <t>Palay</t>
        </is>
      </c>
      <c r="D630" s="74" t="inlineStr">
        <is>
          <t>Planting</t>
        </is>
      </c>
      <c r="E630" s="74" t="inlineStr">
        <is>
          <t>Vacante</t>
        </is>
      </c>
      <c r="F630" s="75" t="n">
        <v>28</v>
      </c>
      <c r="G630" s="75" t="n">
        <v>81</v>
      </c>
      <c r="H630" s="75" t="n">
        <v>109</v>
      </c>
      <c r="I630" s="85" t="n"/>
      <c r="J630" s="85" t="n"/>
      <c r="K630" s="85" t="n"/>
    </row>
    <row r="631" ht="15" customHeight="1" s="101">
      <c r="A631" s="72" t="inlineStr">
        <is>
          <t>WS</t>
        </is>
      </c>
      <c r="B631" s="72" t="inlineStr">
        <is>
          <t>2022</t>
        </is>
      </c>
      <c r="C631" s="72" t="inlineStr">
        <is>
          <t>Palay</t>
        </is>
      </c>
      <c r="D631" s="72" t="inlineStr">
        <is>
          <t>Planting</t>
        </is>
      </c>
      <c r="E631" s="72" t="inlineStr">
        <is>
          <t>Sta. Catalina</t>
        </is>
      </c>
      <c r="F631" s="73" t="n">
        <v>49</v>
      </c>
      <c r="G631" s="73" t="n">
        <v>180</v>
      </c>
      <c r="H631" s="73" t="n">
        <v>229</v>
      </c>
      <c r="I631" s="84" t="n"/>
      <c r="J631" s="84" t="n"/>
      <c r="K631" s="84" t="n"/>
    </row>
    <row r="632" ht="15" customHeight="1" s="101">
      <c r="A632" s="74" t="inlineStr">
        <is>
          <t>WS</t>
        </is>
      </c>
      <c r="B632" s="74" t="inlineStr">
        <is>
          <t>2022</t>
        </is>
      </c>
      <c r="C632" s="74" t="inlineStr">
        <is>
          <t>Palay</t>
        </is>
      </c>
      <c r="D632" s="74" t="inlineStr">
        <is>
          <t>Planting</t>
        </is>
      </c>
      <c r="E632" s="74" t="inlineStr">
        <is>
          <t>Moreno</t>
        </is>
      </c>
      <c r="F632" s="75" t="n">
        <v>47.4</v>
      </c>
      <c r="G632" s="75" t="n">
        <v>116.6</v>
      </c>
      <c r="H632" s="75" t="n">
        <v>164</v>
      </c>
      <c r="I632" s="85" t="n"/>
      <c r="J632" s="85" t="n"/>
      <c r="K632" s="85" t="n"/>
    </row>
    <row r="633" ht="15" customHeight="1" s="101">
      <c r="A633" s="72" t="inlineStr">
        <is>
          <t>WS</t>
        </is>
      </c>
      <c r="B633" s="72" t="inlineStr">
        <is>
          <t>2022</t>
        </is>
      </c>
      <c r="C633" s="72" t="inlineStr">
        <is>
          <t>Palay</t>
        </is>
      </c>
      <c r="D633" s="72" t="inlineStr">
        <is>
          <t>Planting</t>
        </is>
      </c>
      <c r="E633" s="72" t="inlineStr">
        <is>
          <t>Cili</t>
        </is>
      </c>
      <c r="F633" s="73" t="n">
        <v>40</v>
      </c>
      <c r="G633" s="73" t="n">
        <v>128</v>
      </c>
      <c r="H633" s="73" t="n">
        <v>168</v>
      </c>
      <c r="I633" s="84" t="n"/>
      <c r="J633" s="84" t="n"/>
      <c r="K633" s="84" t="n"/>
    </row>
    <row r="634" ht="15" customHeight="1" s="101">
      <c r="A634" s="74" t="inlineStr">
        <is>
          <t>WS</t>
        </is>
      </c>
      <c r="B634" s="74" t="inlineStr">
        <is>
          <t>2022</t>
        </is>
      </c>
      <c r="C634" s="74" t="inlineStr">
        <is>
          <t>Palay</t>
        </is>
      </c>
      <c r="D634" s="74" t="inlineStr">
        <is>
          <t>Planting</t>
        </is>
      </c>
      <c r="E634" s="74" t="inlineStr">
        <is>
          <t>Linmansangan</t>
        </is>
      </c>
      <c r="F634" s="75" t="n">
        <v>65.5</v>
      </c>
      <c r="G634" s="75" t="n">
        <v>129</v>
      </c>
      <c r="H634" s="75" t="n">
        <v>194.5</v>
      </c>
      <c r="I634" s="85" t="n"/>
      <c r="J634" s="85" t="n"/>
      <c r="K634" s="85" t="n"/>
    </row>
    <row r="635" ht="15" customHeight="1" s="101">
      <c r="A635" s="72" t="inlineStr">
        <is>
          <t>WS</t>
        </is>
      </c>
      <c r="B635" s="72" t="inlineStr">
        <is>
          <t>2022</t>
        </is>
      </c>
      <c r="C635" s="72" t="inlineStr">
        <is>
          <t>Palay</t>
        </is>
      </c>
      <c r="D635" s="72" t="inlineStr">
        <is>
          <t>Planting</t>
        </is>
      </c>
      <c r="E635" s="72" t="inlineStr">
        <is>
          <t>Sumabnit</t>
        </is>
      </c>
      <c r="F635" s="73" t="n">
        <v>133.3</v>
      </c>
      <c r="G635" s="73" t="n">
        <v>123.7</v>
      </c>
      <c r="H635" s="73" t="n">
        <v>257</v>
      </c>
      <c r="I635" s="84" t="n"/>
      <c r="J635" s="84" t="n"/>
      <c r="K635" s="84" t="n"/>
    </row>
    <row r="636" ht="15" customHeight="1" s="101">
      <c r="A636" s="74" t="inlineStr">
        <is>
          <t>WS</t>
        </is>
      </c>
      <c r="B636" s="74" t="inlineStr">
        <is>
          <t>2022</t>
        </is>
      </c>
      <c r="C636" s="74" t="inlineStr">
        <is>
          <t>Palay</t>
        </is>
      </c>
      <c r="D636" s="74" t="inlineStr">
        <is>
          <t>Planting</t>
        </is>
      </c>
      <c r="E636" s="74" t="inlineStr">
        <is>
          <t>Capas</t>
        </is>
      </c>
      <c r="F636" s="75" t="n">
        <v>139</v>
      </c>
      <c r="G636" s="75" t="n">
        <v>164</v>
      </c>
      <c r="H636" s="75" t="n">
        <v>303</v>
      </c>
      <c r="I636" s="85" t="n"/>
      <c r="J636" s="85" t="n"/>
      <c r="K636" s="85" t="n"/>
    </row>
    <row r="637" ht="15" customHeight="1" s="101">
      <c r="A637" s="72" t="inlineStr">
        <is>
          <t>WS</t>
        </is>
      </c>
      <c r="B637" s="72" t="inlineStr">
        <is>
          <t>2022</t>
        </is>
      </c>
      <c r="C637" s="72" t="inlineStr">
        <is>
          <t>Palay</t>
        </is>
      </c>
      <c r="D637" s="72" t="inlineStr">
        <is>
          <t>Planting</t>
        </is>
      </c>
      <c r="E637" s="72" t="inlineStr">
        <is>
          <t>Mangkasuy</t>
        </is>
      </c>
      <c r="F637" s="73" t="n">
        <v>90</v>
      </c>
      <c r="G637" s="73" t="n">
        <v>262</v>
      </c>
      <c r="H637" s="73" t="n">
        <v>352</v>
      </c>
      <c r="I637" s="84" t="n"/>
      <c r="J637" s="84" t="n"/>
      <c r="K637" s="84" t="n"/>
    </row>
    <row r="638" ht="15" customHeight="1" s="101">
      <c r="A638" s="74" t="inlineStr">
        <is>
          <t>WS</t>
        </is>
      </c>
      <c r="B638" s="74" t="inlineStr">
        <is>
          <t>2022</t>
        </is>
      </c>
      <c r="C638" s="74" t="inlineStr">
        <is>
          <t>Palay</t>
        </is>
      </c>
      <c r="D638" s="74" t="inlineStr">
        <is>
          <t>Planting</t>
        </is>
      </c>
      <c r="E638" s="74" t="inlineStr">
        <is>
          <t>San Pablo</t>
        </is>
      </c>
      <c r="F638" s="75" t="n">
        <v>103.5</v>
      </c>
      <c r="G638" s="75" t="n">
        <v>30.5</v>
      </c>
      <c r="H638" s="75" t="n">
        <v>134</v>
      </c>
      <c r="I638" s="85" t="n"/>
      <c r="J638" s="85" t="n"/>
      <c r="K638" s="85" t="n"/>
    </row>
    <row r="639" ht="15" customHeight="1" s="101">
      <c r="A639" s="72" t="inlineStr">
        <is>
          <t>WS</t>
        </is>
      </c>
      <c r="B639" s="72" t="inlineStr">
        <is>
          <t>2022</t>
        </is>
      </c>
      <c r="C639" s="72" t="inlineStr">
        <is>
          <t>Palay</t>
        </is>
      </c>
      <c r="D639" s="72" t="inlineStr">
        <is>
          <t>Planting</t>
        </is>
      </c>
      <c r="E639" s="72" t="inlineStr">
        <is>
          <t>Balangobong</t>
        </is>
      </c>
      <c r="F639" s="73" t="n">
        <v>120</v>
      </c>
      <c r="G639" s="73" t="n">
        <v>15</v>
      </c>
      <c r="H639" s="73" t="n">
        <v>135</v>
      </c>
      <c r="I639" s="84" t="n"/>
      <c r="J639" s="84" t="n"/>
      <c r="K639" s="84" t="n"/>
    </row>
    <row r="640" ht="15" customHeight="1" s="101">
      <c r="A640" s="74" t="inlineStr">
        <is>
          <t>WS</t>
        </is>
      </c>
      <c r="B640" s="74" t="inlineStr">
        <is>
          <t>2022</t>
        </is>
      </c>
      <c r="C640" s="74" t="inlineStr">
        <is>
          <t>Palay</t>
        </is>
      </c>
      <c r="D640" s="74" t="inlineStr">
        <is>
          <t>Planting</t>
        </is>
      </c>
      <c r="E640" s="74" t="inlineStr">
        <is>
          <t>San Felipe Central</t>
        </is>
      </c>
      <c r="F640" s="75" t="n">
        <v>117</v>
      </c>
      <c r="G640" s="75" t="n">
        <v>62</v>
      </c>
      <c r="H640" s="75" t="n">
        <v>179</v>
      </c>
      <c r="I640" s="85" t="n"/>
      <c r="J640" s="85" t="n"/>
      <c r="K640" s="85" t="n"/>
    </row>
    <row r="641" ht="15" customHeight="1" s="101">
      <c r="A641" s="72" t="inlineStr">
        <is>
          <t>WS</t>
        </is>
      </c>
      <c r="B641" s="72" t="inlineStr">
        <is>
          <t>2022</t>
        </is>
      </c>
      <c r="C641" s="72" t="inlineStr">
        <is>
          <t>Palay</t>
        </is>
      </c>
      <c r="D641" s="72" t="inlineStr">
        <is>
          <t>Planting</t>
        </is>
      </c>
      <c r="E641" s="72" t="inlineStr">
        <is>
          <t>San Felipe Sur</t>
        </is>
      </c>
      <c r="F641" s="73" t="n">
        <v>127.5</v>
      </c>
      <c r="G641" s="73" t="n">
        <v>50.5</v>
      </c>
      <c r="H641" s="73" t="n">
        <v>178</v>
      </c>
      <c r="I641" s="84" t="n"/>
      <c r="J641" s="84" t="n"/>
      <c r="K641" s="84" t="n"/>
    </row>
    <row r="642" ht="15" customHeight="1" s="101">
      <c r="A642" s="74" t="inlineStr">
        <is>
          <t>WS</t>
        </is>
      </c>
      <c r="B642" s="74" t="inlineStr">
        <is>
          <t>2022</t>
        </is>
      </c>
      <c r="C642" s="74" t="inlineStr">
        <is>
          <t>Palay</t>
        </is>
      </c>
      <c r="D642" s="74" t="inlineStr">
        <is>
          <t>Planting</t>
        </is>
      </c>
      <c r="E642" s="74" t="inlineStr">
        <is>
          <t>Pasileng Sur</t>
        </is>
      </c>
      <c r="F642" s="75" t="n">
        <v>150.9</v>
      </c>
      <c r="G642" s="75" t="n">
        <v>29.1</v>
      </c>
      <c r="H642" s="75" t="n">
        <v>180</v>
      </c>
      <c r="I642" s="85" t="n"/>
      <c r="J642" s="85" t="n"/>
      <c r="K642" s="85" t="n"/>
    </row>
    <row r="643" ht="15" customHeight="1" s="101">
      <c r="A643" s="72" t="inlineStr">
        <is>
          <t>WS</t>
        </is>
      </c>
      <c r="B643" s="72" t="inlineStr">
        <is>
          <t>2022</t>
        </is>
      </c>
      <c r="C643" s="72" t="inlineStr">
        <is>
          <t>Palay</t>
        </is>
      </c>
      <c r="D643" s="72" t="inlineStr">
        <is>
          <t>Planting</t>
        </is>
      </c>
      <c r="E643" s="72" t="inlineStr">
        <is>
          <t>Sta. Maria Norte</t>
        </is>
      </c>
      <c r="F643" s="73" t="n">
        <v>24.5</v>
      </c>
      <c r="G643" s="73" t="n">
        <v>43.5</v>
      </c>
      <c r="H643" s="73" t="n">
        <v>68</v>
      </c>
      <c r="I643" s="84" t="n"/>
      <c r="J643" s="84" t="n"/>
      <c r="K643" s="84" t="n"/>
    </row>
    <row r="644" ht="15" customHeight="1" s="101">
      <c r="A644" s="74" t="inlineStr">
        <is>
          <t>WS</t>
        </is>
      </c>
      <c r="B644" s="74" t="inlineStr">
        <is>
          <t>2022</t>
        </is>
      </c>
      <c r="C644" s="74" t="inlineStr">
        <is>
          <t>Palay</t>
        </is>
      </c>
      <c r="D644" s="74" t="inlineStr">
        <is>
          <t>Planting</t>
        </is>
      </c>
      <c r="E644" s="74" t="inlineStr">
        <is>
          <t>Bugayong</t>
        </is>
      </c>
      <c r="F644" s="75" t="n">
        <v>25.95</v>
      </c>
      <c r="G644" s="75" t="n">
        <v>52.05</v>
      </c>
      <c r="H644" s="75" t="n">
        <v>78</v>
      </c>
      <c r="I644" s="85" t="n"/>
      <c r="J644" s="85" t="n"/>
      <c r="K644" s="85" t="n"/>
    </row>
    <row r="645" ht="15" customHeight="1" s="101">
      <c r="A645" s="72" t="inlineStr">
        <is>
          <t>WS</t>
        </is>
      </c>
      <c r="B645" s="72" t="inlineStr">
        <is>
          <t>2022</t>
        </is>
      </c>
      <c r="C645" s="72" t="inlineStr">
        <is>
          <t>Palay</t>
        </is>
      </c>
      <c r="D645" s="72" t="inlineStr">
        <is>
          <t>Planting</t>
        </is>
      </c>
      <c r="E645" s="72" t="inlineStr">
        <is>
          <t>Santiago</t>
        </is>
      </c>
      <c r="F645" s="73" t="n">
        <v>103.6</v>
      </c>
      <c r="G645" s="73" t="n">
        <v>145.4</v>
      </c>
      <c r="H645" s="73" t="n">
        <v>249</v>
      </c>
      <c r="I645" s="84" t="n"/>
      <c r="J645" s="84" t="n"/>
      <c r="K645" s="84" t="n"/>
    </row>
    <row r="646" ht="15" customHeight="1" s="101">
      <c r="A646" s="74" t="inlineStr">
        <is>
          <t>WS</t>
        </is>
      </c>
      <c r="B646" s="74" t="inlineStr">
        <is>
          <t>2022</t>
        </is>
      </c>
      <c r="C646" s="74" t="inlineStr">
        <is>
          <t>Palay</t>
        </is>
      </c>
      <c r="D646" s="74" t="inlineStr">
        <is>
          <t>Harvest</t>
        </is>
      </c>
      <c r="E646" s="74" t="inlineStr">
        <is>
          <t>Pasileng Norte</t>
        </is>
      </c>
      <c r="F646" s="85" t="n"/>
      <c r="G646" s="85" t="n"/>
      <c r="H646" s="85" t="n"/>
      <c r="I646" s="75" t="n">
        <v>68.01000000000001</v>
      </c>
      <c r="J646" s="75" t="n">
        <v>0</v>
      </c>
      <c r="K646" s="75" t="n">
        <v>0</v>
      </c>
    </row>
    <row r="647" ht="15" customHeight="1" s="101">
      <c r="A647" s="72" t="inlineStr">
        <is>
          <t>WS</t>
        </is>
      </c>
      <c r="B647" s="72" t="inlineStr">
        <is>
          <t>2022</t>
        </is>
      </c>
      <c r="C647" s="72" t="inlineStr">
        <is>
          <t>Palay</t>
        </is>
      </c>
      <c r="D647" s="72" t="inlineStr">
        <is>
          <t>Harvest</t>
        </is>
      </c>
      <c r="E647" s="72" t="inlineStr">
        <is>
          <t>Tabuyoc</t>
        </is>
      </c>
      <c r="F647" s="84" t="n"/>
      <c r="G647" s="84" t="n"/>
      <c r="H647" s="84" t="n"/>
      <c r="I647" s="73" t="n">
        <v>3.64</v>
      </c>
      <c r="J647" s="73" t="n">
        <v>0</v>
      </c>
      <c r="K647" s="73" t="n">
        <v>0</v>
      </c>
    </row>
    <row r="648" ht="15" customHeight="1" s="101">
      <c r="A648" s="74" t="inlineStr">
        <is>
          <t>WS</t>
        </is>
      </c>
      <c r="B648" s="74" t="inlineStr">
        <is>
          <t>2022</t>
        </is>
      </c>
      <c r="C648" s="74" t="inlineStr">
        <is>
          <t>Palay</t>
        </is>
      </c>
      <c r="D648" s="74" t="inlineStr">
        <is>
          <t>Harvest</t>
        </is>
      </c>
      <c r="E648" s="74" t="inlineStr">
        <is>
          <t>Bued</t>
        </is>
      </c>
      <c r="F648" s="85" t="n"/>
      <c r="G648" s="85" t="n"/>
      <c r="H648" s="85" t="n"/>
      <c r="I648" s="75" t="n">
        <v>103.25</v>
      </c>
      <c r="J648" s="75" t="n">
        <v>0</v>
      </c>
      <c r="K648" s="75" t="n">
        <v>0</v>
      </c>
    </row>
    <row r="649" ht="15" customHeight="1" s="101">
      <c r="A649" s="72" t="inlineStr">
        <is>
          <t>WS</t>
        </is>
      </c>
      <c r="B649" s="72" t="inlineStr">
        <is>
          <t>2022</t>
        </is>
      </c>
      <c r="C649" s="72" t="inlineStr">
        <is>
          <t>Palay</t>
        </is>
      </c>
      <c r="D649" s="72" t="inlineStr">
        <is>
          <t>Harvest</t>
        </is>
      </c>
      <c r="E649" s="72" t="inlineStr">
        <is>
          <t>Dumayat</t>
        </is>
      </c>
      <c r="F649" s="84" t="n"/>
      <c r="G649" s="84" t="n"/>
      <c r="H649" s="84" t="n"/>
      <c r="I649" s="73" t="n">
        <v>90.31</v>
      </c>
      <c r="J649" s="73" t="n">
        <v>0</v>
      </c>
      <c r="K649" s="73" t="n">
        <v>0</v>
      </c>
    </row>
    <row r="650" ht="15" customHeight="1" s="101">
      <c r="A650" s="74" t="inlineStr">
        <is>
          <t>WS</t>
        </is>
      </c>
      <c r="B650" s="74" t="inlineStr">
        <is>
          <t>2022</t>
        </is>
      </c>
      <c r="C650" s="74" t="inlineStr">
        <is>
          <t>Palay</t>
        </is>
      </c>
      <c r="D650" s="74" t="inlineStr">
        <is>
          <t>Harvest</t>
        </is>
      </c>
      <c r="E650" s="74" t="inlineStr">
        <is>
          <t>Camanggaan</t>
        </is>
      </c>
      <c r="F650" s="85" t="n"/>
      <c r="G650" s="85" t="n"/>
      <c r="H650" s="85" t="n"/>
      <c r="I650" s="75" t="n">
        <v>4.62</v>
      </c>
      <c r="J650" s="75" t="n">
        <v>0</v>
      </c>
      <c r="K650" s="75" t="n">
        <v>0</v>
      </c>
    </row>
    <row r="651" ht="15" customHeight="1" s="101">
      <c r="A651" s="72" t="inlineStr">
        <is>
          <t>WS</t>
        </is>
      </c>
      <c r="B651" s="72" t="inlineStr">
        <is>
          <t>2022</t>
        </is>
      </c>
      <c r="C651" s="72" t="inlineStr">
        <is>
          <t>Palay</t>
        </is>
      </c>
      <c r="D651" s="72" t="inlineStr">
        <is>
          <t>Harvest</t>
        </is>
      </c>
      <c r="E651" s="72" t="inlineStr">
        <is>
          <t>Vacante</t>
        </is>
      </c>
      <c r="F651" s="84" t="n"/>
      <c r="G651" s="84" t="n"/>
      <c r="H651" s="84" t="n"/>
      <c r="I651" s="73" t="n">
        <v>29.89</v>
      </c>
      <c r="J651" s="73" t="n">
        <v>0</v>
      </c>
      <c r="K651" s="73" t="n">
        <v>0</v>
      </c>
    </row>
    <row r="652" ht="15" customHeight="1" s="101">
      <c r="A652" s="74" t="inlineStr">
        <is>
          <t>WS</t>
        </is>
      </c>
      <c r="B652" s="74" t="inlineStr">
        <is>
          <t>2022</t>
        </is>
      </c>
      <c r="C652" s="74" t="inlineStr">
        <is>
          <t>Palay</t>
        </is>
      </c>
      <c r="D652" s="74" t="inlineStr">
        <is>
          <t>Harvest</t>
        </is>
      </c>
      <c r="E652" s="74" t="inlineStr">
        <is>
          <t>Sta. Catalina</t>
        </is>
      </c>
      <c r="F652" s="85" t="n"/>
      <c r="G652" s="85" t="n"/>
      <c r="H652" s="85" t="n"/>
      <c r="I652" s="75" t="n">
        <v>4.5</v>
      </c>
      <c r="J652" s="75" t="n">
        <v>0</v>
      </c>
      <c r="K652" s="75" t="n">
        <v>0</v>
      </c>
    </row>
    <row r="653" ht="15" customHeight="1" s="101">
      <c r="A653" s="72" t="inlineStr">
        <is>
          <t>WS</t>
        </is>
      </c>
      <c r="B653" s="72" t="inlineStr">
        <is>
          <t>2022</t>
        </is>
      </c>
      <c r="C653" s="72" t="inlineStr">
        <is>
          <t>Palay</t>
        </is>
      </c>
      <c r="D653" s="72" t="inlineStr">
        <is>
          <t>Harvest</t>
        </is>
      </c>
      <c r="E653" s="72" t="inlineStr">
        <is>
          <t>Moreno</t>
        </is>
      </c>
      <c r="F653" s="84" t="n"/>
      <c r="G653" s="84" t="n"/>
      <c r="H653" s="84" t="n"/>
      <c r="I653" s="73" t="n">
        <v>72.02</v>
      </c>
      <c r="J653" s="73" t="n">
        <v>0</v>
      </c>
      <c r="K653" s="73" t="n">
        <v>0</v>
      </c>
    </row>
    <row r="654" ht="15" customHeight="1" s="101">
      <c r="A654" s="74" t="inlineStr">
        <is>
          <t>WS</t>
        </is>
      </c>
      <c r="B654" s="74" t="inlineStr">
        <is>
          <t>2022</t>
        </is>
      </c>
      <c r="C654" s="74" t="inlineStr">
        <is>
          <t>Palay</t>
        </is>
      </c>
      <c r="D654" s="74" t="inlineStr">
        <is>
          <t>Harvest</t>
        </is>
      </c>
      <c r="E654" s="74" t="inlineStr">
        <is>
          <t>Cili</t>
        </is>
      </c>
      <c r="F654" s="85" t="n"/>
      <c r="G654" s="85" t="n"/>
      <c r="H654" s="85" t="n"/>
      <c r="I654" s="75" t="n">
        <v>103.25</v>
      </c>
      <c r="J654" s="75" t="n">
        <v>0</v>
      </c>
      <c r="K654" s="75" t="n">
        <v>0</v>
      </c>
    </row>
    <row r="655" ht="15" customHeight="1" s="101">
      <c r="A655" s="72" t="inlineStr">
        <is>
          <t>WS</t>
        </is>
      </c>
      <c r="B655" s="72" t="inlineStr">
        <is>
          <t>2022</t>
        </is>
      </c>
      <c r="C655" s="72" t="inlineStr">
        <is>
          <t>Palay</t>
        </is>
      </c>
      <c r="D655" s="72" t="inlineStr">
        <is>
          <t>Harvest</t>
        </is>
      </c>
      <c r="E655" s="72" t="inlineStr">
        <is>
          <t>Linmansangan</t>
        </is>
      </c>
      <c r="F655" s="84" t="n"/>
      <c r="G655" s="84" t="n"/>
      <c r="H655" s="84" t="n"/>
      <c r="I655" s="73" t="n">
        <v>94.2</v>
      </c>
      <c r="J655" s="73" t="n">
        <v>0</v>
      </c>
      <c r="K655" s="73" t="n">
        <v>0</v>
      </c>
    </row>
    <row r="656" ht="15" customHeight="1" s="101">
      <c r="A656" s="74" t="inlineStr">
        <is>
          <t>WS</t>
        </is>
      </c>
      <c r="B656" s="74" t="inlineStr">
        <is>
          <t>2022</t>
        </is>
      </c>
      <c r="C656" s="74" t="inlineStr">
        <is>
          <t>Palay</t>
        </is>
      </c>
      <c r="D656" s="74" t="inlineStr">
        <is>
          <t>Harvest</t>
        </is>
      </c>
      <c r="E656" s="74" t="inlineStr">
        <is>
          <t>Sumabnit</t>
        </is>
      </c>
      <c r="F656" s="85" t="n"/>
      <c r="G656" s="85" t="n"/>
      <c r="H656" s="85" t="n"/>
      <c r="I656" s="75" t="n">
        <v>61.91</v>
      </c>
      <c r="J656" s="75" t="n">
        <v>0</v>
      </c>
      <c r="K656" s="75" t="n">
        <v>0</v>
      </c>
    </row>
    <row r="657" ht="15" customHeight="1" s="101">
      <c r="A657" s="72" t="inlineStr">
        <is>
          <t>WS</t>
        </is>
      </c>
      <c r="B657" s="72" t="inlineStr">
        <is>
          <t>2022</t>
        </is>
      </c>
      <c r="C657" s="72" t="inlineStr">
        <is>
          <t>Palay</t>
        </is>
      </c>
      <c r="D657" s="72" t="inlineStr">
        <is>
          <t>Harvest</t>
        </is>
      </c>
      <c r="E657" s="72" t="inlineStr">
        <is>
          <t>Capas</t>
        </is>
      </c>
      <c r="F657" s="84" t="n"/>
      <c r="G657" s="84" t="n"/>
      <c r="H657" s="84" t="n"/>
      <c r="I657" s="73" t="n">
        <v>4.87</v>
      </c>
      <c r="J657" s="73" t="n">
        <v>0</v>
      </c>
      <c r="K657" s="73" t="n">
        <v>0</v>
      </c>
    </row>
    <row r="658" ht="15" customHeight="1" s="101">
      <c r="A658" s="74" t="inlineStr">
        <is>
          <t>WS</t>
        </is>
      </c>
      <c r="B658" s="74" t="inlineStr">
        <is>
          <t>2022</t>
        </is>
      </c>
      <c r="C658" s="74" t="inlineStr">
        <is>
          <t>Palay</t>
        </is>
      </c>
      <c r="D658" s="74" t="inlineStr">
        <is>
          <t>Harvest</t>
        </is>
      </c>
      <c r="E658" s="74" t="inlineStr">
        <is>
          <t>Mangkasuy</t>
        </is>
      </c>
      <c r="F658" s="85" t="n"/>
      <c r="G658" s="85" t="n"/>
      <c r="H658" s="85" t="n"/>
      <c r="I658" s="75" t="n">
        <v>74.68000000000001</v>
      </c>
      <c r="J658" s="75" t="n">
        <v>0</v>
      </c>
      <c r="K658" s="75" t="n">
        <v>0</v>
      </c>
    </row>
    <row r="659" ht="15" customHeight="1" s="101">
      <c r="A659" s="72" t="inlineStr">
        <is>
          <t>WS</t>
        </is>
      </c>
      <c r="B659" s="72" t="inlineStr">
        <is>
          <t>2022</t>
        </is>
      </c>
      <c r="C659" s="72" t="inlineStr">
        <is>
          <t>Palay</t>
        </is>
      </c>
      <c r="D659" s="72" t="inlineStr">
        <is>
          <t>Harvest</t>
        </is>
      </c>
      <c r="E659" s="72" t="inlineStr">
        <is>
          <t>San Pablo</t>
        </is>
      </c>
      <c r="F659" s="84" t="n"/>
      <c r="G659" s="84" t="n"/>
      <c r="H659" s="84" t="n"/>
      <c r="I659" s="73" t="n">
        <v>74.72</v>
      </c>
      <c r="J659" s="73" t="n">
        <v>0</v>
      </c>
      <c r="K659" s="73" t="n">
        <v>0</v>
      </c>
    </row>
    <row r="660" ht="15" customHeight="1" s="101">
      <c r="A660" s="74" t="inlineStr">
        <is>
          <t>WS</t>
        </is>
      </c>
      <c r="B660" s="74" t="inlineStr">
        <is>
          <t>2022</t>
        </is>
      </c>
      <c r="C660" s="74" t="inlineStr">
        <is>
          <t>Palay</t>
        </is>
      </c>
      <c r="D660" s="74" t="inlineStr">
        <is>
          <t>Harvest</t>
        </is>
      </c>
      <c r="E660" s="74" t="inlineStr">
        <is>
          <t>Balangobong</t>
        </is>
      </c>
      <c r="F660" s="85" t="n"/>
      <c r="G660" s="85" t="n"/>
      <c r="H660" s="85" t="n"/>
      <c r="I660" s="75" t="n">
        <v>103.25</v>
      </c>
      <c r="J660" s="75" t="n">
        <v>0</v>
      </c>
      <c r="K660" s="75" t="n">
        <v>0</v>
      </c>
    </row>
    <row r="661" ht="15" customHeight="1" s="101">
      <c r="A661" s="72" t="inlineStr">
        <is>
          <t>WS</t>
        </is>
      </c>
      <c r="B661" s="72" t="inlineStr">
        <is>
          <t>2022</t>
        </is>
      </c>
      <c r="C661" s="72" t="inlineStr">
        <is>
          <t>Palay</t>
        </is>
      </c>
      <c r="D661" s="72" t="inlineStr">
        <is>
          <t>Harvest</t>
        </is>
      </c>
      <c r="E661" s="72" t="inlineStr">
        <is>
          <t>San Felipe Central</t>
        </is>
      </c>
      <c r="F661" s="84" t="n"/>
      <c r="G661" s="84" t="n"/>
      <c r="H661" s="84" t="n"/>
      <c r="I661" s="73" t="n">
        <v>103.25</v>
      </c>
      <c r="J661" s="73" t="n">
        <v>0</v>
      </c>
      <c r="K661" s="73" t="n">
        <v>0</v>
      </c>
    </row>
    <row r="662" ht="15" customHeight="1" s="101">
      <c r="A662" s="74" t="inlineStr">
        <is>
          <t>WS</t>
        </is>
      </c>
      <c r="B662" s="74" t="inlineStr">
        <is>
          <t>2022</t>
        </is>
      </c>
      <c r="C662" s="74" t="inlineStr">
        <is>
          <t>Palay</t>
        </is>
      </c>
      <c r="D662" s="74" t="inlineStr">
        <is>
          <t>Harvest</t>
        </is>
      </c>
      <c r="E662" s="74" t="inlineStr">
        <is>
          <t>San Felipe Sur</t>
        </is>
      </c>
      <c r="F662" s="85" t="n"/>
      <c r="G662" s="85" t="n"/>
      <c r="H662" s="85" t="n"/>
      <c r="I662" s="75" t="n">
        <v>92.20999999999999</v>
      </c>
      <c r="J662" s="75" t="n">
        <v>0</v>
      </c>
      <c r="K662" s="75" t="n">
        <v>0</v>
      </c>
    </row>
    <row r="663" ht="15" customHeight="1" s="101">
      <c r="A663" s="72" t="inlineStr">
        <is>
          <t>WS</t>
        </is>
      </c>
      <c r="B663" s="72" t="inlineStr">
        <is>
          <t>2022</t>
        </is>
      </c>
      <c r="C663" s="72" t="inlineStr">
        <is>
          <t>Palay</t>
        </is>
      </c>
      <c r="D663" s="72" t="inlineStr">
        <is>
          <t>Harvest</t>
        </is>
      </c>
      <c r="E663" s="72" t="inlineStr">
        <is>
          <t>Pasileng Sur</t>
        </is>
      </c>
      <c r="F663" s="84" t="n"/>
      <c r="G663" s="84" t="n"/>
      <c r="H663" s="84" t="n"/>
      <c r="I663" s="73" t="n">
        <v>89.52</v>
      </c>
      <c r="J663" s="73" t="n">
        <v>0</v>
      </c>
      <c r="K663" s="73" t="n">
        <v>0</v>
      </c>
    </row>
    <row r="664" ht="15" customHeight="1" s="101">
      <c r="A664" s="74" t="inlineStr">
        <is>
          <t>WS</t>
        </is>
      </c>
      <c r="B664" s="74" t="inlineStr">
        <is>
          <t>2022</t>
        </is>
      </c>
      <c r="C664" s="74" t="inlineStr">
        <is>
          <t>Palay</t>
        </is>
      </c>
      <c r="D664" s="74" t="inlineStr">
        <is>
          <t>Harvest</t>
        </is>
      </c>
      <c r="E664" s="74" t="inlineStr">
        <is>
          <t>Sta. Maria Norte</t>
        </is>
      </c>
      <c r="F664" s="85" t="n"/>
      <c r="G664" s="85" t="n"/>
      <c r="H664" s="85" t="n"/>
      <c r="I664" s="75" t="n">
        <v>41.4</v>
      </c>
      <c r="J664" s="75" t="n">
        <v>0</v>
      </c>
      <c r="K664" s="75" t="n">
        <v>0</v>
      </c>
    </row>
    <row r="665" ht="15" customHeight="1" s="101">
      <c r="A665" s="72" t="inlineStr">
        <is>
          <t>WS</t>
        </is>
      </c>
      <c r="B665" s="72" t="inlineStr">
        <is>
          <t>2022</t>
        </is>
      </c>
      <c r="C665" s="72" t="inlineStr">
        <is>
          <t>Palay</t>
        </is>
      </c>
      <c r="D665" s="72" t="inlineStr">
        <is>
          <t>Harvest</t>
        </is>
      </c>
      <c r="E665" s="72" t="inlineStr">
        <is>
          <t>Bugayong</t>
        </is>
      </c>
      <c r="F665" s="84" t="n"/>
      <c r="G665" s="84" t="n"/>
      <c r="H665" s="84" t="n"/>
      <c r="I665" s="73" t="n">
        <v>20.34</v>
      </c>
      <c r="J665" s="73" t="n">
        <v>0</v>
      </c>
      <c r="K665" s="73" t="n">
        <v>0</v>
      </c>
    </row>
    <row r="666" ht="15" customHeight="1" s="101">
      <c r="A666" s="74" t="inlineStr">
        <is>
          <t>WS</t>
        </is>
      </c>
      <c r="B666" s="74" t="inlineStr">
        <is>
          <t>2022</t>
        </is>
      </c>
      <c r="C666" s="74" t="inlineStr">
        <is>
          <t>Palay</t>
        </is>
      </c>
      <c r="D666" s="74" t="inlineStr">
        <is>
          <t>Harvest</t>
        </is>
      </c>
      <c r="E666" s="74" t="inlineStr">
        <is>
          <t>Santiago</t>
        </is>
      </c>
      <c r="F666" s="85" t="n"/>
      <c r="G666" s="85" t="n"/>
      <c r="H666" s="85" t="n"/>
      <c r="I666" s="75" t="n">
        <v>38.3</v>
      </c>
      <c r="J666" s="75" t="n">
        <v>0</v>
      </c>
      <c r="K666" s="75" t="n">
        <v>0</v>
      </c>
    </row>
    <row r="667" ht="15" customHeight="1" s="101">
      <c r="A667" s="86" t="inlineStr">
        <is>
          <t>DS</t>
        </is>
      </c>
      <c r="B667" s="86" t="inlineStr">
        <is>
          <t>2020-2021</t>
        </is>
      </c>
      <c r="C667" s="86" t="inlineStr">
        <is>
          <t>Corn</t>
        </is>
      </c>
      <c r="D667" s="86" t="inlineStr">
        <is>
          <t>Planting</t>
        </is>
      </c>
      <c r="E667" s="86" t="inlineStr">
        <is>
          <t>Pasileng Norte</t>
        </is>
      </c>
      <c r="F667" s="87" t="n"/>
      <c r="G667" s="87" t="n"/>
      <c r="H667" s="88" t="n">
        <v>35.8</v>
      </c>
      <c r="I667" s="87" t="n"/>
      <c r="J667" s="87" t="n"/>
      <c r="K667" s="87" t="n"/>
    </row>
    <row r="668" ht="15" customHeight="1" s="101">
      <c r="A668" s="74" t="inlineStr">
        <is>
          <t>DS</t>
        </is>
      </c>
      <c r="B668" s="74" t="inlineStr">
        <is>
          <t>2020-2021</t>
        </is>
      </c>
      <c r="C668" s="74" t="inlineStr">
        <is>
          <t>Corn</t>
        </is>
      </c>
      <c r="D668" s="74" t="inlineStr">
        <is>
          <t>Harvest</t>
        </is>
      </c>
      <c r="E668" s="74" t="inlineStr">
        <is>
          <t>Pasileng Norte</t>
        </is>
      </c>
      <c r="F668" s="85" t="n"/>
      <c r="G668" s="85" t="n"/>
      <c r="H668" s="85" t="n"/>
      <c r="I668" s="75" t="n">
        <v>35.8</v>
      </c>
      <c r="J668" s="75" t="n">
        <v>293.9</v>
      </c>
      <c r="K668" s="75" t="n">
        <v>8.210000000000001</v>
      </c>
    </row>
    <row r="669" ht="15" customHeight="1" s="101">
      <c r="A669" s="86" t="inlineStr">
        <is>
          <t>DS</t>
        </is>
      </c>
      <c r="B669" s="86" t="inlineStr">
        <is>
          <t>2020-2021</t>
        </is>
      </c>
      <c r="C669" s="86" t="inlineStr">
        <is>
          <t>Corn</t>
        </is>
      </c>
      <c r="D669" s="86" t="inlineStr">
        <is>
          <t>Planting</t>
        </is>
      </c>
      <c r="E669" s="86" t="inlineStr">
        <is>
          <t>Tabuyoc</t>
        </is>
      </c>
      <c r="F669" s="87" t="n"/>
      <c r="G669" s="87" t="n"/>
      <c r="H669" s="88" t="n">
        <v>55.45</v>
      </c>
      <c r="I669" s="87" t="n"/>
      <c r="J669" s="87" t="n"/>
      <c r="K669" s="87" t="n"/>
    </row>
    <row r="670" ht="15" customHeight="1" s="101">
      <c r="A670" s="74" t="inlineStr">
        <is>
          <t>DS</t>
        </is>
      </c>
      <c r="B670" s="74" t="inlineStr">
        <is>
          <t>2020-2021</t>
        </is>
      </c>
      <c r="C670" s="74" t="inlineStr">
        <is>
          <t>Corn</t>
        </is>
      </c>
      <c r="D670" s="74" t="inlineStr">
        <is>
          <t>Harvest</t>
        </is>
      </c>
      <c r="E670" s="74" t="inlineStr">
        <is>
          <t>Tabuyoc</t>
        </is>
      </c>
      <c r="F670" s="85" t="n"/>
      <c r="G670" s="85" t="n"/>
      <c r="H670" s="85" t="n"/>
      <c r="I670" s="75" t="n">
        <v>55.45</v>
      </c>
      <c r="J670" s="75" t="n">
        <v>455.12</v>
      </c>
      <c r="K670" s="75" t="n">
        <v>8.210000000000001</v>
      </c>
    </row>
    <row r="671" ht="15" customHeight="1" s="101">
      <c r="A671" s="86" t="inlineStr">
        <is>
          <t>DS</t>
        </is>
      </c>
      <c r="B671" s="86" t="inlineStr">
        <is>
          <t>2020-2021</t>
        </is>
      </c>
      <c r="C671" s="86" t="inlineStr">
        <is>
          <t>Corn</t>
        </is>
      </c>
      <c r="D671" s="86" t="inlineStr">
        <is>
          <t>Planting</t>
        </is>
      </c>
      <c r="E671" s="86" t="inlineStr">
        <is>
          <t>Bued</t>
        </is>
      </c>
      <c r="F671" s="87" t="n"/>
      <c r="G671" s="87" t="n"/>
      <c r="H671" s="88" t="n">
        <v>41.88</v>
      </c>
      <c r="I671" s="87" t="n"/>
      <c r="J671" s="87" t="n"/>
      <c r="K671" s="87" t="n"/>
    </row>
    <row r="672" ht="15" customHeight="1" s="101">
      <c r="A672" s="74" t="inlineStr">
        <is>
          <t>DS</t>
        </is>
      </c>
      <c r="B672" s="74" t="inlineStr">
        <is>
          <t>2020-2021</t>
        </is>
      </c>
      <c r="C672" s="74" t="inlineStr">
        <is>
          <t>Corn</t>
        </is>
      </c>
      <c r="D672" s="74" t="inlineStr">
        <is>
          <t>Harvest</t>
        </is>
      </c>
      <c r="E672" s="74" t="inlineStr">
        <is>
          <t>Bued</t>
        </is>
      </c>
      <c r="F672" s="85" t="n"/>
      <c r="G672" s="85" t="n"/>
      <c r="H672" s="85" t="n"/>
      <c r="I672" s="75" t="n">
        <v>41.88</v>
      </c>
      <c r="J672" s="75" t="n">
        <v>343.79</v>
      </c>
      <c r="K672" s="75" t="n">
        <v>8.210000000000001</v>
      </c>
    </row>
    <row r="673" ht="15" customHeight="1" s="101">
      <c r="A673" s="86" t="inlineStr">
        <is>
          <t>DS</t>
        </is>
      </c>
      <c r="B673" s="86" t="inlineStr">
        <is>
          <t>2020-2021</t>
        </is>
      </c>
      <c r="C673" s="86" t="inlineStr">
        <is>
          <t>Corn</t>
        </is>
      </c>
      <c r="D673" s="86" t="inlineStr">
        <is>
          <t>Planting</t>
        </is>
      </c>
      <c r="E673" s="86" t="inlineStr">
        <is>
          <t>Dumayat</t>
        </is>
      </c>
      <c r="F673" s="87" t="n"/>
      <c r="G673" s="87" t="n"/>
      <c r="H673" s="88" t="n">
        <v>32.69</v>
      </c>
      <c r="I673" s="87" t="n"/>
      <c r="J673" s="87" t="n"/>
      <c r="K673" s="87" t="n"/>
    </row>
    <row r="674" ht="15" customHeight="1" s="101">
      <c r="A674" s="74" t="inlineStr">
        <is>
          <t>DS</t>
        </is>
      </c>
      <c r="B674" s="74" t="inlineStr">
        <is>
          <t>2020-2021</t>
        </is>
      </c>
      <c r="C674" s="74" t="inlineStr">
        <is>
          <t>Corn</t>
        </is>
      </c>
      <c r="D674" s="74" t="inlineStr">
        <is>
          <t>Harvest</t>
        </is>
      </c>
      <c r="E674" s="74" t="inlineStr">
        <is>
          <t>Dumayat</t>
        </is>
      </c>
      <c r="F674" s="85" t="n"/>
      <c r="G674" s="85" t="n"/>
      <c r="H674" s="85" t="n"/>
      <c r="I674" s="75" t="n">
        <v>32.69</v>
      </c>
      <c r="J674" s="75" t="n">
        <v>268.36</v>
      </c>
      <c r="K674" s="75" t="n">
        <v>8.210000000000001</v>
      </c>
    </row>
    <row r="675" ht="15" customHeight="1" s="101">
      <c r="A675" s="86" t="inlineStr">
        <is>
          <t>DS</t>
        </is>
      </c>
      <c r="B675" s="86" t="inlineStr">
        <is>
          <t>2020-2021</t>
        </is>
      </c>
      <c r="C675" s="86" t="inlineStr">
        <is>
          <t>Corn</t>
        </is>
      </c>
      <c r="D675" s="86" t="inlineStr">
        <is>
          <t>Planting</t>
        </is>
      </c>
      <c r="E675" s="86" t="inlineStr">
        <is>
          <t>Camanggaan</t>
        </is>
      </c>
      <c r="F675" s="87" t="n"/>
      <c r="G675" s="87" t="n"/>
      <c r="H675" s="88" t="n">
        <v>24.2</v>
      </c>
      <c r="I675" s="87" t="n"/>
      <c r="J675" s="87" t="n"/>
      <c r="K675" s="87" t="n"/>
    </row>
    <row r="676" ht="15" customHeight="1" s="101">
      <c r="A676" s="74" t="inlineStr">
        <is>
          <t>DS</t>
        </is>
      </c>
      <c r="B676" s="74" t="inlineStr">
        <is>
          <t>2020-2021</t>
        </is>
      </c>
      <c r="C676" s="74" t="inlineStr">
        <is>
          <t>Corn</t>
        </is>
      </c>
      <c r="D676" s="74" t="inlineStr">
        <is>
          <t>Harvest</t>
        </is>
      </c>
      <c r="E676" s="74" t="inlineStr">
        <is>
          <t>Camanggaan</t>
        </is>
      </c>
      <c r="F676" s="85" t="n"/>
      <c r="G676" s="85" t="n"/>
      <c r="H676" s="85" t="n"/>
      <c r="I676" s="75" t="n">
        <v>24.2</v>
      </c>
      <c r="J676" s="75" t="n">
        <v>198.64</v>
      </c>
      <c r="K676" s="75" t="n">
        <v>8.210000000000001</v>
      </c>
    </row>
    <row r="677" ht="15" customHeight="1" s="101">
      <c r="A677" s="86" t="inlineStr">
        <is>
          <t>DS</t>
        </is>
      </c>
      <c r="B677" s="86" t="inlineStr">
        <is>
          <t>2020-2021</t>
        </is>
      </c>
      <c r="C677" s="86" t="inlineStr">
        <is>
          <t>Corn</t>
        </is>
      </c>
      <c r="D677" s="86" t="inlineStr">
        <is>
          <t>Planting</t>
        </is>
      </c>
      <c r="E677" s="86" t="inlineStr">
        <is>
          <t>Vacante</t>
        </is>
      </c>
      <c r="F677" s="87" t="n"/>
      <c r="G677" s="87" t="n"/>
      <c r="H677" s="88" t="n">
        <v>46.69</v>
      </c>
      <c r="I677" s="87" t="n"/>
      <c r="J677" s="87" t="n"/>
      <c r="K677" s="87" t="n"/>
    </row>
    <row r="678" ht="15" customHeight="1" s="101">
      <c r="A678" s="74" t="inlineStr">
        <is>
          <t>DS</t>
        </is>
      </c>
      <c r="B678" s="74" t="inlineStr">
        <is>
          <t>2020-2021</t>
        </is>
      </c>
      <c r="C678" s="74" t="inlineStr">
        <is>
          <t>Corn</t>
        </is>
      </c>
      <c r="D678" s="74" t="inlineStr">
        <is>
          <t>Harvest</t>
        </is>
      </c>
      <c r="E678" s="74" t="inlineStr">
        <is>
          <t>Vacante</t>
        </is>
      </c>
      <c r="F678" s="85" t="n"/>
      <c r="G678" s="85" t="n"/>
      <c r="H678" s="85" t="n"/>
      <c r="I678" s="75" t="n">
        <v>46.69</v>
      </c>
      <c r="J678" s="75" t="n">
        <v>383.22</v>
      </c>
      <c r="K678" s="75" t="n">
        <v>8.210000000000001</v>
      </c>
    </row>
    <row r="679" ht="15" customHeight="1" s="101">
      <c r="A679" s="86" t="inlineStr">
        <is>
          <t>DS</t>
        </is>
      </c>
      <c r="B679" s="86" t="inlineStr">
        <is>
          <t>2020-2021</t>
        </is>
      </c>
      <c r="C679" s="86" t="inlineStr">
        <is>
          <t>Corn</t>
        </is>
      </c>
      <c r="D679" s="86" t="inlineStr">
        <is>
          <t>Planting</t>
        </is>
      </c>
      <c r="E679" s="86" t="inlineStr">
        <is>
          <t>Sta. Catalina</t>
        </is>
      </c>
      <c r="F679" s="87" t="n"/>
      <c r="G679" s="87" t="n"/>
      <c r="H679" s="88" t="n">
        <v>79.44</v>
      </c>
      <c r="I679" s="87" t="n"/>
      <c r="J679" s="87" t="n"/>
      <c r="K679" s="87" t="n"/>
    </row>
    <row r="680" ht="15" customHeight="1" s="101">
      <c r="A680" s="74" t="inlineStr">
        <is>
          <t>DS</t>
        </is>
      </c>
      <c r="B680" s="74" t="inlineStr">
        <is>
          <t>2020-2021</t>
        </is>
      </c>
      <c r="C680" s="74" t="inlineStr">
        <is>
          <t>Corn</t>
        </is>
      </c>
      <c r="D680" s="74" t="inlineStr">
        <is>
          <t>Harvest</t>
        </is>
      </c>
      <c r="E680" s="74" t="inlineStr">
        <is>
          <t>Sta. Catalina</t>
        </is>
      </c>
      <c r="F680" s="85" t="n"/>
      <c r="G680" s="85" t="n"/>
      <c r="H680" s="85" t="n"/>
      <c r="I680" s="75" t="n">
        <v>79.44</v>
      </c>
      <c r="J680" s="75" t="n">
        <v>652.05</v>
      </c>
      <c r="K680" s="75" t="n">
        <v>8.210000000000001</v>
      </c>
    </row>
    <row r="681" ht="15" customHeight="1" s="101">
      <c r="A681" s="86" t="inlineStr">
        <is>
          <t>DS</t>
        </is>
      </c>
      <c r="B681" s="86" t="inlineStr">
        <is>
          <t>2020-2021</t>
        </is>
      </c>
      <c r="C681" s="86" t="inlineStr">
        <is>
          <t>Corn</t>
        </is>
      </c>
      <c r="D681" s="86" t="inlineStr">
        <is>
          <t>Planting</t>
        </is>
      </c>
      <c r="E681" s="86" t="inlineStr">
        <is>
          <t>Moreno</t>
        </is>
      </c>
      <c r="F681" s="87" t="n"/>
      <c r="G681" s="87" t="n"/>
      <c r="H681" s="88" t="n">
        <v>56.91</v>
      </c>
      <c r="I681" s="87" t="n"/>
      <c r="J681" s="87" t="n"/>
      <c r="K681" s="87" t="n"/>
    </row>
    <row r="682" ht="15" customHeight="1" s="101">
      <c r="A682" s="74" t="inlineStr">
        <is>
          <t>DS</t>
        </is>
      </c>
      <c r="B682" s="74" t="inlineStr">
        <is>
          <t>2020-2021</t>
        </is>
      </c>
      <c r="C682" s="74" t="inlineStr">
        <is>
          <t>Corn</t>
        </is>
      </c>
      <c r="D682" s="74" t="inlineStr">
        <is>
          <t>Harvest</t>
        </is>
      </c>
      <c r="E682" s="74" t="inlineStr">
        <is>
          <t>Moreno</t>
        </is>
      </c>
      <c r="F682" s="85" t="n"/>
      <c r="G682" s="85" t="n"/>
      <c r="H682" s="85" t="n"/>
      <c r="I682" s="75" t="n">
        <v>56.91</v>
      </c>
      <c r="J682" s="75" t="n">
        <v>467.12</v>
      </c>
      <c r="K682" s="75" t="n">
        <v>8.210000000000001</v>
      </c>
    </row>
    <row r="683" ht="15" customHeight="1" s="101">
      <c r="A683" s="86" t="inlineStr">
        <is>
          <t>DS</t>
        </is>
      </c>
      <c r="B683" s="86" t="inlineStr">
        <is>
          <t>2020-2021</t>
        </is>
      </c>
      <c r="C683" s="86" t="inlineStr">
        <is>
          <t>Corn</t>
        </is>
      </c>
      <c r="D683" s="86" t="inlineStr">
        <is>
          <t>Planting</t>
        </is>
      </c>
      <c r="E683" s="86" t="inlineStr">
        <is>
          <t>Cili</t>
        </is>
      </c>
      <c r="F683" s="87" t="n"/>
      <c r="G683" s="87" t="n"/>
      <c r="H683" s="88" t="n">
        <v>53.13</v>
      </c>
      <c r="I683" s="87" t="n"/>
      <c r="J683" s="87" t="n"/>
      <c r="K683" s="87" t="n"/>
    </row>
    <row r="684" ht="15" customHeight="1" s="101">
      <c r="A684" s="74" t="inlineStr">
        <is>
          <t>DS</t>
        </is>
      </c>
      <c r="B684" s="74" t="inlineStr">
        <is>
          <t>2020-2021</t>
        </is>
      </c>
      <c r="C684" s="74" t="inlineStr">
        <is>
          <t>Corn</t>
        </is>
      </c>
      <c r="D684" s="74" t="inlineStr">
        <is>
          <t>Harvest</t>
        </is>
      </c>
      <c r="E684" s="74" t="inlineStr">
        <is>
          <t>Cili</t>
        </is>
      </c>
      <c r="F684" s="85" t="n"/>
      <c r="G684" s="85" t="n"/>
      <c r="H684" s="85" t="n"/>
      <c r="I684" s="75" t="n">
        <v>53.13</v>
      </c>
      <c r="J684" s="75" t="n">
        <v>436.13</v>
      </c>
      <c r="K684" s="75" t="n">
        <v>8.210000000000001</v>
      </c>
    </row>
    <row r="685" ht="15" customHeight="1" s="101">
      <c r="A685" s="86" t="inlineStr">
        <is>
          <t>DS</t>
        </is>
      </c>
      <c r="B685" s="86" t="inlineStr">
        <is>
          <t>2020-2021</t>
        </is>
      </c>
      <c r="C685" s="86" t="inlineStr">
        <is>
          <t>Corn</t>
        </is>
      </c>
      <c r="D685" s="86" t="inlineStr">
        <is>
          <t>Planting</t>
        </is>
      </c>
      <c r="E685" s="86" t="inlineStr">
        <is>
          <t>Linmansangan</t>
        </is>
      </c>
      <c r="F685" s="87" t="n"/>
      <c r="G685" s="87" t="n"/>
      <c r="H685" s="88" t="n">
        <v>79.8</v>
      </c>
      <c r="I685" s="87" t="n"/>
      <c r="J685" s="87" t="n"/>
      <c r="K685" s="87" t="n"/>
    </row>
    <row r="686" ht="15" customHeight="1" s="101">
      <c r="A686" s="74" t="inlineStr">
        <is>
          <t>DS</t>
        </is>
      </c>
      <c r="B686" s="74" t="inlineStr">
        <is>
          <t>2020-2021</t>
        </is>
      </c>
      <c r="C686" s="74" t="inlineStr">
        <is>
          <t>Corn</t>
        </is>
      </c>
      <c r="D686" s="74" t="inlineStr">
        <is>
          <t>Harvest</t>
        </is>
      </c>
      <c r="E686" s="74" t="inlineStr">
        <is>
          <t>Linmansangan</t>
        </is>
      </c>
      <c r="F686" s="85" t="n"/>
      <c r="G686" s="85" t="n"/>
      <c r="H686" s="85" t="n"/>
      <c r="I686" s="75" t="n">
        <v>79.8</v>
      </c>
      <c r="J686" s="75" t="n">
        <v>655.03</v>
      </c>
      <c r="K686" s="75" t="n">
        <v>8.210000000000001</v>
      </c>
    </row>
    <row r="687" ht="15" customHeight="1" s="101">
      <c r="A687" s="86" t="inlineStr">
        <is>
          <t>DS</t>
        </is>
      </c>
      <c r="B687" s="86" t="inlineStr">
        <is>
          <t>2020-2021</t>
        </is>
      </c>
      <c r="C687" s="86" t="inlineStr">
        <is>
          <t>Corn</t>
        </is>
      </c>
      <c r="D687" s="86" t="inlineStr">
        <is>
          <t>Planting</t>
        </is>
      </c>
      <c r="E687" s="86" t="inlineStr">
        <is>
          <t>Sumabnit</t>
        </is>
      </c>
      <c r="F687" s="87" t="n"/>
      <c r="G687" s="87" t="n"/>
      <c r="H687" s="88" t="n">
        <v>71.84999999999999</v>
      </c>
      <c r="I687" s="87" t="n"/>
      <c r="J687" s="87" t="n"/>
      <c r="K687" s="87" t="n"/>
    </row>
    <row r="688" ht="15" customHeight="1" s="101">
      <c r="A688" s="74" t="inlineStr">
        <is>
          <t>DS</t>
        </is>
      </c>
      <c r="B688" s="74" t="inlineStr">
        <is>
          <t>2020-2021</t>
        </is>
      </c>
      <c r="C688" s="74" t="inlineStr">
        <is>
          <t>Corn</t>
        </is>
      </c>
      <c r="D688" s="74" t="inlineStr">
        <is>
          <t>Harvest</t>
        </is>
      </c>
      <c r="E688" s="74" t="inlineStr">
        <is>
          <t>Sumabnit</t>
        </is>
      </c>
      <c r="F688" s="85" t="n"/>
      <c r="G688" s="85" t="n"/>
      <c r="H688" s="85" t="n"/>
      <c r="I688" s="75" t="n">
        <v>71.84999999999999</v>
      </c>
      <c r="J688" s="75" t="n">
        <v>589.8099999999999</v>
      </c>
      <c r="K688" s="75" t="n">
        <v>8.210000000000001</v>
      </c>
    </row>
    <row r="689" ht="15" customHeight="1" s="101">
      <c r="A689" s="86" t="inlineStr">
        <is>
          <t>DS</t>
        </is>
      </c>
      <c r="B689" s="86" t="inlineStr">
        <is>
          <t>2020-2021</t>
        </is>
      </c>
      <c r="C689" s="86" t="inlineStr">
        <is>
          <t>Corn</t>
        </is>
      </c>
      <c r="D689" s="86" t="inlineStr">
        <is>
          <t>Planting</t>
        </is>
      </c>
      <c r="E689" s="86" t="inlineStr">
        <is>
          <t>Capas</t>
        </is>
      </c>
      <c r="F689" s="87" t="n"/>
      <c r="G689" s="87" t="n"/>
      <c r="H689" s="88" t="n">
        <v>101.05</v>
      </c>
      <c r="I689" s="87" t="n"/>
      <c r="J689" s="87" t="n"/>
      <c r="K689" s="87" t="n"/>
    </row>
    <row r="690" ht="15" customHeight="1" s="101">
      <c r="A690" s="74" t="inlineStr">
        <is>
          <t>DS</t>
        </is>
      </c>
      <c r="B690" s="74" t="inlineStr">
        <is>
          <t>2020-2021</t>
        </is>
      </c>
      <c r="C690" s="74" t="inlineStr">
        <is>
          <t>Corn</t>
        </is>
      </c>
      <c r="D690" s="74" t="inlineStr">
        <is>
          <t>Harvest</t>
        </is>
      </c>
      <c r="E690" s="74" t="inlineStr">
        <is>
          <t>Capas</t>
        </is>
      </c>
      <c r="F690" s="85" t="n"/>
      <c r="G690" s="85" t="n"/>
      <c r="H690" s="85" t="n"/>
      <c r="I690" s="75" t="n">
        <v>101.05</v>
      </c>
      <c r="J690" s="75" t="n">
        <v>829.49</v>
      </c>
      <c r="K690" s="75" t="n">
        <v>8.210000000000001</v>
      </c>
    </row>
    <row r="691" ht="15" customHeight="1" s="101">
      <c r="A691" s="86" t="inlineStr">
        <is>
          <t>DS</t>
        </is>
      </c>
      <c r="B691" s="86" t="inlineStr">
        <is>
          <t>2020-2021</t>
        </is>
      </c>
      <c r="C691" s="86" t="inlineStr">
        <is>
          <t>Corn</t>
        </is>
      </c>
      <c r="D691" s="86" t="inlineStr">
        <is>
          <t>Planting</t>
        </is>
      </c>
      <c r="E691" s="86" t="inlineStr">
        <is>
          <t>Mangkasuy</t>
        </is>
      </c>
      <c r="F691" s="87" t="n"/>
      <c r="G691" s="87" t="n"/>
      <c r="H691" s="88" t="n">
        <v>90.86</v>
      </c>
      <c r="I691" s="87" t="n"/>
      <c r="J691" s="87" t="n"/>
      <c r="K691" s="87" t="n"/>
    </row>
    <row r="692" ht="15" customHeight="1" s="101">
      <c r="A692" s="74" t="inlineStr">
        <is>
          <t>DS</t>
        </is>
      </c>
      <c r="B692" s="74" t="inlineStr">
        <is>
          <t>2020-2021</t>
        </is>
      </c>
      <c r="C692" s="74" t="inlineStr">
        <is>
          <t>Corn</t>
        </is>
      </c>
      <c r="D692" s="74" t="inlineStr">
        <is>
          <t>Harvest</t>
        </is>
      </c>
      <c r="E692" s="74" t="inlineStr">
        <is>
          <t>Mangkasuy</t>
        </is>
      </c>
      <c r="F692" s="85" t="n"/>
      <c r="G692" s="85" t="n"/>
      <c r="H692" s="85" t="n"/>
      <c r="I692" s="75" t="n">
        <v>90.86</v>
      </c>
      <c r="J692" s="75" t="n">
        <v>745.83</v>
      </c>
      <c r="K692" s="75" t="n">
        <v>8.210000000000001</v>
      </c>
    </row>
    <row r="693" ht="15" customHeight="1" s="101">
      <c r="A693" s="86" t="inlineStr">
        <is>
          <t>DS</t>
        </is>
      </c>
      <c r="B693" s="86" t="inlineStr">
        <is>
          <t>2020-2021</t>
        </is>
      </c>
      <c r="C693" s="86" t="inlineStr">
        <is>
          <t>Corn</t>
        </is>
      </c>
      <c r="D693" s="86" t="inlineStr">
        <is>
          <t>Planting</t>
        </is>
      </c>
      <c r="E693" s="86" t="inlineStr">
        <is>
          <t>San Pablo</t>
        </is>
      </c>
      <c r="F693" s="87" t="n"/>
      <c r="G693" s="87" t="n"/>
      <c r="H693" s="88" t="n">
        <v>52.35</v>
      </c>
      <c r="I693" s="87" t="n"/>
      <c r="J693" s="87" t="n"/>
      <c r="K693" s="87" t="n"/>
    </row>
    <row r="694" ht="15" customHeight="1" s="101">
      <c r="A694" s="74" t="inlineStr">
        <is>
          <t>DS</t>
        </is>
      </c>
      <c r="B694" s="74" t="inlineStr">
        <is>
          <t>2020-2021</t>
        </is>
      </c>
      <c r="C694" s="74" t="inlineStr">
        <is>
          <t>Corn</t>
        </is>
      </c>
      <c r="D694" s="74" t="inlineStr">
        <is>
          <t>Harvest</t>
        </is>
      </c>
      <c r="E694" s="74" t="inlineStr">
        <is>
          <t>San Pablo</t>
        </is>
      </c>
      <c r="F694" s="85" t="n"/>
      <c r="G694" s="85" t="n"/>
      <c r="H694" s="85" t="n"/>
      <c r="I694" s="75" t="n">
        <v>52.35</v>
      </c>
      <c r="J694" s="75" t="n">
        <v>429.72</v>
      </c>
      <c r="K694" s="75" t="n">
        <v>8.210000000000001</v>
      </c>
    </row>
    <row r="695" ht="15" customHeight="1" s="101">
      <c r="A695" s="86" t="inlineStr">
        <is>
          <t>DS</t>
        </is>
      </c>
      <c r="B695" s="86" t="inlineStr">
        <is>
          <t>2020-2021</t>
        </is>
      </c>
      <c r="C695" s="86" t="inlineStr">
        <is>
          <t>Corn</t>
        </is>
      </c>
      <c r="D695" s="86" t="inlineStr">
        <is>
          <t>Planting</t>
        </is>
      </c>
      <c r="E695" s="86" t="inlineStr">
        <is>
          <t>Balangobong</t>
        </is>
      </c>
      <c r="F695" s="87" t="n"/>
      <c r="G695" s="87" t="n"/>
      <c r="H695" s="88" t="n">
        <v>52.38</v>
      </c>
      <c r="I695" s="87" t="n"/>
      <c r="J695" s="87" t="n"/>
      <c r="K695" s="87" t="n"/>
    </row>
    <row r="696" ht="15" customHeight="1" s="101">
      <c r="A696" s="74" t="inlineStr">
        <is>
          <t>DS</t>
        </is>
      </c>
      <c r="B696" s="74" t="inlineStr">
        <is>
          <t>2020-2021</t>
        </is>
      </c>
      <c r="C696" s="74" t="inlineStr">
        <is>
          <t>Corn</t>
        </is>
      </c>
      <c r="D696" s="74" t="inlineStr">
        <is>
          <t>Harvest</t>
        </is>
      </c>
      <c r="E696" s="74" t="inlineStr">
        <is>
          <t>Balangobong</t>
        </is>
      </c>
      <c r="F696" s="85" t="n"/>
      <c r="G696" s="85" t="n"/>
      <c r="H696" s="85" t="n"/>
      <c r="I696" s="75" t="n">
        <v>52.38</v>
      </c>
      <c r="J696" s="75" t="n">
        <v>429.95</v>
      </c>
      <c r="K696" s="75" t="n">
        <v>8.210000000000001</v>
      </c>
    </row>
    <row r="697" ht="15" customHeight="1" s="101">
      <c r="A697" s="86" t="inlineStr">
        <is>
          <t>DS</t>
        </is>
      </c>
      <c r="B697" s="86" t="inlineStr">
        <is>
          <t>2020-2021</t>
        </is>
      </c>
      <c r="C697" s="86" t="inlineStr">
        <is>
          <t>Corn</t>
        </is>
      </c>
      <c r="D697" s="86" t="inlineStr">
        <is>
          <t>Planting</t>
        </is>
      </c>
      <c r="E697" s="86" t="inlineStr">
        <is>
          <t>San Felipe Central</t>
        </is>
      </c>
      <c r="F697" s="87" t="n"/>
      <c r="G697" s="87" t="n"/>
      <c r="H697" s="88" t="n">
        <v>65.3</v>
      </c>
      <c r="I697" s="87" t="n"/>
      <c r="J697" s="87" t="n"/>
      <c r="K697" s="87" t="n"/>
    </row>
    <row r="698" ht="15" customHeight="1" s="101">
      <c r="A698" s="74" t="inlineStr">
        <is>
          <t>DS</t>
        </is>
      </c>
      <c r="B698" s="74" t="inlineStr">
        <is>
          <t>2020-2021</t>
        </is>
      </c>
      <c r="C698" s="74" t="inlineStr">
        <is>
          <t>Corn</t>
        </is>
      </c>
      <c r="D698" s="74" t="inlineStr">
        <is>
          <t>Harvest</t>
        </is>
      </c>
      <c r="E698" s="74" t="inlineStr">
        <is>
          <t>San Felipe Central</t>
        </is>
      </c>
      <c r="F698" s="85" t="n"/>
      <c r="G698" s="85" t="n"/>
      <c r="H698" s="85" t="n"/>
      <c r="I698" s="75" t="n">
        <v>65.3</v>
      </c>
      <c r="J698" s="75" t="n">
        <v>536.03</v>
      </c>
      <c r="K698" s="75" t="n">
        <v>8.210000000000001</v>
      </c>
    </row>
    <row r="699" ht="15" customHeight="1" s="101">
      <c r="A699" s="86" t="inlineStr">
        <is>
          <t>DS</t>
        </is>
      </c>
      <c r="B699" s="86" t="inlineStr">
        <is>
          <t>2020-2021</t>
        </is>
      </c>
      <c r="C699" s="86" t="inlineStr">
        <is>
          <t>Corn</t>
        </is>
      </c>
      <c r="D699" s="86" t="inlineStr">
        <is>
          <t>Planting</t>
        </is>
      </c>
      <c r="E699" s="86" t="inlineStr">
        <is>
          <t>San Felipe Sur</t>
        </is>
      </c>
      <c r="F699" s="87" t="n"/>
      <c r="G699" s="87" t="n"/>
      <c r="H699" s="88" t="n">
        <v>67.7</v>
      </c>
      <c r="I699" s="87" t="n"/>
      <c r="J699" s="87" t="n"/>
      <c r="K699" s="87" t="n"/>
    </row>
    <row r="700" ht="15" customHeight="1" s="101">
      <c r="A700" s="74" t="inlineStr">
        <is>
          <t>DS</t>
        </is>
      </c>
      <c r="B700" s="74" t="inlineStr">
        <is>
          <t>2020-2021</t>
        </is>
      </c>
      <c r="C700" s="74" t="inlineStr">
        <is>
          <t>Corn</t>
        </is>
      </c>
      <c r="D700" s="74" t="inlineStr">
        <is>
          <t>Harvest</t>
        </is>
      </c>
      <c r="E700" s="74" t="inlineStr">
        <is>
          <t>San Felipe Sur</t>
        </is>
      </c>
      <c r="F700" s="85" t="n"/>
      <c r="G700" s="85" t="n"/>
      <c r="H700" s="85" t="n"/>
      <c r="I700" s="75" t="n">
        <v>67.7</v>
      </c>
      <c r="J700" s="75" t="n">
        <v>555.73</v>
      </c>
      <c r="K700" s="75" t="n">
        <v>8.210000000000001</v>
      </c>
    </row>
    <row r="701" ht="15" customHeight="1" s="101">
      <c r="A701" s="86" t="inlineStr">
        <is>
          <t>DS</t>
        </is>
      </c>
      <c r="B701" s="86" t="inlineStr">
        <is>
          <t>2020-2021</t>
        </is>
      </c>
      <c r="C701" s="86" t="inlineStr">
        <is>
          <t>Corn</t>
        </is>
      </c>
      <c r="D701" s="86" t="inlineStr">
        <is>
          <t>Planting</t>
        </is>
      </c>
      <c r="E701" s="86" t="inlineStr">
        <is>
          <t>Pasileng Sur</t>
        </is>
      </c>
      <c r="F701" s="87" t="n"/>
      <c r="G701" s="87" t="n"/>
      <c r="H701" s="88" t="n">
        <v>68.68000000000001</v>
      </c>
      <c r="I701" s="87" t="n"/>
      <c r="J701" s="87" t="n"/>
      <c r="K701" s="87" t="n"/>
    </row>
    <row r="702" ht="15" customHeight="1" s="101">
      <c r="A702" s="74" t="inlineStr">
        <is>
          <t>DS</t>
        </is>
      </c>
      <c r="B702" s="74" t="inlineStr">
        <is>
          <t>2020-2021</t>
        </is>
      </c>
      <c r="C702" s="74" t="inlineStr">
        <is>
          <t>Corn</t>
        </is>
      </c>
      <c r="D702" s="74" t="inlineStr">
        <is>
          <t>Harvest</t>
        </is>
      </c>
      <c r="E702" s="74" t="inlineStr">
        <is>
          <t>Pasileng Sur</t>
        </is>
      </c>
      <c r="F702" s="85" t="n"/>
      <c r="G702" s="85" t="n"/>
      <c r="H702" s="85" t="n"/>
      <c r="I702" s="75" t="n">
        <v>68.68000000000001</v>
      </c>
      <c r="J702" s="75" t="n">
        <v>563.72</v>
      </c>
      <c r="K702" s="75" t="n">
        <v>8.210000000000001</v>
      </c>
    </row>
    <row r="703" ht="15" customHeight="1" s="101">
      <c r="A703" s="86" t="inlineStr">
        <is>
          <t>DS</t>
        </is>
      </c>
      <c r="B703" s="86" t="inlineStr">
        <is>
          <t>2020-2021</t>
        </is>
      </c>
      <c r="C703" s="86" t="inlineStr">
        <is>
          <t>Corn</t>
        </is>
      </c>
      <c r="D703" s="86" t="inlineStr">
        <is>
          <t>Planting</t>
        </is>
      </c>
      <c r="E703" s="86" t="inlineStr">
        <is>
          <t>Sta. Maria Norte</t>
        </is>
      </c>
      <c r="F703" s="87" t="n"/>
      <c r="G703" s="87" t="n"/>
      <c r="H703" s="88" t="n">
        <v>23.3</v>
      </c>
      <c r="I703" s="87" t="n"/>
      <c r="J703" s="87" t="n"/>
      <c r="K703" s="87" t="n"/>
    </row>
    <row r="704" ht="15" customHeight="1" s="101">
      <c r="A704" s="74" t="inlineStr">
        <is>
          <t>DS</t>
        </is>
      </c>
      <c r="B704" s="74" t="inlineStr">
        <is>
          <t>2020-2021</t>
        </is>
      </c>
      <c r="C704" s="74" t="inlineStr">
        <is>
          <t>Corn</t>
        </is>
      </c>
      <c r="D704" s="74" t="inlineStr">
        <is>
          <t>Harvest</t>
        </is>
      </c>
      <c r="E704" s="74" t="inlineStr">
        <is>
          <t>Sta. Maria Norte</t>
        </is>
      </c>
      <c r="F704" s="85" t="n"/>
      <c r="G704" s="85" t="n"/>
      <c r="H704" s="85" t="n"/>
      <c r="I704" s="75" t="n">
        <v>23.3</v>
      </c>
      <c r="J704" s="75" t="n">
        <v>191.25</v>
      </c>
      <c r="K704" s="75" t="n">
        <v>8.210000000000001</v>
      </c>
    </row>
    <row r="705" ht="15" customHeight="1" s="101">
      <c r="A705" s="86" t="inlineStr">
        <is>
          <t>DS</t>
        </is>
      </c>
      <c r="B705" s="86" t="inlineStr">
        <is>
          <t>2020-2021</t>
        </is>
      </c>
      <c r="C705" s="86" t="inlineStr">
        <is>
          <t>Corn</t>
        </is>
      </c>
      <c r="D705" s="86" t="inlineStr">
        <is>
          <t>Planting</t>
        </is>
      </c>
      <c r="E705" s="86" t="inlineStr">
        <is>
          <t>Bugayong</t>
        </is>
      </c>
      <c r="F705" s="87" t="n"/>
      <c r="G705" s="87" t="n"/>
      <c r="H705" s="88" t="n">
        <v>20.95</v>
      </c>
      <c r="I705" s="87" t="n"/>
      <c r="J705" s="87" t="n"/>
      <c r="K705" s="87" t="n"/>
    </row>
    <row r="706" ht="15" customHeight="1" s="101">
      <c r="A706" s="74" t="inlineStr">
        <is>
          <t>DS</t>
        </is>
      </c>
      <c r="B706" s="74" t="inlineStr">
        <is>
          <t>2020-2021</t>
        </is>
      </c>
      <c r="C706" s="74" t="inlineStr">
        <is>
          <t>Corn</t>
        </is>
      </c>
      <c r="D706" s="74" t="inlineStr">
        <is>
          <t>Harvest</t>
        </is>
      </c>
      <c r="E706" s="74" t="inlineStr">
        <is>
          <t>Bugayong</t>
        </is>
      </c>
      <c r="F706" s="85" t="n"/>
      <c r="G706" s="85" t="n"/>
      <c r="H706" s="85" t="n"/>
      <c r="I706" s="75" t="n">
        <v>20.95</v>
      </c>
      <c r="J706" s="75" t="n">
        <v>171.96</v>
      </c>
      <c r="K706" s="75" t="n">
        <v>8.210000000000001</v>
      </c>
    </row>
    <row r="707" ht="15" customHeight="1" s="101">
      <c r="A707" s="86" t="inlineStr">
        <is>
          <t>DS</t>
        </is>
      </c>
      <c r="B707" s="86" t="inlineStr">
        <is>
          <t>2020-2021</t>
        </is>
      </c>
      <c r="C707" s="86" t="inlineStr">
        <is>
          <t>Corn</t>
        </is>
      </c>
      <c r="D707" s="86" t="inlineStr">
        <is>
          <t>Planting</t>
        </is>
      </c>
      <c r="E707" s="86" t="inlineStr">
        <is>
          <t>Santiago</t>
        </is>
      </c>
      <c r="F707" s="87" t="n"/>
      <c r="G707" s="87" t="n"/>
      <c r="H707" s="88" t="n">
        <v>69.48</v>
      </c>
      <c r="I707" s="87" t="n"/>
      <c r="J707" s="87" t="n"/>
      <c r="K707" s="87" t="n"/>
    </row>
    <row r="708" ht="15" customHeight="1" s="101">
      <c r="A708" s="74" t="inlineStr">
        <is>
          <t>DS</t>
        </is>
      </c>
      <c r="B708" s="74" t="inlineStr">
        <is>
          <t>2020-2021</t>
        </is>
      </c>
      <c r="C708" s="74" t="inlineStr">
        <is>
          <t>Corn</t>
        </is>
      </c>
      <c r="D708" s="74" t="inlineStr">
        <is>
          <t>Harvest</t>
        </is>
      </c>
      <c r="E708" s="74" t="inlineStr">
        <is>
          <t>Santiago</t>
        </is>
      </c>
      <c r="F708" s="85" t="n"/>
      <c r="G708" s="85" t="n"/>
      <c r="H708" s="85" t="n"/>
      <c r="I708" s="75" t="n">
        <v>69.48</v>
      </c>
      <c r="J708" s="75" t="n">
        <v>570.26</v>
      </c>
      <c r="K708" s="75" t="n">
        <v>8.210000000000001</v>
      </c>
    </row>
    <row r="709" ht="15" customHeight="1" s="101">
      <c r="A709" s="86" t="inlineStr">
        <is>
          <t>DS</t>
        </is>
      </c>
      <c r="B709" s="86" t="inlineStr">
        <is>
          <t>2021-2022</t>
        </is>
      </c>
      <c r="C709" s="86" t="inlineStr">
        <is>
          <t>Corn</t>
        </is>
      </c>
      <c r="D709" s="86" t="inlineStr">
        <is>
          <t>Planting</t>
        </is>
      </c>
      <c r="E709" s="86" t="inlineStr">
        <is>
          <t>Pasileng Norte</t>
        </is>
      </c>
      <c r="F709" s="87" t="n"/>
      <c r="G709" s="87" t="n"/>
      <c r="H709" s="88" t="n">
        <v>36.55</v>
      </c>
      <c r="I709" s="87" t="n"/>
      <c r="J709" s="87" t="n"/>
      <c r="K709" s="87" t="n"/>
    </row>
    <row r="710" ht="15" customHeight="1" s="101">
      <c r="A710" s="74" t="inlineStr">
        <is>
          <t>DS</t>
        </is>
      </c>
      <c r="B710" s="74" t="inlineStr">
        <is>
          <t>2021-2022</t>
        </is>
      </c>
      <c r="C710" s="74" t="inlineStr">
        <is>
          <t>Corn</t>
        </is>
      </c>
      <c r="D710" s="74" t="inlineStr">
        <is>
          <t>Harvest</t>
        </is>
      </c>
      <c r="E710" s="74" t="inlineStr">
        <is>
          <t>Pasileng Norte</t>
        </is>
      </c>
      <c r="F710" s="85" t="n"/>
      <c r="G710" s="85" t="n"/>
      <c r="H710" s="85" t="n"/>
      <c r="I710" s="75" t="n">
        <v>36.55</v>
      </c>
      <c r="J710" s="75" t="n">
        <v>272.06</v>
      </c>
      <c r="K710" s="75" t="n">
        <v>7.44</v>
      </c>
    </row>
    <row r="711" ht="15" customHeight="1" s="101">
      <c r="A711" s="86" t="inlineStr">
        <is>
          <t>DS</t>
        </is>
      </c>
      <c r="B711" s="86" t="inlineStr">
        <is>
          <t>2021-2022</t>
        </is>
      </c>
      <c r="C711" s="86" t="inlineStr">
        <is>
          <t>Corn</t>
        </is>
      </c>
      <c r="D711" s="86" t="inlineStr">
        <is>
          <t>Planting</t>
        </is>
      </c>
      <c r="E711" s="86" t="inlineStr">
        <is>
          <t>Tabuyoc</t>
        </is>
      </c>
      <c r="F711" s="87" t="n"/>
      <c r="G711" s="87" t="n"/>
      <c r="H711" s="88" t="n">
        <v>56.61</v>
      </c>
      <c r="I711" s="87" t="n"/>
      <c r="J711" s="87" t="n"/>
      <c r="K711" s="87" t="n"/>
    </row>
    <row r="712" ht="15" customHeight="1" s="101">
      <c r="A712" s="74" t="inlineStr">
        <is>
          <t>DS</t>
        </is>
      </c>
      <c r="B712" s="74" t="inlineStr">
        <is>
          <t>2021-2022</t>
        </is>
      </c>
      <c r="C712" s="74" t="inlineStr">
        <is>
          <t>Corn</t>
        </is>
      </c>
      <c r="D712" s="74" t="inlineStr">
        <is>
          <t>Harvest</t>
        </is>
      </c>
      <c r="E712" s="74" t="inlineStr">
        <is>
          <t>Tabuyoc</t>
        </is>
      </c>
      <c r="F712" s="85" t="n"/>
      <c r="G712" s="85" t="n"/>
      <c r="H712" s="85" t="n"/>
      <c r="I712" s="75" t="n">
        <v>56.61</v>
      </c>
      <c r="J712" s="75" t="n">
        <v>421.31</v>
      </c>
      <c r="K712" s="75" t="n">
        <v>7.44</v>
      </c>
    </row>
    <row r="713" ht="15" customHeight="1" s="101">
      <c r="A713" s="86" t="inlineStr">
        <is>
          <t>DS</t>
        </is>
      </c>
      <c r="B713" s="86" t="inlineStr">
        <is>
          <t>2021-2022</t>
        </is>
      </c>
      <c r="C713" s="86" t="inlineStr">
        <is>
          <t>Corn</t>
        </is>
      </c>
      <c r="D713" s="86" t="inlineStr">
        <is>
          <t>Planting</t>
        </is>
      </c>
      <c r="E713" s="86" t="inlineStr">
        <is>
          <t>Bued</t>
        </is>
      </c>
      <c r="F713" s="87" t="n"/>
      <c r="G713" s="87" t="n"/>
      <c r="H713" s="88" t="n">
        <v>42.76</v>
      </c>
      <c r="I713" s="87" t="n"/>
      <c r="J713" s="87" t="n"/>
      <c r="K713" s="87" t="n"/>
    </row>
    <row r="714" ht="15" customHeight="1" s="101">
      <c r="A714" s="74" t="inlineStr">
        <is>
          <t>DS</t>
        </is>
      </c>
      <c r="B714" s="74" t="inlineStr">
        <is>
          <t>2021-2022</t>
        </is>
      </c>
      <c r="C714" s="74" t="inlineStr">
        <is>
          <t>Corn</t>
        </is>
      </c>
      <c r="D714" s="74" t="inlineStr">
        <is>
          <t>Harvest</t>
        </is>
      </c>
      <c r="E714" s="74" t="inlineStr">
        <is>
          <t>Bued</t>
        </is>
      </c>
      <c r="F714" s="85" t="n"/>
      <c r="G714" s="85" t="n"/>
      <c r="H714" s="85" t="n"/>
      <c r="I714" s="75" t="n">
        <v>42.76</v>
      </c>
      <c r="J714" s="75" t="n">
        <v>318.24</v>
      </c>
      <c r="K714" s="75" t="n">
        <v>7.44</v>
      </c>
    </row>
    <row r="715" ht="15" customHeight="1" s="101">
      <c r="A715" s="86" t="inlineStr">
        <is>
          <t>DS</t>
        </is>
      </c>
      <c r="B715" s="86" t="inlineStr">
        <is>
          <t>2021-2022</t>
        </is>
      </c>
      <c r="C715" s="86" t="inlineStr">
        <is>
          <t>Corn</t>
        </is>
      </c>
      <c r="D715" s="86" t="inlineStr">
        <is>
          <t>Planting</t>
        </is>
      </c>
      <c r="E715" s="86" t="inlineStr">
        <is>
          <t>Dumayat</t>
        </is>
      </c>
      <c r="F715" s="87" t="n"/>
      <c r="G715" s="87" t="n"/>
      <c r="H715" s="88" t="n">
        <v>33.38</v>
      </c>
      <c r="I715" s="87" t="n"/>
      <c r="J715" s="87" t="n"/>
      <c r="K715" s="87" t="n"/>
    </row>
    <row r="716" ht="15" customHeight="1" s="101">
      <c r="A716" s="74" t="inlineStr">
        <is>
          <t>DS</t>
        </is>
      </c>
      <c r="B716" s="74" t="inlineStr">
        <is>
          <t>2021-2022</t>
        </is>
      </c>
      <c r="C716" s="74" t="inlineStr">
        <is>
          <t>Corn</t>
        </is>
      </c>
      <c r="D716" s="74" t="inlineStr">
        <is>
          <t>Harvest</t>
        </is>
      </c>
      <c r="E716" s="74" t="inlineStr">
        <is>
          <t>Dumayat</t>
        </is>
      </c>
      <c r="F716" s="85" t="n"/>
      <c r="G716" s="85" t="n"/>
      <c r="H716" s="85" t="n"/>
      <c r="I716" s="75" t="n">
        <v>33.38</v>
      </c>
      <c r="J716" s="75" t="n">
        <v>248.42</v>
      </c>
      <c r="K716" s="75" t="n">
        <v>7.44</v>
      </c>
    </row>
    <row r="717" ht="15" customHeight="1" s="101">
      <c r="A717" s="86" t="inlineStr">
        <is>
          <t>DS</t>
        </is>
      </c>
      <c r="B717" s="86" t="inlineStr">
        <is>
          <t>2021-2022</t>
        </is>
      </c>
      <c r="C717" s="86" t="inlineStr">
        <is>
          <t>Corn</t>
        </is>
      </c>
      <c r="D717" s="86" t="inlineStr">
        <is>
          <t>Planting</t>
        </is>
      </c>
      <c r="E717" s="86" t="inlineStr">
        <is>
          <t>Camanggaan</t>
        </is>
      </c>
      <c r="F717" s="87" t="n"/>
      <c r="G717" s="87" t="n"/>
      <c r="H717" s="88" t="n">
        <v>24.71</v>
      </c>
      <c r="I717" s="87" t="n"/>
      <c r="J717" s="87" t="n"/>
      <c r="K717" s="87" t="n"/>
    </row>
    <row r="718" ht="15" customHeight="1" s="101">
      <c r="A718" s="74" t="inlineStr">
        <is>
          <t>DS</t>
        </is>
      </c>
      <c r="B718" s="74" t="inlineStr">
        <is>
          <t>2021-2022</t>
        </is>
      </c>
      <c r="C718" s="74" t="inlineStr">
        <is>
          <t>Corn</t>
        </is>
      </c>
      <c r="D718" s="74" t="inlineStr">
        <is>
          <t>Harvest</t>
        </is>
      </c>
      <c r="E718" s="74" t="inlineStr">
        <is>
          <t>Camanggaan</t>
        </is>
      </c>
      <c r="F718" s="85" t="n"/>
      <c r="G718" s="85" t="n"/>
      <c r="H718" s="85" t="n"/>
      <c r="I718" s="75" t="n">
        <v>24.71</v>
      </c>
      <c r="J718" s="75" t="n">
        <v>183.88</v>
      </c>
      <c r="K718" s="75" t="n">
        <v>7.44</v>
      </c>
    </row>
    <row r="719" ht="15" customHeight="1" s="101">
      <c r="A719" s="86" t="inlineStr">
        <is>
          <t>DS</t>
        </is>
      </c>
      <c r="B719" s="86" t="inlineStr">
        <is>
          <t>2021-2022</t>
        </is>
      </c>
      <c r="C719" s="86" t="inlineStr">
        <is>
          <t>Corn</t>
        </is>
      </c>
      <c r="D719" s="86" t="inlineStr">
        <is>
          <t>Planting</t>
        </is>
      </c>
      <c r="E719" s="86" t="inlineStr">
        <is>
          <t>Vacante</t>
        </is>
      </c>
      <c r="F719" s="87" t="n"/>
      <c r="G719" s="87" t="n"/>
      <c r="H719" s="88" t="n">
        <v>47.66</v>
      </c>
      <c r="I719" s="87" t="n"/>
      <c r="J719" s="87" t="n"/>
      <c r="K719" s="87" t="n"/>
    </row>
    <row r="720" ht="15" customHeight="1" s="101">
      <c r="A720" s="74" t="inlineStr">
        <is>
          <t>DS</t>
        </is>
      </c>
      <c r="B720" s="74" t="inlineStr">
        <is>
          <t>2021-2022</t>
        </is>
      </c>
      <c r="C720" s="74" t="inlineStr">
        <is>
          <t>Corn</t>
        </is>
      </c>
      <c r="D720" s="74" t="inlineStr">
        <is>
          <t>Harvest</t>
        </is>
      </c>
      <c r="E720" s="74" t="inlineStr">
        <is>
          <t>Vacante</t>
        </is>
      </c>
      <c r="F720" s="85" t="n"/>
      <c r="G720" s="85" t="n"/>
      <c r="H720" s="85" t="n"/>
      <c r="I720" s="75" t="n">
        <v>47.66</v>
      </c>
      <c r="J720" s="75" t="n">
        <v>354.75</v>
      </c>
      <c r="K720" s="75" t="n">
        <v>7.44</v>
      </c>
    </row>
    <row r="721" ht="15" customHeight="1" s="101">
      <c r="A721" s="86" t="inlineStr">
        <is>
          <t>DS</t>
        </is>
      </c>
      <c r="B721" s="86" t="inlineStr">
        <is>
          <t>2021-2022</t>
        </is>
      </c>
      <c r="C721" s="86" t="inlineStr">
        <is>
          <t>Corn</t>
        </is>
      </c>
      <c r="D721" s="86" t="inlineStr">
        <is>
          <t>Planting</t>
        </is>
      </c>
      <c r="E721" s="86" t="inlineStr">
        <is>
          <t>Sta. Catalina</t>
        </is>
      </c>
      <c r="F721" s="87" t="n"/>
      <c r="G721" s="87" t="n"/>
      <c r="H721" s="88" t="n">
        <v>81.09999999999999</v>
      </c>
      <c r="I721" s="87" t="n"/>
      <c r="J721" s="87" t="n"/>
      <c r="K721" s="87" t="n"/>
    </row>
    <row r="722" ht="15" customHeight="1" s="101">
      <c r="A722" s="74" t="inlineStr">
        <is>
          <t>DS</t>
        </is>
      </c>
      <c r="B722" s="74" t="inlineStr">
        <is>
          <t>2021-2022</t>
        </is>
      </c>
      <c r="C722" s="74" t="inlineStr">
        <is>
          <t>Corn</t>
        </is>
      </c>
      <c r="D722" s="74" t="inlineStr">
        <is>
          <t>Harvest</t>
        </is>
      </c>
      <c r="E722" s="74" t="inlineStr">
        <is>
          <t>Sta. Catalina</t>
        </is>
      </c>
      <c r="F722" s="85" t="n"/>
      <c r="G722" s="85" t="n"/>
      <c r="H722" s="85" t="n"/>
      <c r="I722" s="75" t="n">
        <v>81.09999999999999</v>
      </c>
      <c r="J722" s="75" t="n">
        <v>603.61</v>
      </c>
      <c r="K722" s="75" t="n">
        <v>7.44</v>
      </c>
    </row>
    <row r="723" ht="15" customHeight="1" s="101">
      <c r="A723" s="86" t="inlineStr">
        <is>
          <t>DS</t>
        </is>
      </c>
      <c r="B723" s="86" t="inlineStr">
        <is>
          <t>2021-2022</t>
        </is>
      </c>
      <c r="C723" s="86" t="inlineStr">
        <is>
          <t>Corn</t>
        </is>
      </c>
      <c r="D723" s="86" t="inlineStr">
        <is>
          <t>Planting</t>
        </is>
      </c>
      <c r="E723" s="86" t="inlineStr">
        <is>
          <t>Moreno</t>
        </is>
      </c>
      <c r="F723" s="87" t="n"/>
      <c r="G723" s="87" t="n"/>
      <c r="H723" s="88" t="n">
        <v>58.1</v>
      </c>
      <c r="I723" s="87" t="n"/>
      <c r="J723" s="87" t="n"/>
      <c r="K723" s="87" t="n"/>
    </row>
    <row r="724" ht="15" customHeight="1" s="101">
      <c r="A724" s="74" t="inlineStr">
        <is>
          <t>DS</t>
        </is>
      </c>
      <c r="B724" s="74" t="inlineStr">
        <is>
          <t>2021-2022</t>
        </is>
      </c>
      <c r="C724" s="74" t="inlineStr">
        <is>
          <t>Corn</t>
        </is>
      </c>
      <c r="D724" s="74" t="inlineStr">
        <is>
          <t>Harvest</t>
        </is>
      </c>
      <c r="E724" s="74" t="inlineStr">
        <is>
          <t>Moreno</t>
        </is>
      </c>
      <c r="F724" s="85" t="n"/>
      <c r="G724" s="85" t="n"/>
      <c r="H724" s="85" t="n"/>
      <c r="I724" s="75" t="n">
        <v>58.1</v>
      </c>
      <c r="J724" s="75" t="n">
        <v>432.42</v>
      </c>
      <c r="K724" s="75" t="n">
        <v>7.44</v>
      </c>
    </row>
    <row r="725" ht="15" customHeight="1" s="101">
      <c r="A725" s="86" t="inlineStr">
        <is>
          <t>DS</t>
        </is>
      </c>
      <c r="B725" s="86" t="inlineStr">
        <is>
          <t>2021-2022</t>
        </is>
      </c>
      <c r="C725" s="86" t="inlineStr">
        <is>
          <t>Corn</t>
        </is>
      </c>
      <c r="D725" s="86" t="inlineStr">
        <is>
          <t>Planting</t>
        </is>
      </c>
      <c r="E725" s="86" t="inlineStr">
        <is>
          <t>Cili</t>
        </is>
      </c>
      <c r="F725" s="87" t="n"/>
      <c r="G725" s="87" t="n"/>
      <c r="H725" s="88" t="n">
        <v>54.24</v>
      </c>
      <c r="I725" s="87" t="n"/>
      <c r="J725" s="87" t="n"/>
      <c r="K725" s="87" t="n"/>
    </row>
    <row r="726" ht="15" customHeight="1" s="101">
      <c r="A726" s="74" t="inlineStr">
        <is>
          <t>DS</t>
        </is>
      </c>
      <c r="B726" s="74" t="inlineStr">
        <is>
          <t>2021-2022</t>
        </is>
      </c>
      <c r="C726" s="74" t="inlineStr">
        <is>
          <t>Corn</t>
        </is>
      </c>
      <c r="D726" s="74" t="inlineStr">
        <is>
          <t>Harvest</t>
        </is>
      </c>
      <c r="E726" s="74" t="inlineStr">
        <is>
          <t>Cili</t>
        </is>
      </c>
      <c r="F726" s="85" t="n"/>
      <c r="G726" s="85" t="n"/>
      <c r="H726" s="85" t="n"/>
      <c r="I726" s="75" t="n">
        <v>54.24</v>
      </c>
      <c r="J726" s="75" t="n">
        <v>403.73</v>
      </c>
      <c r="K726" s="75" t="n">
        <v>7.44</v>
      </c>
    </row>
    <row r="727" ht="15" customHeight="1" s="101">
      <c r="A727" s="86" t="inlineStr">
        <is>
          <t>DS</t>
        </is>
      </c>
      <c r="B727" s="86" t="inlineStr">
        <is>
          <t>2021-2022</t>
        </is>
      </c>
      <c r="C727" s="86" t="inlineStr">
        <is>
          <t>Corn</t>
        </is>
      </c>
      <c r="D727" s="86" t="inlineStr">
        <is>
          <t>Planting</t>
        </is>
      </c>
      <c r="E727" s="86" t="inlineStr">
        <is>
          <t>Linmansangan</t>
        </is>
      </c>
      <c r="F727" s="87" t="n"/>
      <c r="G727" s="87" t="n"/>
      <c r="H727" s="88" t="n">
        <v>81.47</v>
      </c>
      <c r="I727" s="87" t="n"/>
      <c r="J727" s="87" t="n"/>
      <c r="K727" s="87" t="n"/>
    </row>
    <row r="728" ht="15" customHeight="1" s="101">
      <c r="A728" s="74" t="inlineStr">
        <is>
          <t>DS</t>
        </is>
      </c>
      <c r="B728" s="74" t="inlineStr">
        <is>
          <t>2021-2022</t>
        </is>
      </c>
      <c r="C728" s="74" t="inlineStr">
        <is>
          <t>Corn</t>
        </is>
      </c>
      <c r="D728" s="74" t="inlineStr">
        <is>
          <t>Harvest</t>
        </is>
      </c>
      <c r="E728" s="74" t="inlineStr">
        <is>
          <t>Linmansangan</t>
        </is>
      </c>
      <c r="F728" s="85" t="n"/>
      <c r="G728" s="85" t="n"/>
      <c r="H728" s="85" t="n"/>
      <c r="I728" s="75" t="n">
        <v>81.47</v>
      </c>
      <c r="J728" s="75" t="n">
        <v>606.36</v>
      </c>
      <c r="K728" s="75" t="n">
        <v>7.44</v>
      </c>
    </row>
    <row r="729" ht="15" customHeight="1" s="101">
      <c r="A729" s="86" t="inlineStr">
        <is>
          <t>DS</t>
        </is>
      </c>
      <c r="B729" s="86" t="inlineStr">
        <is>
          <t>2021-2022</t>
        </is>
      </c>
      <c r="C729" s="86" t="inlineStr">
        <is>
          <t>Corn</t>
        </is>
      </c>
      <c r="D729" s="86" t="inlineStr">
        <is>
          <t>Planting</t>
        </is>
      </c>
      <c r="E729" s="86" t="inlineStr">
        <is>
          <t>Sumabnit</t>
        </is>
      </c>
      <c r="F729" s="87" t="n"/>
      <c r="G729" s="87" t="n"/>
      <c r="H729" s="88" t="n">
        <v>73.36</v>
      </c>
      <c r="I729" s="87" t="n"/>
      <c r="J729" s="87" t="n"/>
      <c r="K729" s="87" t="n"/>
    </row>
    <row r="730" ht="15" customHeight="1" s="101">
      <c r="A730" s="74" t="inlineStr">
        <is>
          <t>DS</t>
        </is>
      </c>
      <c r="B730" s="74" t="inlineStr">
        <is>
          <t>2021-2022</t>
        </is>
      </c>
      <c r="C730" s="74" t="inlineStr">
        <is>
          <t>Corn</t>
        </is>
      </c>
      <c r="D730" s="74" t="inlineStr">
        <is>
          <t>Harvest</t>
        </is>
      </c>
      <c r="E730" s="74" t="inlineStr">
        <is>
          <t>Sumabnit</t>
        </is>
      </c>
      <c r="F730" s="85" t="n"/>
      <c r="G730" s="85" t="n"/>
      <c r="H730" s="85" t="n"/>
      <c r="I730" s="75" t="n">
        <v>73.36</v>
      </c>
      <c r="J730" s="75" t="n">
        <v>545.98</v>
      </c>
      <c r="K730" s="75" t="n">
        <v>7.44</v>
      </c>
    </row>
    <row r="731" ht="15" customHeight="1" s="101">
      <c r="A731" s="86" t="inlineStr">
        <is>
          <t>DS</t>
        </is>
      </c>
      <c r="B731" s="86" t="inlineStr">
        <is>
          <t>2021-2022</t>
        </is>
      </c>
      <c r="C731" s="86" t="inlineStr">
        <is>
          <t>Corn</t>
        </is>
      </c>
      <c r="D731" s="86" t="inlineStr">
        <is>
          <t>Planting</t>
        </is>
      </c>
      <c r="E731" s="86" t="inlineStr">
        <is>
          <t>Capas</t>
        </is>
      </c>
      <c r="F731" s="87" t="n"/>
      <c r="G731" s="87" t="n"/>
      <c r="H731" s="88" t="n">
        <v>103.17</v>
      </c>
      <c r="I731" s="87" t="n"/>
      <c r="J731" s="87" t="n"/>
      <c r="K731" s="87" t="n"/>
    </row>
    <row r="732" ht="15" customHeight="1" s="101">
      <c r="A732" s="74" t="inlineStr">
        <is>
          <t>DS</t>
        </is>
      </c>
      <c r="B732" s="74" t="inlineStr">
        <is>
          <t>2021-2022</t>
        </is>
      </c>
      <c r="C732" s="74" t="inlineStr">
        <is>
          <t>Corn</t>
        </is>
      </c>
      <c r="D732" s="74" t="inlineStr">
        <is>
          <t>Harvest</t>
        </is>
      </c>
      <c r="E732" s="74" t="inlineStr">
        <is>
          <t>Capas</t>
        </is>
      </c>
      <c r="F732" s="85" t="n"/>
      <c r="G732" s="85" t="n"/>
      <c r="H732" s="85" t="n"/>
      <c r="I732" s="75" t="n">
        <v>103.17</v>
      </c>
      <c r="J732" s="75" t="n">
        <v>767.86</v>
      </c>
      <c r="K732" s="75" t="n">
        <v>7.44</v>
      </c>
    </row>
    <row r="733" ht="15" customHeight="1" s="101">
      <c r="A733" s="86" t="inlineStr">
        <is>
          <t>DS</t>
        </is>
      </c>
      <c r="B733" s="86" t="inlineStr">
        <is>
          <t>2021-2022</t>
        </is>
      </c>
      <c r="C733" s="86" t="inlineStr">
        <is>
          <t>Corn</t>
        </is>
      </c>
      <c r="D733" s="86" t="inlineStr">
        <is>
          <t>Planting</t>
        </is>
      </c>
      <c r="E733" s="86" t="inlineStr">
        <is>
          <t>Mangkasuy</t>
        </is>
      </c>
      <c r="F733" s="87" t="n"/>
      <c r="G733" s="87" t="n"/>
      <c r="H733" s="88" t="n">
        <v>92.76000000000001</v>
      </c>
      <c r="I733" s="87" t="n"/>
      <c r="J733" s="87" t="n"/>
      <c r="K733" s="87" t="n"/>
    </row>
    <row r="734" ht="15" customHeight="1" s="101">
      <c r="A734" s="74" t="inlineStr">
        <is>
          <t>DS</t>
        </is>
      </c>
      <c r="B734" s="74" t="inlineStr">
        <is>
          <t>2021-2022</t>
        </is>
      </c>
      <c r="C734" s="74" t="inlineStr">
        <is>
          <t>Corn</t>
        </is>
      </c>
      <c r="D734" s="74" t="inlineStr">
        <is>
          <t>Harvest</t>
        </is>
      </c>
      <c r="E734" s="74" t="inlineStr">
        <is>
          <t>Mangkasuy</t>
        </is>
      </c>
      <c r="F734" s="85" t="n"/>
      <c r="G734" s="85" t="n"/>
      <c r="H734" s="85" t="n"/>
      <c r="I734" s="75" t="n">
        <v>92.76000000000001</v>
      </c>
      <c r="J734" s="75" t="n">
        <v>690.42</v>
      </c>
      <c r="K734" s="75" t="n">
        <v>7.44</v>
      </c>
    </row>
    <row r="735" ht="15" customHeight="1" s="101">
      <c r="A735" s="86" t="inlineStr">
        <is>
          <t>DS</t>
        </is>
      </c>
      <c r="B735" s="86" t="inlineStr">
        <is>
          <t>2021-2022</t>
        </is>
      </c>
      <c r="C735" s="86" t="inlineStr">
        <is>
          <t>Corn</t>
        </is>
      </c>
      <c r="D735" s="86" t="inlineStr">
        <is>
          <t>Planting</t>
        </is>
      </c>
      <c r="E735" s="86" t="inlineStr">
        <is>
          <t>San Pablo</t>
        </is>
      </c>
      <c r="F735" s="87" t="n"/>
      <c r="G735" s="87" t="n"/>
      <c r="H735" s="88" t="n">
        <v>53.45</v>
      </c>
      <c r="I735" s="87" t="n"/>
      <c r="J735" s="87" t="n"/>
      <c r="K735" s="87" t="n"/>
    </row>
    <row r="736" ht="15" customHeight="1" s="101">
      <c r="A736" s="74" t="inlineStr">
        <is>
          <t>DS</t>
        </is>
      </c>
      <c r="B736" s="74" t="inlineStr">
        <is>
          <t>2021-2022</t>
        </is>
      </c>
      <c r="C736" s="74" t="inlineStr">
        <is>
          <t>Corn</t>
        </is>
      </c>
      <c r="D736" s="74" t="inlineStr">
        <is>
          <t>Harvest</t>
        </is>
      </c>
      <c r="E736" s="74" t="inlineStr">
        <is>
          <t>San Pablo</t>
        </is>
      </c>
      <c r="F736" s="85" t="n"/>
      <c r="G736" s="85" t="n"/>
      <c r="H736" s="85" t="n"/>
      <c r="I736" s="75" t="n">
        <v>53.45</v>
      </c>
      <c r="J736" s="75" t="n">
        <v>397.8</v>
      </c>
      <c r="K736" s="75" t="n">
        <v>7.44</v>
      </c>
    </row>
    <row r="737" ht="15" customHeight="1" s="101">
      <c r="A737" s="86" t="inlineStr">
        <is>
          <t>DS</t>
        </is>
      </c>
      <c r="B737" s="86" t="inlineStr">
        <is>
          <t>2021-2022</t>
        </is>
      </c>
      <c r="C737" s="86" t="inlineStr">
        <is>
          <t>Corn</t>
        </is>
      </c>
      <c r="D737" s="86" t="inlineStr">
        <is>
          <t>Planting</t>
        </is>
      </c>
      <c r="E737" s="86" t="inlineStr">
        <is>
          <t>Balangobong</t>
        </is>
      </c>
      <c r="F737" s="87" t="n"/>
      <c r="G737" s="87" t="n"/>
      <c r="H737" s="88" t="n">
        <v>53.48</v>
      </c>
      <c r="I737" s="87" t="n"/>
      <c r="J737" s="87" t="n"/>
      <c r="K737" s="87" t="n"/>
    </row>
    <row r="738" ht="15" customHeight="1" s="101">
      <c r="A738" s="74" t="inlineStr">
        <is>
          <t>DS</t>
        </is>
      </c>
      <c r="B738" s="74" t="inlineStr">
        <is>
          <t>2021-2022</t>
        </is>
      </c>
      <c r="C738" s="74" t="inlineStr">
        <is>
          <t>Corn</t>
        </is>
      </c>
      <c r="D738" s="74" t="inlineStr">
        <is>
          <t>Harvest</t>
        </is>
      </c>
      <c r="E738" s="74" t="inlineStr">
        <is>
          <t>Balangobong</t>
        </is>
      </c>
      <c r="F738" s="85" t="n"/>
      <c r="G738" s="85" t="n"/>
      <c r="H738" s="85" t="n"/>
      <c r="I738" s="75" t="n">
        <v>53.48</v>
      </c>
      <c r="J738" s="75" t="n">
        <v>398.01</v>
      </c>
      <c r="K738" s="75" t="n">
        <v>7.44</v>
      </c>
    </row>
    <row r="739" ht="15" customHeight="1" s="101">
      <c r="A739" s="86" t="inlineStr">
        <is>
          <t>DS</t>
        </is>
      </c>
      <c r="B739" s="86" t="inlineStr">
        <is>
          <t>2021-2022</t>
        </is>
      </c>
      <c r="C739" s="86" t="inlineStr">
        <is>
          <t>Corn</t>
        </is>
      </c>
      <c r="D739" s="86" t="inlineStr">
        <is>
          <t>Planting</t>
        </is>
      </c>
      <c r="E739" s="86" t="inlineStr">
        <is>
          <t>San Felipe Central</t>
        </is>
      </c>
      <c r="F739" s="87" t="n"/>
      <c r="G739" s="87" t="n"/>
      <c r="H739" s="88" t="n">
        <v>66.67</v>
      </c>
      <c r="I739" s="87" t="n"/>
      <c r="J739" s="87" t="n"/>
      <c r="K739" s="87" t="n"/>
    </row>
    <row r="740" ht="15" customHeight="1" s="101">
      <c r="A740" s="74" t="inlineStr">
        <is>
          <t>DS</t>
        </is>
      </c>
      <c r="B740" s="74" t="inlineStr">
        <is>
          <t>2021-2022</t>
        </is>
      </c>
      <c r="C740" s="74" t="inlineStr">
        <is>
          <t>Corn</t>
        </is>
      </c>
      <c r="D740" s="74" t="inlineStr">
        <is>
          <t>Harvest</t>
        </is>
      </c>
      <c r="E740" s="74" t="inlineStr">
        <is>
          <t>San Felipe Central</t>
        </is>
      </c>
      <c r="F740" s="85" t="n"/>
      <c r="G740" s="85" t="n"/>
      <c r="H740" s="85" t="n"/>
      <c r="I740" s="75" t="n">
        <v>66.67</v>
      </c>
      <c r="J740" s="75" t="n">
        <v>496.2</v>
      </c>
      <c r="K740" s="75" t="n">
        <v>7.44</v>
      </c>
    </row>
    <row r="741" ht="15" customHeight="1" s="101">
      <c r="A741" s="86" t="inlineStr">
        <is>
          <t>DS</t>
        </is>
      </c>
      <c r="B741" s="86" t="inlineStr">
        <is>
          <t>2021-2022</t>
        </is>
      </c>
      <c r="C741" s="86" t="inlineStr">
        <is>
          <t>Corn</t>
        </is>
      </c>
      <c r="D741" s="86" t="inlineStr">
        <is>
          <t>Planting</t>
        </is>
      </c>
      <c r="E741" s="86" t="inlineStr">
        <is>
          <t>San Felipe Sur</t>
        </is>
      </c>
      <c r="F741" s="87" t="n"/>
      <c r="G741" s="87" t="n"/>
      <c r="H741" s="88" t="n">
        <v>69.12</v>
      </c>
      <c r="I741" s="87" t="n"/>
      <c r="J741" s="87" t="n"/>
      <c r="K741" s="87" t="n"/>
    </row>
    <row r="742" ht="15" customHeight="1" s="101">
      <c r="A742" s="74" t="inlineStr">
        <is>
          <t>DS</t>
        </is>
      </c>
      <c r="B742" s="74" t="inlineStr">
        <is>
          <t>2021-2022</t>
        </is>
      </c>
      <c r="C742" s="74" t="inlineStr">
        <is>
          <t>Corn</t>
        </is>
      </c>
      <c r="D742" s="74" t="inlineStr">
        <is>
          <t>Harvest</t>
        </is>
      </c>
      <c r="E742" s="74" t="inlineStr">
        <is>
          <t>San Felipe Sur</t>
        </is>
      </c>
      <c r="F742" s="85" t="n"/>
      <c r="G742" s="85" t="n"/>
      <c r="H742" s="85" t="n"/>
      <c r="I742" s="75" t="n">
        <v>69.12</v>
      </c>
      <c r="J742" s="75" t="n">
        <v>514.4400000000001</v>
      </c>
      <c r="K742" s="75" t="n">
        <v>7.44</v>
      </c>
    </row>
    <row r="743" ht="15" customHeight="1" s="101">
      <c r="A743" s="86" t="inlineStr">
        <is>
          <t>DS</t>
        </is>
      </c>
      <c r="B743" s="86" t="inlineStr">
        <is>
          <t>2021-2022</t>
        </is>
      </c>
      <c r="C743" s="86" t="inlineStr">
        <is>
          <t>Corn</t>
        </is>
      </c>
      <c r="D743" s="86" t="inlineStr">
        <is>
          <t>Planting</t>
        </is>
      </c>
      <c r="E743" s="86" t="inlineStr">
        <is>
          <t>Pasileng Sur</t>
        </is>
      </c>
      <c r="F743" s="87" t="n"/>
      <c r="G743" s="87" t="n"/>
      <c r="H743" s="88" t="n">
        <v>70.11</v>
      </c>
      <c r="I743" s="87" t="n"/>
      <c r="J743" s="87" t="n"/>
      <c r="K743" s="87" t="n"/>
    </row>
    <row r="744" ht="15" customHeight="1" s="101">
      <c r="A744" s="74" t="inlineStr">
        <is>
          <t>DS</t>
        </is>
      </c>
      <c r="B744" s="74" t="inlineStr">
        <is>
          <t>2021-2022</t>
        </is>
      </c>
      <c r="C744" s="74" t="inlineStr">
        <is>
          <t>Corn</t>
        </is>
      </c>
      <c r="D744" s="74" t="inlineStr">
        <is>
          <t>Harvest</t>
        </is>
      </c>
      <c r="E744" s="74" t="inlineStr">
        <is>
          <t>Pasileng Sur</t>
        </is>
      </c>
      <c r="F744" s="85" t="n"/>
      <c r="G744" s="85" t="n"/>
      <c r="H744" s="85" t="n"/>
      <c r="I744" s="75" t="n">
        <v>70.11</v>
      </c>
      <c r="J744" s="75" t="n">
        <v>521.84</v>
      </c>
      <c r="K744" s="75" t="n">
        <v>7.44</v>
      </c>
    </row>
    <row r="745" ht="15" customHeight="1" s="101">
      <c r="A745" s="86" t="inlineStr">
        <is>
          <t>DS</t>
        </is>
      </c>
      <c r="B745" s="86" t="inlineStr">
        <is>
          <t>2021-2022</t>
        </is>
      </c>
      <c r="C745" s="86" t="inlineStr">
        <is>
          <t>Corn</t>
        </is>
      </c>
      <c r="D745" s="86" t="inlineStr">
        <is>
          <t>Planting</t>
        </is>
      </c>
      <c r="E745" s="86" t="inlineStr">
        <is>
          <t>Sta. Maria Norte</t>
        </is>
      </c>
      <c r="F745" s="87" t="n"/>
      <c r="G745" s="87" t="n"/>
      <c r="H745" s="88" t="n">
        <v>23.79</v>
      </c>
      <c r="I745" s="87" t="n"/>
      <c r="J745" s="87" t="n"/>
      <c r="K745" s="87" t="n"/>
    </row>
    <row r="746" ht="15" customHeight="1" s="101">
      <c r="A746" s="74" t="inlineStr">
        <is>
          <t>DS</t>
        </is>
      </c>
      <c r="B746" s="74" t="inlineStr">
        <is>
          <t>2021-2022</t>
        </is>
      </c>
      <c r="C746" s="74" t="inlineStr">
        <is>
          <t>Corn</t>
        </is>
      </c>
      <c r="D746" s="74" t="inlineStr">
        <is>
          <t>Harvest</t>
        </is>
      </c>
      <c r="E746" s="74" t="inlineStr">
        <is>
          <t>Sta. Maria Norte</t>
        </is>
      </c>
      <c r="F746" s="85" t="n"/>
      <c r="G746" s="85" t="n"/>
      <c r="H746" s="85" t="n"/>
      <c r="I746" s="75" t="n">
        <v>23.79</v>
      </c>
      <c r="J746" s="75" t="n">
        <v>177.04</v>
      </c>
      <c r="K746" s="75" t="n">
        <v>7.44</v>
      </c>
    </row>
    <row r="747" ht="15" customHeight="1" s="101">
      <c r="A747" s="86" t="inlineStr">
        <is>
          <t>DS</t>
        </is>
      </c>
      <c r="B747" s="86" t="inlineStr">
        <is>
          <t>2021-2022</t>
        </is>
      </c>
      <c r="C747" s="86" t="inlineStr">
        <is>
          <t>Corn</t>
        </is>
      </c>
      <c r="D747" s="86" t="inlineStr">
        <is>
          <t>Planting</t>
        </is>
      </c>
      <c r="E747" s="86" t="inlineStr">
        <is>
          <t>Bugayong</t>
        </is>
      </c>
      <c r="F747" s="87" t="n"/>
      <c r="G747" s="87" t="n"/>
      <c r="H747" s="88" t="n">
        <v>21.39</v>
      </c>
      <c r="I747" s="87" t="n"/>
      <c r="J747" s="87" t="n"/>
      <c r="K747" s="87" t="n"/>
    </row>
    <row r="748" ht="15" customHeight="1" s="101">
      <c r="A748" s="74" t="inlineStr">
        <is>
          <t>DS</t>
        </is>
      </c>
      <c r="B748" s="74" t="inlineStr">
        <is>
          <t>2021-2022</t>
        </is>
      </c>
      <c r="C748" s="74" t="inlineStr">
        <is>
          <t>Corn</t>
        </is>
      </c>
      <c r="D748" s="74" t="inlineStr">
        <is>
          <t>Harvest</t>
        </is>
      </c>
      <c r="E748" s="74" t="inlineStr">
        <is>
          <t>Bugayong</t>
        </is>
      </c>
      <c r="F748" s="85" t="n"/>
      <c r="G748" s="85" t="n"/>
      <c r="H748" s="85" t="n"/>
      <c r="I748" s="75" t="n">
        <v>21.39</v>
      </c>
      <c r="J748" s="75" t="n">
        <v>159.19</v>
      </c>
      <c r="K748" s="75" t="n">
        <v>7.44</v>
      </c>
    </row>
    <row r="749" ht="15" customHeight="1" s="101">
      <c r="A749" s="86" t="inlineStr">
        <is>
          <t>DS</t>
        </is>
      </c>
      <c r="B749" s="86" t="inlineStr">
        <is>
          <t>2021-2022</t>
        </is>
      </c>
      <c r="C749" s="86" t="inlineStr">
        <is>
          <t>Corn</t>
        </is>
      </c>
      <c r="D749" s="86" t="inlineStr">
        <is>
          <t>Planting</t>
        </is>
      </c>
      <c r="E749" s="86" t="inlineStr">
        <is>
          <t>Santiago</t>
        </is>
      </c>
      <c r="F749" s="87" t="n"/>
      <c r="G749" s="87" t="n"/>
      <c r="H749" s="88" t="n">
        <v>70.93000000000001</v>
      </c>
      <c r="I749" s="87" t="n"/>
      <c r="J749" s="87" t="n"/>
      <c r="K749" s="87" t="n"/>
    </row>
    <row r="750" ht="15" customHeight="1" s="101">
      <c r="A750" s="74" t="inlineStr">
        <is>
          <t>DS</t>
        </is>
      </c>
      <c r="B750" s="74" t="inlineStr">
        <is>
          <t>2021-2022</t>
        </is>
      </c>
      <c r="C750" s="74" t="inlineStr">
        <is>
          <t>Corn</t>
        </is>
      </c>
      <c r="D750" s="74" t="inlineStr">
        <is>
          <t>Harvest</t>
        </is>
      </c>
      <c r="E750" s="74" t="inlineStr">
        <is>
          <t>Santiago</t>
        </is>
      </c>
      <c r="F750" s="85" t="n"/>
      <c r="G750" s="85" t="n"/>
      <c r="H750" s="85" t="n"/>
      <c r="I750" s="75" t="n">
        <v>70.93000000000001</v>
      </c>
      <c r="J750" s="75" t="n">
        <v>527.89</v>
      </c>
      <c r="K750" s="75" t="n">
        <v>7.44</v>
      </c>
    </row>
    <row r="751" ht="15" customHeight="1" s="101">
      <c r="A751" s="86" t="inlineStr">
        <is>
          <t>DS</t>
        </is>
      </c>
      <c r="B751" s="86" t="inlineStr">
        <is>
          <t>2022-2023</t>
        </is>
      </c>
      <c r="C751" s="86" t="inlineStr">
        <is>
          <t>Corn</t>
        </is>
      </c>
      <c r="D751" s="86" t="inlineStr">
        <is>
          <t>Planting</t>
        </is>
      </c>
      <c r="E751" s="86" t="inlineStr">
        <is>
          <t>Pasileng Norte</t>
        </is>
      </c>
      <c r="F751" s="87" t="n"/>
      <c r="G751" s="87" t="n"/>
      <c r="H751" s="88" t="n">
        <v>36.4</v>
      </c>
      <c r="I751" s="87" t="n"/>
      <c r="J751" s="87" t="n"/>
      <c r="K751" s="87" t="n"/>
    </row>
    <row r="752" ht="15" customHeight="1" s="101">
      <c r="A752" s="74" t="inlineStr">
        <is>
          <t>DS</t>
        </is>
      </c>
      <c r="B752" s="74" t="inlineStr">
        <is>
          <t>2022-2023</t>
        </is>
      </c>
      <c r="C752" s="74" t="inlineStr">
        <is>
          <t>Corn</t>
        </is>
      </c>
      <c r="D752" s="74" t="inlineStr">
        <is>
          <t>Harvest</t>
        </is>
      </c>
      <c r="E752" s="74" t="inlineStr">
        <is>
          <t>Pasileng Norte</t>
        </is>
      </c>
      <c r="F752" s="85" t="n"/>
      <c r="G752" s="85" t="n"/>
      <c r="H752" s="85" t="n"/>
      <c r="I752" s="75" t="n">
        <v>36.4</v>
      </c>
      <c r="J752" s="75" t="n">
        <v>274.17</v>
      </c>
      <c r="K752" s="75" t="n">
        <v>7.53</v>
      </c>
    </row>
    <row r="753" ht="15" customHeight="1" s="101">
      <c r="A753" s="86" t="inlineStr">
        <is>
          <t>DS</t>
        </is>
      </c>
      <c r="B753" s="86" t="inlineStr">
        <is>
          <t>2022-2023</t>
        </is>
      </c>
      <c r="C753" s="86" t="inlineStr">
        <is>
          <t>Corn</t>
        </is>
      </c>
      <c r="D753" s="86" t="inlineStr">
        <is>
          <t>Planting</t>
        </is>
      </c>
      <c r="E753" s="86" t="inlineStr">
        <is>
          <t>Tabuyoc</t>
        </is>
      </c>
      <c r="F753" s="87" t="n"/>
      <c r="G753" s="87" t="n"/>
      <c r="H753" s="88" t="n">
        <v>56.37</v>
      </c>
      <c r="I753" s="87" t="n"/>
      <c r="J753" s="87" t="n"/>
      <c r="K753" s="87" t="n"/>
    </row>
    <row r="754" ht="15" customHeight="1" s="101">
      <c r="A754" s="74" t="inlineStr">
        <is>
          <t>DS</t>
        </is>
      </c>
      <c r="B754" s="74" t="inlineStr">
        <is>
          <t>2022-2023</t>
        </is>
      </c>
      <c r="C754" s="74" t="inlineStr">
        <is>
          <t>Corn</t>
        </is>
      </c>
      <c r="D754" s="74" t="inlineStr">
        <is>
          <t>Harvest</t>
        </is>
      </c>
      <c r="E754" s="74" t="inlineStr">
        <is>
          <t>Tabuyoc</t>
        </is>
      </c>
      <c r="F754" s="85" t="n"/>
      <c r="G754" s="85" t="n"/>
      <c r="H754" s="85" t="n"/>
      <c r="I754" s="75" t="n">
        <v>56.37</v>
      </c>
      <c r="J754" s="75" t="n">
        <v>424.58</v>
      </c>
      <c r="K754" s="75" t="n">
        <v>7.53</v>
      </c>
    </row>
    <row r="755" ht="15" customHeight="1" s="101">
      <c r="A755" s="86" t="inlineStr">
        <is>
          <t>DS</t>
        </is>
      </c>
      <c r="B755" s="86" t="inlineStr">
        <is>
          <t>2022-2023</t>
        </is>
      </c>
      <c r="C755" s="86" t="inlineStr">
        <is>
          <t>Corn</t>
        </is>
      </c>
      <c r="D755" s="86" t="inlineStr">
        <is>
          <t>Planting</t>
        </is>
      </c>
      <c r="E755" s="86" t="inlineStr">
        <is>
          <t>Bued</t>
        </is>
      </c>
      <c r="F755" s="87" t="n"/>
      <c r="G755" s="87" t="n"/>
      <c r="H755" s="88" t="n">
        <v>42.58</v>
      </c>
      <c r="I755" s="87" t="n"/>
      <c r="J755" s="87" t="n"/>
      <c r="K755" s="87" t="n"/>
    </row>
    <row r="756" ht="15" customHeight="1" s="101">
      <c r="A756" s="74" t="inlineStr">
        <is>
          <t>DS</t>
        </is>
      </c>
      <c r="B756" s="74" t="inlineStr">
        <is>
          <t>2022-2023</t>
        </is>
      </c>
      <c r="C756" s="74" t="inlineStr">
        <is>
          <t>Corn</t>
        </is>
      </c>
      <c r="D756" s="74" t="inlineStr">
        <is>
          <t>Harvest</t>
        </is>
      </c>
      <c r="E756" s="74" t="inlineStr">
        <is>
          <t>Bued</t>
        </is>
      </c>
      <c r="F756" s="85" t="n"/>
      <c r="G756" s="85" t="n"/>
      <c r="H756" s="85" t="n"/>
      <c r="I756" s="75" t="n">
        <v>42.58</v>
      </c>
      <c r="J756" s="75" t="n">
        <v>320.71</v>
      </c>
      <c r="K756" s="75" t="n">
        <v>7.53</v>
      </c>
    </row>
    <row r="757" ht="15" customHeight="1" s="101">
      <c r="A757" s="86" t="inlineStr">
        <is>
          <t>DS</t>
        </is>
      </c>
      <c r="B757" s="86" t="inlineStr">
        <is>
          <t>2022-2023</t>
        </is>
      </c>
      <c r="C757" s="86" t="inlineStr">
        <is>
          <t>Corn</t>
        </is>
      </c>
      <c r="D757" s="86" t="inlineStr">
        <is>
          <t>Planting</t>
        </is>
      </c>
      <c r="E757" s="86" t="inlineStr">
        <is>
          <t>Dumayat</t>
        </is>
      </c>
      <c r="F757" s="87" t="n"/>
      <c r="G757" s="87" t="n"/>
      <c r="H757" s="88" t="n">
        <v>33.24</v>
      </c>
      <c r="I757" s="87" t="n"/>
      <c r="J757" s="87" t="n"/>
      <c r="K757" s="87" t="n"/>
    </row>
    <row r="758" ht="15" customHeight="1" s="101">
      <c r="A758" s="74" t="inlineStr">
        <is>
          <t>DS</t>
        </is>
      </c>
      <c r="B758" s="74" t="inlineStr">
        <is>
          <t>2022-2023</t>
        </is>
      </c>
      <c r="C758" s="74" t="inlineStr">
        <is>
          <t>Corn</t>
        </is>
      </c>
      <c r="D758" s="74" t="inlineStr">
        <is>
          <t>Harvest</t>
        </is>
      </c>
      <c r="E758" s="74" t="inlineStr">
        <is>
          <t>Dumayat</t>
        </is>
      </c>
      <c r="F758" s="85" t="n"/>
      <c r="G758" s="85" t="n"/>
      <c r="H758" s="85" t="n"/>
      <c r="I758" s="75" t="n">
        <v>33.24</v>
      </c>
      <c r="J758" s="75" t="n">
        <v>250.35</v>
      </c>
      <c r="K758" s="75" t="n">
        <v>7.53</v>
      </c>
    </row>
    <row r="759" ht="15" customHeight="1" s="101">
      <c r="A759" s="86" t="inlineStr">
        <is>
          <t>DS</t>
        </is>
      </c>
      <c r="B759" s="86" t="inlineStr">
        <is>
          <t>2022-2023</t>
        </is>
      </c>
      <c r="C759" s="86" t="inlineStr">
        <is>
          <t>Corn</t>
        </is>
      </c>
      <c r="D759" s="86" t="inlineStr">
        <is>
          <t>Planting</t>
        </is>
      </c>
      <c r="E759" s="86" t="inlineStr">
        <is>
          <t>Camanggaan</t>
        </is>
      </c>
      <c r="F759" s="87" t="n"/>
      <c r="G759" s="87" t="n"/>
      <c r="H759" s="88" t="n">
        <v>24.6</v>
      </c>
      <c r="I759" s="87" t="n"/>
      <c r="J759" s="87" t="n"/>
      <c r="K759" s="87" t="n"/>
    </row>
    <row r="760" ht="15" customHeight="1" s="101">
      <c r="A760" s="74" t="inlineStr">
        <is>
          <t>DS</t>
        </is>
      </c>
      <c r="B760" s="74" t="inlineStr">
        <is>
          <t>2022-2023</t>
        </is>
      </c>
      <c r="C760" s="74" t="inlineStr">
        <is>
          <t>Corn</t>
        </is>
      </c>
      <c r="D760" s="74" t="inlineStr">
        <is>
          <t>Harvest</t>
        </is>
      </c>
      <c r="E760" s="74" t="inlineStr">
        <is>
          <t>Camanggaan</t>
        </is>
      </c>
      <c r="F760" s="85" t="n"/>
      <c r="G760" s="85" t="n"/>
      <c r="H760" s="85" t="n"/>
      <c r="I760" s="75" t="n">
        <v>24.6</v>
      </c>
      <c r="J760" s="75" t="n">
        <v>185.31</v>
      </c>
      <c r="K760" s="75" t="n">
        <v>7.53</v>
      </c>
    </row>
    <row r="761" ht="15" customHeight="1" s="101">
      <c r="A761" s="86" t="inlineStr">
        <is>
          <t>DS</t>
        </is>
      </c>
      <c r="B761" s="86" t="inlineStr">
        <is>
          <t>2022-2023</t>
        </is>
      </c>
      <c r="C761" s="86" t="inlineStr">
        <is>
          <t>Corn</t>
        </is>
      </c>
      <c r="D761" s="86" t="inlineStr">
        <is>
          <t>Planting</t>
        </is>
      </c>
      <c r="E761" s="86" t="inlineStr">
        <is>
          <t>Vacante</t>
        </is>
      </c>
      <c r="F761" s="87" t="n"/>
      <c r="G761" s="87" t="n"/>
      <c r="H761" s="88" t="n">
        <v>47.47</v>
      </c>
      <c r="I761" s="87" t="n"/>
      <c r="J761" s="87" t="n"/>
      <c r="K761" s="87" t="n"/>
    </row>
    <row r="762" ht="15" customHeight="1" s="101">
      <c r="A762" s="74" t="inlineStr">
        <is>
          <t>DS</t>
        </is>
      </c>
      <c r="B762" s="74" t="inlineStr">
        <is>
          <t>2022-2023</t>
        </is>
      </c>
      <c r="C762" s="74" t="inlineStr">
        <is>
          <t>Corn</t>
        </is>
      </c>
      <c r="D762" s="74" t="inlineStr">
        <is>
          <t>Harvest</t>
        </is>
      </c>
      <c r="E762" s="74" t="inlineStr">
        <is>
          <t>Vacante</t>
        </is>
      </c>
      <c r="F762" s="85" t="n"/>
      <c r="G762" s="85" t="n"/>
      <c r="H762" s="85" t="n"/>
      <c r="I762" s="75" t="n">
        <v>47.47</v>
      </c>
      <c r="J762" s="75" t="n">
        <v>357.5</v>
      </c>
      <c r="K762" s="75" t="n">
        <v>7.53</v>
      </c>
    </row>
    <row r="763" ht="15" customHeight="1" s="101">
      <c r="A763" s="86" t="inlineStr">
        <is>
          <t>DS</t>
        </is>
      </c>
      <c r="B763" s="86" t="inlineStr">
        <is>
          <t>2022-2023</t>
        </is>
      </c>
      <c r="C763" s="86" t="inlineStr">
        <is>
          <t>Corn</t>
        </is>
      </c>
      <c r="D763" s="86" t="inlineStr">
        <is>
          <t>Planting</t>
        </is>
      </c>
      <c r="E763" s="86" t="inlineStr">
        <is>
          <t>Sta. Catalina</t>
        </is>
      </c>
      <c r="F763" s="87" t="n"/>
      <c r="G763" s="87" t="n"/>
      <c r="H763" s="88" t="n">
        <v>80.76000000000001</v>
      </c>
      <c r="I763" s="87" t="n"/>
      <c r="J763" s="87" t="n"/>
      <c r="K763" s="87" t="n"/>
    </row>
    <row r="764" ht="15" customHeight="1" s="101">
      <c r="A764" s="74" t="inlineStr">
        <is>
          <t>DS</t>
        </is>
      </c>
      <c r="B764" s="74" t="inlineStr">
        <is>
          <t>2022-2023</t>
        </is>
      </c>
      <c r="C764" s="74" t="inlineStr">
        <is>
          <t>Corn</t>
        </is>
      </c>
      <c r="D764" s="74" t="inlineStr">
        <is>
          <t>Harvest</t>
        </is>
      </c>
      <c r="E764" s="74" t="inlineStr">
        <is>
          <t>Sta. Catalina</t>
        </is>
      </c>
      <c r="F764" s="85" t="n"/>
      <c r="G764" s="85" t="n"/>
      <c r="H764" s="85" t="n"/>
      <c r="I764" s="75" t="n">
        <v>80.77</v>
      </c>
      <c r="J764" s="75" t="n">
        <v>608.29</v>
      </c>
      <c r="K764" s="75" t="n">
        <v>7.53</v>
      </c>
    </row>
    <row r="765" ht="15" customHeight="1" s="101">
      <c r="A765" s="86" t="inlineStr">
        <is>
          <t>DS</t>
        </is>
      </c>
      <c r="B765" s="86" t="inlineStr">
        <is>
          <t>2022-2023</t>
        </is>
      </c>
      <c r="C765" s="86" t="inlineStr">
        <is>
          <t>Corn</t>
        </is>
      </c>
      <c r="D765" s="86" t="inlineStr">
        <is>
          <t>Planting</t>
        </is>
      </c>
      <c r="E765" s="86" t="inlineStr">
        <is>
          <t>Moreno</t>
        </is>
      </c>
      <c r="F765" s="87" t="n"/>
      <c r="G765" s="87" t="n"/>
      <c r="H765" s="88" t="n">
        <v>57.86</v>
      </c>
      <c r="I765" s="87" t="n"/>
      <c r="J765" s="87" t="n"/>
      <c r="K765" s="87" t="n"/>
    </row>
    <row r="766" ht="15" customHeight="1" s="101">
      <c r="A766" s="74" t="inlineStr">
        <is>
          <t>DS</t>
        </is>
      </c>
      <c r="B766" s="74" t="inlineStr">
        <is>
          <t>2022-2023</t>
        </is>
      </c>
      <c r="C766" s="74" t="inlineStr">
        <is>
          <t>Corn</t>
        </is>
      </c>
      <c r="D766" s="74" t="inlineStr">
        <is>
          <t>Harvest</t>
        </is>
      </c>
      <c r="E766" s="74" t="inlineStr">
        <is>
          <t>Moreno</t>
        </is>
      </c>
      <c r="F766" s="85" t="n"/>
      <c r="G766" s="85" t="n"/>
      <c r="H766" s="85" t="n"/>
      <c r="I766" s="75" t="n">
        <v>57.86</v>
      </c>
      <c r="J766" s="75" t="n">
        <v>435.77</v>
      </c>
      <c r="K766" s="75" t="n">
        <v>7.53</v>
      </c>
    </row>
    <row r="767" ht="15" customHeight="1" s="101">
      <c r="A767" s="86" t="inlineStr">
        <is>
          <t>DS</t>
        </is>
      </c>
      <c r="B767" s="86" t="inlineStr">
        <is>
          <t>2022-2023</t>
        </is>
      </c>
      <c r="C767" s="86" t="inlineStr">
        <is>
          <t>Corn</t>
        </is>
      </c>
      <c r="D767" s="86" t="inlineStr">
        <is>
          <t>Planting</t>
        </is>
      </c>
      <c r="E767" s="86" t="inlineStr">
        <is>
          <t>Cili</t>
        </is>
      </c>
      <c r="F767" s="87" t="n"/>
      <c r="G767" s="87" t="n"/>
      <c r="H767" s="88" t="n">
        <v>54.02</v>
      </c>
      <c r="I767" s="87" t="n"/>
      <c r="J767" s="87" t="n"/>
      <c r="K767" s="87" t="n"/>
    </row>
    <row r="768" ht="15" customHeight="1" s="101">
      <c r="A768" s="74" t="inlineStr">
        <is>
          <t>DS</t>
        </is>
      </c>
      <c r="B768" s="74" t="inlineStr">
        <is>
          <t>2022-2023</t>
        </is>
      </c>
      <c r="C768" s="74" t="inlineStr">
        <is>
          <t>Corn</t>
        </is>
      </c>
      <c r="D768" s="74" t="inlineStr">
        <is>
          <t>Harvest</t>
        </is>
      </c>
      <c r="E768" s="74" t="inlineStr">
        <is>
          <t>Cili</t>
        </is>
      </c>
      <c r="F768" s="85" t="n"/>
      <c r="G768" s="85" t="n"/>
      <c r="H768" s="85" t="n"/>
      <c r="I768" s="75" t="n">
        <v>54.02</v>
      </c>
      <c r="J768" s="75" t="n">
        <v>406.86</v>
      </c>
      <c r="K768" s="75" t="n">
        <v>7.53</v>
      </c>
    </row>
    <row r="769" ht="15" customHeight="1" s="101">
      <c r="A769" s="86" t="inlineStr">
        <is>
          <t>DS</t>
        </is>
      </c>
      <c r="B769" s="86" t="inlineStr">
        <is>
          <t>2022-2023</t>
        </is>
      </c>
      <c r="C769" s="86" t="inlineStr">
        <is>
          <t>Corn</t>
        </is>
      </c>
      <c r="D769" s="86" t="inlineStr">
        <is>
          <t>Planting</t>
        </is>
      </c>
      <c r="E769" s="86" t="inlineStr">
        <is>
          <t>Linmansangan</t>
        </is>
      </c>
      <c r="F769" s="87" t="n"/>
      <c r="G769" s="87" t="n"/>
      <c r="H769" s="88" t="n">
        <v>81.13</v>
      </c>
      <c r="I769" s="87" t="n"/>
      <c r="J769" s="87" t="n"/>
      <c r="K769" s="87" t="n"/>
    </row>
    <row r="770" ht="15" customHeight="1" s="101">
      <c r="A770" s="74" t="inlineStr">
        <is>
          <t>DS</t>
        </is>
      </c>
      <c r="B770" s="74" t="inlineStr">
        <is>
          <t>2022-2023</t>
        </is>
      </c>
      <c r="C770" s="74" t="inlineStr">
        <is>
          <t>Corn</t>
        </is>
      </c>
      <c r="D770" s="74" t="inlineStr">
        <is>
          <t>Harvest</t>
        </is>
      </c>
      <c r="E770" s="74" t="inlineStr">
        <is>
          <t>Linmansangan</t>
        </is>
      </c>
      <c r="F770" s="85" t="n"/>
      <c r="G770" s="85" t="n"/>
      <c r="H770" s="85" t="n"/>
      <c r="I770" s="75" t="n">
        <v>81.13</v>
      </c>
      <c r="J770" s="75" t="n">
        <v>611.0700000000001</v>
      </c>
      <c r="K770" s="75" t="n">
        <v>7.53</v>
      </c>
    </row>
    <row r="771" ht="15" customHeight="1" s="101">
      <c r="A771" s="86" t="inlineStr">
        <is>
          <t>DS</t>
        </is>
      </c>
      <c r="B771" s="86" t="inlineStr">
        <is>
          <t>2022-2023</t>
        </is>
      </c>
      <c r="C771" s="86" t="inlineStr">
        <is>
          <t>Corn</t>
        </is>
      </c>
      <c r="D771" s="86" t="inlineStr">
        <is>
          <t>Planting</t>
        </is>
      </c>
      <c r="E771" s="86" t="inlineStr">
        <is>
          <t>Sumabnit</t>
        </is>
      </c>
      <c r="F771" s="87" t="n"/>
      <c r="G771" s="87" t="n"/>
      <c r="H771" s="88" t="n">
        <v>73.05</v>
      </c>
      <c r="I771" s="87" t="n"/>
      <c r="J771" s="87" t="n"/>
      <c r="K771" s="87" t="n"/>
    </row>
    <row r="772" ht="15" customHeight="1" s="101">
      <c r="A772" s="74" t="inlineStr">
        <is>
          <t>DS</t>
        </is>
      </c>
      <c r="B772" s="74" t="inlineStr">
        <is>
          <t>2022-2023</t>
        </is>
      </c>
      <c r="C772" s="74" t="inlineStr">
        <is>
          <t>Corn</t>
        </is>
      </c>
      <c r="D772" s="74" t="inlineStr">
        <is>
          <t>Harvest</t>
        </is>
      </c>
      <c r="E772" s="74" t="inlineStr">
        <is>
          <t>Sumabnit</t>
        </is>
      </c>
      <c r="F772" s="85" t="n"/>
      <c r="G772" s="85" t="n"/>
      <c r="H772" s="85" t="n"/>
      <c r="I772" s="75" t="n">
        <v>73.06</v>
      </c>
      <c r="J772" s="75" t="n">
        <v>550.22</v>
      </c>
      <c r="K772" s="75" t="n">
        <v>7.53</v>
      </c>
    </row>
    <row r="773" ht="15" customHeight="1" s="101">
      <c r="A773" s="86" t="inlineStr">
        <is>
          <t>DS</t>
        </is>
      </c>
      <c r="B773" s="86" t="inlineStr">
        <is>
          <t>2022-2023</t>
        </is>
      </c>
      <c r="C773" s="86" t="inlineStr">
        <is>
          <t>Corn</t>
        </is>
      </c>
      <c r="D773" s="86" t="inlineStr">
        <is>
          <t>Planting</t>
        </is>
      </c>
      <c r="E773" s="86" t="inlineStr">
        <is>
          <t>Capas</t>
        </is>
      </c>
      <c r="F773" s="87" t="n"/>
      <c r="G773" s="87" t="n"/>
      <c r="H773" s="88" t="n">
        <v>102.74</v>
      </c>
      <c r="I773" s="87" t="n"/>
      <c r="J773" s="87" t="n"/>
      <c r="K773" s="87" t="n"/>
    </row>
    <row r="774" ht="15" customHeight="1" s="101">
      <c r="A774" s="74" t="inlineStr">
        <is>
          <t>DS</t>
        </is>
      </c>
      <c r="B774" s="74" t="inlineStr">
        <is>
          <t>2022-2023</t>
        </is>
      </c>
      <c r="C774" s="74" t="inlineStr">
        <is>
          <t>Corn</t>
        </is>
      </c>
      <c r="D774" s="74" t="inlineStr">
        <is>
          <t>Harvest</t>
        </is>
      </c>
      <c r="E774" s="74" t="inlineStr">
        <is>
          <t>Capas</t>
        </is>
      </c>
      <c r="F774" s="85" t="n"/>
      <c r="G774" s="85" t="n"/>
      <c r="H774" s="85" t="n"/>
      <c r="I774" s="75" t="n">
        <v>102.74</v>
      </c>
      <c r="J774" s="75" t="n">
        <v>773.8200000000001</v>
      </c>
      <c r="K774" s="75" t="n">
        <v>7.53</v>
      </c>
    </row>
    <row r="775" ht="15" customHeight="1" s="101">
      <c r="A775" s="86" t="inlineStr">
        <is>
          <t>DS</t>
        </is>
      </c>
      <c r="B775" s="86" t="inlineStr">
        <is>
          <t>2022-2023</t>
        </is>
      </c>
      <c r="C775" s="86" t="inlineStr">
        <is>
          <t>Corn</t>
        </is>
      </c>
      <c r="D775" s="86" t="inlineStr">
        <is>
          <t>Planting</t>
        </is>
      </c>
      <c r="E775" s="86" t="inlineStr">
        <is>
          <t>Mangkasuy</t>
        </is>
      </c>
      <c r="F775" s="87" t="n"/>
      <c r="G775" s="87" t="n"/>
      <c r="H775" s="88" t="n">
        <v>92.38</v>
      </c>
      <c r="I775" s="87" t="n"/>
      <c r="J775" s="87" t="n"/>
      <c r="K775" s="87" t="n"/>
    </row>
    <row r="776" ht="15" customHeight="1" s="101">
      <c r="A776" s="74" t="inlineStr">
        <is>
          <t>DS</t>
        </is>
      </c>
      <c r="B776" s="74" t="inlineStr">
        <is>
          <t>2022-2023</t>
        </is>
      </c>
      <c r="C776" s="74" t="inlineStr">
        <is>
          <t>Corn</t>
        </is>
      </c>
      <c r="D776" s="74" t="inlineStr">
        <is>
          <t>Harvest</t>
        </is>
      </c>
      <c r="E776" s="74" t="inlineStr">
        <is>
          <t>Mangkasuy</t>
        </is>
      </c>
      <c r="F776" s="85" t="n"/>
      <c r="G776" s="85" t="n"/>
      <c r="H776" s="85" t="n"/>
      <c r="I776" s="75" t="n">
        <v>92.38</v>
      </c>
      <c r="J776" s="75" t="n">
        <v>695.78</v>
      </c>
      <c r="K776" s="75" t="n">
        <v>7.53</v>
      </c>
    </row>
    <row r="777" ht="15" customHeight="1" s="101">
      <c r="A777" s="86" t="inlineStr">
        <is>
          <t>DS</t>
        </is>
      </c>
      <c r="B777" s="86" t="inlineStr">
        <is>
          <t>2022-2023</t>
        </is>
      </c>
      <c r="C777" s="86" t="inlineStr">
        <is>
          <t>Corn</t>
        </is>
      </c>
      <c r="D777" s="86" t="inlineStr">
        <is>
          <t>Planting</t>
        </is>
      </c>
      <c r="E777" s="86" t="inlineStr">
        <is>
          <t>San Pablo</t>
        </is>
      </c>
      <c r="F777" s="87" t="n"/>
      <c r="G777" s="87" t="n"/>
      <c r="H777" s="88" t="n">
        <v>53.23</v>
      </c>
      <c r="I777" s="87" t="n"/>
      <c r="J777" s="87" t="n"/>
      <c r="K777" s="87" t="n"/>
    </row>
    <row r="778" ht="15" customHeight="1" s="101">
      <c r="A778" s="74" t="inlineStr">
        <is>
          <t>DS</t>
        </is>
      </c>
      <c r="B778" s="74" t="inlineStr">
        <is>
          <t>2022-2023</t>
        </is>
      </c>
      <c r="C778" s="74" t="inlineStr">
        <is>
          <t>Corn</t>
        </is>
      </c>
      <c r="D778" s="74" t="inlineStr">
        <is>
          <t>Harvest</t>
        </is>
      </c>
      <c r="E778" s="74" t="inlineStr">
        <is>
          <t>San Pablo</t>
        </is>
      </c>
      <c r="F778" s="85" t="n"/>
      <c r="G778" s="85" t="n"/>
      <c r="H778" s="85" t="n"/>
      <c r="I778" s="75" t="n">
        <v>53.23</v>
      </c>
      <c r="J778" s="75" t="n">
        <v>400.89</v>
      </c>
      <c r="K778" s="75" t="n">
        <v>7.53</v>
      </c>
    </row>
    <row r="779" ht="15" customHeight="1" s="101">
      <c r="A779" s="86" t="inlineStr">
        <is>
          <t>DS</t>
        </is>
      </c>
      <c r="B779" s="86" t="inlineStr">
        <is>
          <t>2022-2023</t>
        </is>
      </c>
      <c r="C779" s="86" t="inlineStr">
        <is>
          <t>Corn</t>
        </is>
      </c>
      <c r="D779" s="86" t="inlineStr">
        <is>
          <t>Planting</t>
        </is>
      </c>
      <c r="E779" s="86" t="inlineStr">
        <is>
          <t>Balangobong</t>
        </is>
      </c>
      <c r="F779" s="87" t="n"/>
      <c r="G779" s="87" t="n"/>
      <c r="H779" s="88" t="n">
        <v>53.25</v>
      </c>
      <c r="I779" s="87" t="n"/>
      <c r="J779" s="87" t="n"/>
      <c r="K779" s="87" t="n"/>
    </row>
    <row r="780" ht="15" customHeight="1" s="101">
      <c r="A780" s="74" t="inlineStr">
        <is>
          <t>DS</t>
        </is>
      </c>
      <c r="B780" s="74" t="inlineStr">
        <is>
          <t>2022-2023</t>
        </is>
      </c>
      <c r="C780" s="74" t="inlineStr">
        <is>
          <t>Corn</t>
        </is>
      </c>
      <c r="D780" s="74" t="inlineStr">
        <is>
          <t>Harvest</t>
        </is>
      </c>
      <c r="E780" s="74" t="inlineStr">
        <is>
          <t>Balangobong</t>
        </is>
      </c>
      <c r="F780" s="85" t="n"/>
      <c r="G780" s="85" t="n"/>
      <c r="H780" s="85" t="n"/>
      <c r="I780" s="75" t="n">
        <v>53.26</v>
      </c>
      <c r="J780" s="75" t="n">
        <v>401.09</v>
      </c>
      <c r="K780" s="75" t="n">
        <v>7.53</v>
      </c>
    </row>
    <row r="781" ht="15" customHeight="1" s="101">
      <c r="A781" s="86" t="inlineStr">
        <is>
          <t>DS</t>
        </is>
      </c>
      <c r="B781" s="86" t="inlineStr">
        <is>
          <t>2022-2023</t>
        </is>
      </c>
      <c r="C781" s="86" t="inlineStr">
        <is>
          <t>Corn</t>
        </is>
      </c>
      <c r="D781" s="86" t="inlineStr">
        <is>
          <t>Planting</t>
        </is>
      </c>
      <c r="E781" s="86" t="inlineStr">
        <is>
          <t>San Felipe Central</t>
        </is>
      </c>
      <c r="F781" s="87" t="n"/>
      <c r="G781" s="87" t="n"/>
      <c r="H781" s="88" t="n">
        <v>66.39</v>
      </c>
      <c r="I781" s="87" t="n"/>
      <c r="J781" s="87" t="n"/>
      <c r="K781" s="87" t="n"/>
    </row>
    <row r="782" ht="15" customHeight="1" s="101">
      <c r="A782" s="74" t="inlineStr">
        <is>
          <t>DS</t>
        </is>
      </c>
      <c r="B782" s="74" t="inlineStr">
        <is>
          <t>2022-2023</t>
        </is>
      </c>
      <c r="C782" s="74" t="inlineStr">
        <is>
          <t>Corn</t>
        </is>
      </c>
      <c r="D782" s="74" t="inlineStr">
        <is>
          <t>Harvest</t>
        </is>
      </c>
      <c r="E782" s="74" t="inlineStr">
        <is>
          <t>San Felipe Central</t>
        </is>
      </c>
      <c r="F782" s="85" t="n"/>
      <c r="G782" s="85" t="n"/>
      <c r="H782" s="85" t="n"/>
      <c r="I782" s="75" t="n">
        <v>66.39</v>
      </c>
      <c r="J782" s="75" t="n">
        <v>500.06</v>
      </c>
      <c r="K782" s="75" t="n">
        <v>7.53</v>
      </c>
    </row>
    <row r="783" ht="15" customHeight="1" s="101">
      <c r="A783" s="86" t="inlineStr">
        <is>
          <t>DS</t>
        </is>
      </c>
      <c r="B783" s="86" t="inlineStr">
        <is>
          <t>2022-2023</t>
        </is>
      </c>
      <c r="C783" s="86" t="inlineStr">
        <is>
          <t>Corn</t>
        </is>
      </c>
      <c r="D783" s="86" t="inlineStr">
        <is>
          <t>Planting</t>
        </is>
      </c>
      <c r="E783" s="86" t="inlineStr">
        <is>
          <t>San Felipe Sur</t>
        </is>
      </c>
      <c r="F783" s="87" t="n"/>
      <c r="G783" s="87" t="n"/>
      <c r="H783" s="88" t="n">
        <v>68.83</v>
      </c>
      <c r="I783" s="87" t="n"/>
      <c r="J783" s="87" t="n"/>
      <c r="K783" s="87" t="n"/>
    </row>
    <row r="784" ht="15" customHeight="1" s="101">
      <c r="A784" s="74" t="inlineStr">
        <is>
          <t>DS</t>
        </is>
      </c>
      <c r="B784" s="74" t="inlineStr">
        <is>
          <t>2022-2023</t>
        </is>
      </c>
      <c r="C784" s="74" t="inlineStr">
        <is>
          <t>Corn</t>
        </is>
      </c>
      <c r="D784" s="74" t="inlineStr">
        <is>
          <t>Harvest</t>
        </is>
      </c>
      <c r="E784" s="74" t="inlineStr">
        <is>
          <t>San Felipe Sur</t>
        </is>
      </c>
      <c r="F784" s="85" t="n"/>
      <c r="G784" s="85" t="n"/>
      <c r="H784" s="85" t="n"/>
      <c r="I784" s="75" t="n">
        <v>68.83</v>
      </c>
      <c r="J784" s="75" t="n">
        <v>518.4299999999999</v>
      </c>
      <c r="K784" s="75" t="n">
        <v>7.53</v>
      </c>
    </row>
    <row r="785" ht="15" customHeight="1" s="101">
      <c r="A785" s="86" t="inlineStr">
        <is>
          <t>DS</t>
        </is>
      </c>
      <c r="B785" s="86" t="inlineStr">
        <is>
          <t>2022-2023</t>
        </is>
      </c>
      <c r="C785" s="86" t="inlineStr">
        <is>
          <t>Corn</t>
        </is>
      </c>
      <c r="D785" s="86" t="inlineStr">
        <is>
          <t>Planting</t>
        </is>
      </c>
      <c r="E785" s="86" t="inlineStr">
        <is>
          <t>Pasileng Sur</t>
        </is>
      </c>
      <c r="F785" s="87" t="n"/>
      <c r="G785" s="87" t="n"/>
      <c r="H785" s="88" t="n">
        <v>69.81999999999999</v>
      </c>
      <c r="I785" s="87" t="n"/>
      <c r="J785" s="87" t="n"/>
      <c r="K785" s="87" t="n"/>
    </row>
    <row r="786" ht="15" customHeight="1" s="101">
      <c r="A786" s="74" t="inlineStr">
        <is>
          <t>DS</t>
        </is>
      </c>
      <c r="B786" s="74" t="inlineStr">
        <is>
          <t>2022-2023</t>
        </is>
      </c>
      <c r="C786" s="74" t="inlineStr">
        <is>
          <t>Corn</t>
        </is>
      </c>
      <c r="D786" s="74" t="inlineStr">
        <is>
          <t>Harvest</t>
        </is>
      </c>
      <c r="E786" s="74" t="inlineStr">
        <is>
          <t>Pasileng Sur</t>
        </is>
      </c>
      <c r="F786" s="85" t="n"/>
      <c r="G786" s="85" t="n"/>
      <c r="H786" s="85" t="n"/>
      <c r="I786" s="75" t="n">
        <v>69.81999999999999</v>
      </c>
      <c r="J786" s="75" t="n">
        <v>525.89</v>
      </c>
      <c r="K786" s="75" t="n">
        <v>7.53</v>
      </c>
    </row>
    <row r="787" ht="15" customHeight="1" s="101">
      <c r="A787" s="86" t="inlineStr">
        <is>
          <t>DS</t>
        </is>
      </c>
      <c r="B787" s="86" t="inlineStr">
        <is>
          <t>2022-2023</t>
        </is>
      </c>
      <c r="C787" s="86" t="inlineStr">
        <is>
          <t>Corn</t>
        </is>
      </c>
      <c r="D787" s="86" t="inlineStr">
        <is>
          <t>Planting</t>
        </is>
      </c>
      <c r="E787" s="86" t="inlineStr">
        <is>
          <t>Sta. Maria Norte</t>
        </is>
      </c>
      <c r="F787" s="87" t="n"/>
      <c r="G787" s="87" t="n"/>
      <c r="H787" s="88" t="n">
        <v>23.69</v>
      </c>
      <c r="I787" s="87" t="n"/>
      <c r="J787" s="87" t="n"/>
      <c r="K787" s="87" t="n"/>
    </row>
    <row r="788" ht="15" customHeight="1" s="101">
      <c r="A788" s="74" t="inlineStr">
        <is>
          <t>DS</t>
        </is>
      </c>
      <c r="B788" s="74" t="inlineStr">
        <is>
          <t>2022-2023</t>
        </is>
      </c>
      <c r="C788" s="74" t="inlineStr">
        <is>
          <t>Corn</t>
        </is>
      </c>
      <c r="D788" s="74" t="inlineStr">
        <is>
          <t>Harvest</t>
        </is>
      </c>
      <c r="E788" s="74" t="inlineStr">
        <is>
          <t>Sta. Maria Norte</t>
        </is>
      </c>
      <c r="F788" s="85" t="n"/>
      <c r="G788" s="85" t="n"/>
      <c r="H788" s="85" t="n"/>
      <c r="I788" s="75" t="n">
        <v>23.69</v>
      </c>
      <c r="J788" s="75" t="n">
        <v>178.42</v>
      </c>
      <c r="K788" s="75" t="n">
        <v>7.53</v>
      </c>
    </row>
    <row r="789" ht="15" customHeight="1" s="101">
      <c r="A789" s="86" t="inlineStr">
        <is>
          <t>DS</t>
        </is>
      </c>
      <c r="B789" s="86" t="inlineStr">
        <is>
          <t>2022-2023</t>
        </is>
      </c>
      <c r="C789" s="86" t="inlineStr">
        <is>
          <t>Corn</t>
        </is>
      </c>
      <c r="D789" s="86" t="inlineStr">
        <is>
          <t>Planting</t>
        </is>
      </c>
      <c r="E789" s="86" t="inlineStr">
        <is>
          <t>Bugayong</t>
        </is>
      </c>
      <c r="F789" s="87" t="n"/>
      <c r="G789" s="87" t="n"/>
      <c r="H789" s="88" t="n">
        <v>21.3</v>
      </c>
      <c r="I789" s="87" t="n"/>
      <c r="J789" s="87" t="n"/>
      <c r="K789" s="87" t="n"/>
    </row>
    <row r="790" ht="15" customHeight="1" s="101">
      <c r="A790" s="74" t="inlineStr">
        <is>
          <t>DS</t>
        </is>
      </c>
      <c r="B790" s="74" t="inlineStr">
        <is>
          <t>2022-2023</t>
        </is>
      </c>
      <c r="C790" s="74" t="inlineStr">
        <is>
          <t>Corn</t>
        </is>
      </c>
      <c r="D790" s="74" t="inlineStr">
        <is>
          <t>Harvest</t>
        </is>
      </c>
      <c r="E790" s="74" t="inlineStr">
        <is>
          <t>Bugayong</t>
        </is>
      </c>
      <c r="F790" s="85" t="n"/>
      <c r="G790" s="85" t="n"/>
      <c r="H790" s="85" t="n"/>
      <c r="I790" s="75" t="n">
        <v>21.3</v>
      </c>
      <c r="J790" s="75" t="n">
        <v>160.42</v>
      </c>
      <c r="K790" s="75" t="n">
        <v>7.53</v>
      </c>
    </row>
    <row r="791" ht="15" customHeight="1" s="101">
      <c r="A791" s="86" t="inlineStr">
        <is>
          <t>DS</t>
        </is>
      </c>
      <c r="B791" s="86" t="inlineStr">
        <is>
          <t>2022-2023</t>
        </is>
      </c>
      <c r="C791" s="86" t="inlineStr">
        <is>
          <t>Corn</t>
        </is>
      </c>
      <c r="D791" s="86" t="inlineStr">
        <is>
          <t>Planting</t>
        </is>
      </c>
      <c r="E791" s="86" t="inlineStr">
        <is>
          <t>Santiago</t>
        </is>
      </c>
      <c r="F791" s="87" t="n"/>
      <c r="G791" s="87" t="n"/>
      <c r="H791" s="88" t="n">
        <v>70.65000000000001</v>
      </c>
      <c r="I791" s="87" t="n"/>
      <c r="J791" s="87" t="n"/>
      <c r="K791" s="87" t="n"/>
    </row>
    <row r="792" ht="15" customHeight="1" s="101">
      <c r="A792" s="74" t="inlineStr">
        <is>
          <t>DS</t>
        </is>
      </c>
      <c r="B792" s="74" t="inlineStr">
        <is>
          <t>2022-2023</t>
        </is>
      </c>
      <c r="C792" s="74" t="inlineStr">
        <is>
          <t>Corn</t>
        </is>
      </c>
      <c r="D792" s="74" t="inlineStr">
        <is>
          <t>Harvest</t>
        </is>
      </c>
      <c r="E792" s="74" t="inlineStr">
        <is>
          <t>Santiago</t>
        </is>
      </c>
      <c r="F792" s="85" t="n"/>
      <c r="G792" s="85" t="n"/>
      <c r="H792" s="85" t="n"/>
      <c r="I792" s="75" t="n">
        <v>70.65000000000001</v>
      </c>
      <c r="J792" s="75" t="n">
        <v>531.99</v>
      </c>
      <c r="K792" s="75" t="n">
        <v>7.53</v>
      </c>
    </row>
    <row r="793" ht="15" customHeight="1" s="101">
      <c r="A793" s="86" t="inlineStr">
        <is>
          <t>DS</t>
        </is>
      </c>
      <c r="B793" s="86" t="inlineStr">
        <is>
          <t>2023-2024</t>
        </is>
      </c>
      <c r="C793" s="86" t="inlineStr">
        <is>
          <t>Corn</t>
        </is>
      </c>
      <c r="D793" s="86" t="inlineStr">
        <is>
          <t>Planting</t>
        </is>
      </c>
      <c r="E793" s="86" t="inlineStr">
        <is>
          <t>Pasileng Norte</t>
        </is>
      </c>
      <c r="F793" s="87" t="n"/>
      <c r="G793" s="87" t="n"/>
      <c r="H793" s="88" t="n">
        <v>42.7</v>
      </c>
      <c r="I793" s="87" t="n"/>
      <c r="J793" s="87" t="n"/>
      <c r="K793" s="87" t="n"/>
    </row>
    <row r="794" ht="15" customHeight="1" s="101">
      <c r="A794" s="74" t="inlineStr">
        <is>
          <t>DS</t>
        </is>
      </c>
      <c r="B794" s="74" t="inlineStr">
        <is>
          <t>2023-2024</t>
        </is>
      </c>
      <c r="C794" s="74" t="inlineStr">
        <is>
          <t>Corn</t>
        </is>
      </c>
      <c r="D794" s="74" t="inlineStr">
        <is>
          <t>Harvest</t>
        </is>
      </c>
      <c r="E794" s="74" t="inlineStr">
        <is>
          <t>Pasileng Norte</t>
        </is>
      </c>
      <c r="F794" s="85" t="n"/>
      <c r="G794" s="85" t="n"/>
      <c r="H794" s="85" t="n"/>
      <c r="I794" s="75" t="n">
        <v>41.22</v>
      </c>
      <c r="J794" s="75" t="n">
        <v>297.46</v>
      </c>
      <c r="K794" s="75" t="n">
        <v>7.22</v>
      </c>
    </row>
    <row r="795" ht="15" customHeight="1" s="101">
      <c r="A795" s="86" t="inlineStr">
        <is>
          <t>DS</t>
        </is>
      </c>
      <c r="B795" s="86" t="inlineStr">
        <is>
          <t>2023-2024</t>
        </is>
      </c>
      <c r="C795" s="86" t="inlineStr">
        <is>
          <t>Corn</t>
        </is>
      </c>
      <c r="D795" s="86" t="inlineStr">
        <is>
          <t>Planting</t>
        </is>
      </c>
      <c r="E795" s="86" t="inlineStr">
        <is>
          <t>Tabuyoc</t>
        </is>
      </c>
      <c r="F795" s="87" t="n"/>
      <c r="G795" s="87" t="n"/>
      <c r="H795" s="88" t="n">
        <v>66.12</v>
      </c>
      <c r="I795" s="87" t="n"/>
      <c r="J795" s="87" t="n"/>
      <c r="K795" s="87" t="n"/>
    </row>
    <row r="796" ht="15" customHeight="1" s="101">
      <c r="A796" s="74" t="inlineStr">
        <is>
          <t>DS</t>
        </is>
      </c>
      <c r="B796" s="74" t="inlineStr">
        <is>
          <t>2023-2024</t>
        </is>
      </c>
      <c r="C796" s="74" t="inlineStr">
        <is>
          <t>Corn</t>
        </is>
      </c>
      <c r="D796" s="74" t="inlineStr">
        <is>
          <t>Harvest</t>
        </is>
      </c>
      <c r="E796" s="74" t="inlineStr">
        <is>
          <t>Tabuyoc</t>
        </is>
      </c>
      <c r="F796" s="85" t="n"/>
      <c r="G796" s="85" t="n"/>
      <c r="H796" s="85" t="n"/>
      <c r="I796" s="75" t="n">
        <v>63.83</v>
      </c>
      <c r="J796" s="75" t="n">
        <v>460.63</v>
      </c>
      <c r="K796" s="75" t="n">
        <v>7.22</v>
      </c>
    </row>
    <row r="797" ht="15" customHeight="1" s="101">
      <c r="A797" s="86" t="inlineStr">
        <is>
          <t>DS</t>
        </is>
      </c>
      <c r="B797" s="86" t="inlineStr">
        <is>
          <t>2023-2024</t>
        </is>
      </c>
      <c r="C797" s="86" t="inlineStr">
        <is>
          <t>Corn</t>
        </is>
      </c>
      <c r="D797" s="86" t="inlineStr">
        <is>
          <t>Planting</t>
        </is>
      </c>
      <c r="E797" s="86" t="inlineStr">
        <is>
          <t>Bued</t>
        </is>
      </c>
      <c r="F797" s="87" t="n"/>
      <c r="G797" s="87" t="n"/>
      <c r="H797" s="88" t="n">
        <v>49.95</v>
      </c>
      <c r="I797" s="87" t="n"/>
      <c r="J797" s="87" t="n"/>
      <c r="K797" s="87" t="n"/>
    </row>
    <row r="798" ht="15" customHeight="1" s="101">
      <c r="A798" s="74" t="inlineStr">
        <is>
          <t>DS</t>
        </is>
      </c>
      <c r="B798" s="74" t="inlineStr">
        <is>
          <t>2023-2024</t>
        </is>
      </c>
      <c r="C798" s="74" t="inlineStr">
        <is>
          <t>Corn</t>
        </is>
      </c>
      <c r="D798" s="74" t="inlineStr">
        <is>
          <t>Harvest</t>
        </is>
      </c>
      <c r="E798" s="74" t="inlineStr">
        <is>
          <t>Bued</t>
        </is>
      </c>
      <c r="F798" s="85" t="n"/>
      <c r="G798" s="85" t="n"/>
      <c r="H798" s="85" t="n"/>
      <c r="I798" s="75" t="n">
        <v>48.22</v>
      </c>
      <c r="J798" s="75" t="n">
        <v>347.95</v>
      </c>
      <c r="K798" s="75" t="n">
        <v>7.22</v>
      </c>
    </row>
    <row r="799" ht="15" customHeight="1" s="101">
      <c r="A799" s="86" t="inlineStr">
        <is>
          <t>DS</t>
        </is>
      </c>
      <c r="B799" s="86" t="inlineStr">
        <is>
          <t>2023-2024</t>
        </is>
      </c>
      <c r="C799" s="86" t="inlineStr">
        <is>
          <t>Corn</t>
        </is>
      </c>
      <c r="D799" s="86" t="inlineStr">
        <is>
          <t>Planting</t>
        </is>
      </c>
      <c r="E799" s="86" t="inlineStr">
        <is>
          <t>Dumayat</t>
        </is>
      </c>
      <c r="F799" s="87" t="n"/>
      <c r="G799" s="87" t="n"/>
      <c r="H799" s="88" t="n">
        <v>38.99</v>
      </c>
      <c r="I799" s="87" t="n"/>
      <c r="J799" s="87" t="n"/>
      <c r="K799" s="87" t="n"/>
    </row>
    <row r="800" ht="15" customHeight="1" s="101">
      <c r="A800" s="74" t="inlineStr">
        <is>
          <t>DS</t>
        </is>
      </c>
      <c r="B800" s="74" t="inlineStr">
        <is>
          <t>2023-2024</t>
        </is>
      </c>
      <c r="C800" s="74" t="inlineStr">
        <is>
          <t>Corn</t>
        </is>
      </c>
      <c r="D800" s="74" t="inlineStr">
        <is>
          <t>Harvest</t>
        </is>
      </c>
      <c r="E800" s="74" t="inlineStr">
        <is>
          <t>Dumayat</t>
        </is>
      </c>
      <c r="F800" s="85" t="n"/>
      <c r="G800" s="85" t="n"/>
      <c r="H800" s="85" t="n"/>
      <c r="I800" s="75" t="n">
        <v>37.64</v>
      </c>
      <c r="J800" s="75" t="n">
        <v>271.61</v>
      </c>
      <c r="K800" s="75" t="n">
        <v>7.22</v>
      </c>
    </row>
    <row r="801" ht="15" customHeight="1" s="101">
      <c r="A801" s="86" t="inlineStr">
        <is>
          <t>DS</t>
        </is>
      </c>
      <c r="B801" s="86" t="inlineStr">
        <is>
          <t>2023-2024</t>
        </is>
      </c>
      <c r="C801" s="86" t="inlineStr">
        <is>
          <t>Corn</t>
        </is>
      </c>
      <c r="D801" s="86" t="inlineStr">
        <is>
          <t>Planting</t>
        </is>
      </c>
      <c r="E801" s="86" t="inlineStr">
        <is>
          <t>Camanggaan</t>
        </is>
      </c>
      <c r="F801" s="87" t="n"/>
      <c r="G801" s="87" t="n"/>
      <c r="H801" s="88" t="n">
        <v>28.86</v>
      </c>
      <c r="I801" s="87" t="n"/>
      <c r="J801" s="87" t="n"/>
      <c r="K801" s="87" t="n"/>
    </row>
    <row r="802" ht="15" customHeight="1" s="101">
      <c r="A802" s="74" t="inlineStr">
        <is>
          <t>DS</t>
        </is>
      </c>
      <c r="B802" s="74" t="inlineStr">
        <is>
          <t>2023-2024</t>
        </is>
      </c>
      <c r="C802" s="74" t="inlineStr">
        <is>
          <t>Corn</t>
        </is>
      </c>
      <c r="D802" s="74" t="inlineStr">
        <is>
          <t>Harvest</t>
        </is>
      </c>
      <c r="E802" s="74" t="inlineStr">
        <is>
          <t>Camanggaan</t>
        </is>
      </c>
      <c r="F802" s="85" t="n"/>
      <c r="G802" s="85" t="n"/>
      <c r="H802" s="85" t="n"/>
      <c r="I802" s="75" t="n">
        <v>27.86</v>
      </c>
      <c r="J802" s="75" t="n">
        <v>201.05</v>
      </c>
      <c r="K802" s="75" t="n">
        <v>7.22</v>
      </c>
    </row>
    <row r="803" ht="15" customHeight="1" s="101">
      <c r="A803" s="86" t="inlineStr">
        <is>
          <t>DS</t>
        </is>
      </c>
      <c r="B803" s="86" t="inlineStr">
        <is>
          <t>2023-2024</t>
        </is>
      </c>
      <c r="C803" s="86" t="inlineStr">
        <is>
          <t>Corn</t>
        </is>
      </c>
      <c r="D803" s="86" t="inlineStr">
        <is>
          <t>Planting</t>
        </is>
      </c>
      <c r="E803" s="86" t="inlineStr">
        <is>
          <t>Vacante</t>
        </is>
      </c>
      <c r="F803" s="87" t="n"/>
      <c r="G803" s="87" t="n"/>
      <c r="H803" s="88" t="n">
        <v>55.68</v>
      </c>
      <c r="I803" s="87" t="n"/>
      <c r="J803" s="87" t="n"/>
      <c r="K803" s="87" t="n"/>
    </row>
    <row r="804" ht="15" customHeight="1" s="101">
      <c r="A804" s="74" t="inlineStr">
        <is>
          <t>DS</t>
        </is>
      </c>
      <c r="B804" s="74" t="inlineStr">
        <is>
          <t>2023-2024</t>
        </is>
      </c>
      <c r="C804" s="74" t="inlineStr">
        <is>
          <t>Corn</t>
        </is>
      </c>
      <c r="D804" s="74" t="inlineStr">
        <is>
          <t>Harvest</t>
        </is>
      </c>
      <c r="E804" s="74" t="inlineStr">
        <is>
          <t>Vacante</t>
        </is>
      </c>
      <c r="F804" s="85" t="n"/>
      <c r="G804" s="85" t="n"/>
      <c r="H804" s="85" t="n"/>
      <c r="I804" s="75" t="n">
        <v>53.75</v>
      </c>
      <c r="J804" s="75" t="n">
        <v>387.86</v>
      </c>
      <c r="K804" s="75" t="n">
        <v>7.22</v>
      </c>
    </row>
    <row r="805" ht="15" customHeight="1" s="101">
      <c r="A805" s="86" t="inlineStr">
        <is>
          <t>DS</t>
        </is>
      </c>
      <c r="B805" s="86" t="inlineStr">
        <is>
          <t>2023-2024</t>
        </is>
      </c>
      <c r="C805" s="86" t="inlineStr">
        <is>
          <t>Corn</t>
        </is>
      </c>
      <c r="D805" s="86" t="inlineStr">
        <is>
          <t>Planting</t>
        </is>
      </c>
      <c r="E805" s="86" t="inlineStr">
        <is>
          <t>Sta. Catalina</t>
        </is>
      </c>
      <c r="F805" s="87" t="n"/>
      <c r="G805" s="87" t="n"/>
      <c r="H805" s="88" t="n">
        <v>94.73</v>
      </c>
      <c r="I805" s="87" t="n"/>
      <c r="J805" s="87" t="n"/>
      <c r="K805" s="87" t="n"/>
    </row>
    <row r="806" ht="15" customHeight="1" s="101">
      <c r="A806" s="74" t="inlineStr">
        <is>
          <t>DS</t>
        </is>
      </c>
      <c r="B806" s="74" t="inlineStr">
        <is>
          <t>2023-2024</t>
        </is>
      </c>
      <c r="C806" s="74" t="inlineStr">
        <is>
          <t>Corn</t>
        </is>
      </c>
      <c r="D806" s="74" t="inlineStr">
        <is>
          <t>Harvest</t>
        </is>
      </c>
      <c r="E806" s="74" t="inlineStr">
        <is>
          <t>Sta. Catalina</t>
        </is>
      </c>
      <c r="F806" s="85" t="n"/>
      <c r="G806" s="85" t="n"/>
      <c r="H806" s="85" t="n"/>
      <c r="I806" s="75" t="n">
        <v>91.45</v>
      </c>
      <c r="J806" s="75" t="n">
        <v>659.95</v>
      </c>
      <c r="K806" s="75" t="n">
        <v>7.22</v>
      </c>
    </row>
    <row r="807" ht="15" customHeight="1" s="101">
      <c r="A807" s="86" t="inlineStr">
        <is>
          <t>DS</t>
        </is>
      </c>
      <c r="B807" s="86" t="inlineStr">
        <is>
          <t>2023-2024</t>
        </is>
      </c>
      <c r="C807" s="86" t="inlineStr">
        <is>
          <t>Corn</t>
        </is>
      </c>
      <c r="D807" s="86" t="inlineStr">
        <is>
          <t>Planting</t>
        </is>
      </c>
      <c r="E807" s="86" t="inlineStr">
        <is>
          <t>Moreno</t>
        </is>
      </c>
      <c r="F807" s="87" t="n"/>
      <c r="G807" s="87" t="n"/>
      <c r="H807" s="88" t="n">
        <v>67.87</v>
      </c>
      <c r="I807" s="87" t="n"/>
      <c r="J807" s="87" t="n"/>
      <c r="K807" s="87" t="n"/>
    </row>
    <row r="808" ht="15" customHeight="1" s="101">
      <c r="A808" s="74" t="inlineStr">
        <is>
          <t>DS</t>
        </is>
      </c>
      <c r="B808" s="74" t="inlineStr">
        <is>
          <t>2023-2024</t>
        </is>
      </c>
      <c r="C808" s="74" t="inlineStr">
        <is>
          <t>Corn</t>
        </is>
      </c>
      <c r="D808" s="74" t="inlineStr">
        <is>
          <t>Harvest</t>
        </is>
      </c>
      <c r="E808" s="74" t="inlineStr">
        <is>
          <t>Moreno</t>
        </is>
      </c>
      <c r="F808" s="85" t="n"/>
      <c r="G808" s="85" t="n"/>
      <c r="H808" s="85" t="n"/>
      <c r="I808" s="75" t="n">
        <v>65.51000000000001</v>
      </c>
      <c r="J808" s="75" t="n">
        <v>472.78</v>
      </c>
      <c r="K808" s="75" t="n">
        <v>7.22</v>
      </c>
    </row>
    <row r="809" ht="15" customHeight="1" s="101">
      <c r="A809" s="86" t="inlineStr">
        <is>
          <t>DS</t>
        </is>
      </c>
      <c r="B809" s="86" t="inlineStr">
        <is>
          <t>2023-2024</t>
        </is>
      </c>
      <c r="C809" s="86" t="inlineStr">
        <is>
          <t>Corn</t>
        </is>
      </c>
      <c r="D809" s="86" t="inlineStr">
        <is>
          <t>Planting</t>
        </is>
      </c>
      <c r="E809" s="86" t="inlineStr">
        <is>
          <t>Cili</t>
        </is>
      </c>
      <c r="F809" s="87" t="n"/>
      <c r="G809" s="87" t="n"/>
      <c r="H809" s="88" t="n">
        <v>63.36</v>
      </c>
      <c r="I809" s="87" t="n"/>
      <c r="J809" s="87" t="n"/>
      <c r="K809" s="87" t="n"/>
    </row>
    <row r="810" ht="15" customHeight="1" s="101">
      <c r="A810" s="74" t="inlineStr">
        <is>
          <t>DS</t>
        </is>
      </c>
      <c r="B810" s="74" t="inlineStr">
        <is>
          <t>2023-2024</t>
        </is>
      </c>
      <c r="C810" s="74" t="inlineStr">
        <is>
          <t>Corn</t>
        </is>
      </c>
      <c r="D810" s="74" t="inlineStr">
        <is>
          <t>Harvest</t>
        </is>
      </c>
      <c r="E810" s="74" t="inlineStr">
        <is>
          <t>Cili</t>
        </is>
      </c>
      <c r="F810" s="85" t="n"/>
      <c r="G810" s="85" t="n"/>
      <c r="H810" s="85" t="n"/>
      <c r="I810" s="75" t="n">
        <v>61.17</v>
      </c>
      <c r="J810" s="75" t="n">
        <v>441.41</v>
      </c>
      <c r="K810" s="75" t="n">
        <v>7.22</v>
      </c>
    </row>
    <row r="811" ht="15" customHeight="1" s="101">
      <c r="A811" s="86" t="inlineStr">
        <is>
          <t>DS</t>
        </is>
      </c>
      <c r="B811" s="86" t="inlineStr">
        <is>
          <t>2023-2024</t>
        </is>
      </c>
      <c r="C811" s="86" t="inlineStr">
        <is>
          <t>Corn</t>
        </is>
      </c>
      <c r="D811" s="86" t="inlineStr">
        <is>
          <t>Planting</t>
        </is>
      </c>
      <c r="E811" s="86" t="inlineStr">
        <is>
          <t>Linmansangan</t>
        </is>
      </c>
      <c r="F811" s="87" t="n"/>
      <c r="G811" s="87" t="n"/>
      <c r="H811" s="88" t="n">
        <v>95.16</v>
      </c>
      <c r="I811" s="87" t="n"/>
      <c r="J811" s="87" t="n"/>
      <c r="K811" s="87" t="n"/>
    </row>
    <row r="812" ht="15" customHeight="1" s="101">
      <c r="A812" s="74" t="inlineStr">
        <is>
          <t>DS</t>
        </is>
      </c>
      <c r="B812" s="74" t="inlineStr">
        <is>
          <t>2023-2024</t>
        </is>
      </c>
      <c r="C812" s="74" t="inlineStr">
        <is>
          <t>Corn</t>
        </is>
      </c>
      <c r="D812" s="74" t="inlineStr">
        <is>
          <t>Harvest</t>
        </is>
      </c>
      <c r="E812" s="74" t="inlineStr">
        <is>
          <t>Linmansangan</t>
        </is>
      </c>
      <c r="F812" s="85" t="n"/>
      <c r="G812" s="85" t="n"/>
      <c r="H812" s="85" t="n"/>
      <c r="I812" s="75" t="n">
        <v>91.87</v>
      </c>
      <c r="J812" s="75" t="n">
        <v>662.96</v>
      </c>
      <c r="K812" s="75" t="n">
        <v>7.22</v>
      </c>
    </row>
    <row r="813" ht="15" customHeight="1" s="101">
      <c r="A813" s="86" t="inlineStr">
        <is>
          <t>DS</t>
        </is>
      </c>
      <c r="B813" s="86" t="inlineStr">
        <is>
          <t>2023-2024</t>
        </is>
      </c>
      <c r="C813" s="86" t="inlineStr">
        <is>
          <t>Corn</t>
        </is>
      </c>
      <c r="D813" s="86" t="inlineStr">
        <is>
          <t>Planting</t>
        </is>
      </c>
      <c r="E813" s="86" t="inlineStr">
        <is>
          <t>Sumabnit</t>
        </is>
      </c>
      <c r="F813" s="87" t="n"/>
      <c r="G813" s="87" t="n"/>
      <c r="H813" s="88" t="n">
        <v>85.69</v>
      </c>
      <c r="I813" s="87" t="n"/>
      <c r="J813" s="87" t="n"/>
      <c r="K813" s="87" t="n"/>
    </row>
    <row r="814" ht="15" customHeight="1" s="101">
      <c r="A814" s="74" t="inlineStr">
        <is>
          <t>DS</t>
        </is>
      </c>
      <c r="B814" s="74" t="inlineStr">
        <is>
          <t>2023-2024</t>
        </is>
      </c>
      <c r="C814" s="74" t="inlineStr">
        <is>
          <t>Corn</t>
        </is>
      </c>
      <c r="D814" s="74" t="inlineStr">
        <is>
          <t>Harvest</t>
        </is>
      </c>
      <c r="E814" s="74" t="inlineStr">
        <is>
          <t>Sumabnit</t>
        </is>
      </c>
      <c r="F814" s="85" t="n"/>
      <c r="G814" s="85" t="n"/>
      <c r="H814" s="85" t="n"/>
      <c r="I814" s="75" t="n">
        <v>82.72</v>
      </c>
      <c r="J814" s="75" t="n">
        <v>596.95</v>
      </c>
      <c r="K814" s="75" t="n">
        <v>7.22</v>
      </c>
    </row>
    <row r="815" ht="15" customHeight="1" s="101">
      <c r="A815" s="86" t="inlineStr">
        <is>
          <t>DS</t>
        </is>
      </c>
      <c r="B815" s="86" t="inlineStr">
        <is>
          <t>2023-2024</t>
        </is>
      </c>
      <c r="C815" s="86" t="inlineStr">
        <is>
          <t>Corn</t>
        </is>
      </c>
      <c r="D815" s="86" t="inlineStr">
        <is>
          <t>Planting</t>
        </is>
      </c>
      <c r="E815" s="86" t="inlineStr">
        <is>
          <t>Capas</t>
        </is>
      </c>
      <c r="F815" s="87" t="n"/>
      <c r="G815" s="87" t="n"/>
      <c r="H815" s="88" t="n">
        <v>120.51</v>
      </c>
      <c r="I815" s="87" t="n"/>
      <c r="J815" s="87" t="n"/>
      <c r="K815" s="87" t="n"/>
    </row>
    <row r="816" ht="15" customHeight="1" s="101">
      <c r="A816" s="74" t="inlineStr">
        <is>
          <t>DS</t>
        </is>
      </c>
      <c r="B816" s="74" t="inlineStr">
        <is>
          <t>2023-2024</t>
        </is>
      </c>
      <c r="C816" s="74" t="inlineStr">
        <is>
          <t>Corn</t>
        </is>
      </c>
      <c r="D816" s="74" t="inlineStr">
        <is>
          <t>Harvest</t>
        </is>
      </c>
      <c r="E816" s="74" t="inlineStr">
        <is>
          <t>Capas</t>
        </is>
      </c>
      <c r="F816" s="85" t="n"/>
      <c r="G816" s="85" t="n"/>
      <c r="H816" s="85" t="n"/>
      <c r="I816" s="75" t="n">
        <v>116.34</v>
      </c>
      <c r="J816" s="75" t="n">
        <v>839.54</v>
      </c>
      <c r="K816" s="75" t="n">
        <v>7.22</v>
      </c>
    </row>
    <row r="817" ht="15" customHeight="1" s="101">
      <c r="A817" s="86" t="inlineStr">
        <is>
          <t>DS</t>
        </is>
      </c>
      <c r="B817" s="86" t="inlineStr">
        <is>
          <t>2023-2024</t>
        </is>
      </c>
      <c r="C817" s="86" t="inlineStr">
        <is>
          <t>Corn</t>
        </is>
      </c>
      <c r="D817" s="86" t="inlineStr">
        <is>
          <t>Planting</t>
        </is>
      </c>
      <c r="E817" s="86" t="inlineStr">
        <is>
          <t>Mangkasuy</t>
        </is>
      </c>
      <c r="F817" s="87" t="n"/>
      <c r="G817" s="87" t="n"/>
      <c r="H817" s="88" t="n">
        <v>108.36</v>
      </c>
      <c r="I817" s="87" t="n"/>
      <c r="J817" s="87" t="n"/>
      <c r="K817" s="87" t="n"/>
    </row>
    <row r="818" ht="15" customHeight="1" s="101">
      <c r="A818" s="74" t="inlineStr">
        <is>
          <t>DS</t>
        </is>
      </c>
      <c r="B818" s="74" t="inlineStr">
        <is>
          <t>2023-2024</t>
        </is>
      </c>
      <c r="C818" s="74" t="inlineStr">
        <is>
          <t>Corn</t>
        </is>
      </c>
      <c r="D818" s="74" t="inlineStr">
        <is>
          <t>Harvest</t>
        </is>
      </c>
      <c r="E818" s="74" t="inlineStr">
        <is>
          <t>Mangkasuy</t>
        </is>
      </c>
      <c r="F818" s="85" t="n"/>
      <c r="G818" s="85" t="n"/>
      <c r="H818" s="85" t="n"/>
      <c r="I818" s="75" t="n">
        <v>104.6</v>
      </c>
      <c r="J818" s="75" t="n">
        <v>754.86</v>
      </c>
      <c r="K818" s="75" t="n">
        <v>7.22</v>
      </c>
    </row>
    <row r="819" ht="15" customHeight="1" s="101">
      <c r="A819" s="86" t="inlineStr">
        <is>
          <t>DS</t>
        </is>
      </c>
      <c r="B819" s="86" t="inlineStr">
        <is>
          <t>2023-2024</t>
        </is>
      </c>
      <c r="C819" s="86" t="inlineStr">
        <is>
          <t>Corn</t>
        </is>
      </c>
      <c r="D819" s="86" t="inlineStr">
        <is>
          <t>Planting</t>
        </is>
      </c>
      <c r="E819" s="86" t="inlineStr">
        <is>
          <t>San Pablo</t>
        </is>
      </c>
      <c r="F819" s="87" t="n"/>
      <c r="G819" s="87" t="n"/>
      <c r="H819" s="88" t="n">
        <v>62.43</v>
      </c>
      <c r="I819" s="87" t="n"/>
      <c r="J819" s="87" t="n"/>
      <c r="K819" s="87" t="n"/>
    </row>
    <row r="820" ht="15" customHeight="1" s="101">
      <c r="A820" s="74" t="inlineStr">
        <is>
          <t>DS</t>
        </is>
      </c>
      <c r="B820" s="74" t="inlineStr">
        <is>
          <t>2023-2024</t>
        </is>
      </c>
      <c r="C820" s="74" t="inlineStr">
        <is>
          <t>Corn</t>
        </is>
      </c>
      <c r="D820" s="74" t="inlineStr">
        <is>
          <t>Harvest</t>
        </is>
      </c>
      <c r="E820" s="74" t="inlineStr">
        <is>
          <t>San Pablo</t>
        </is>
      </c>
      <c r="F820" s="85" t="n"/>
      <c r="G820" s="85" t="n"/>
      <c r="H820" s="85" t="n"/>
      <c r="I820" s="75" t="n">
        <v>60.27</v>
      </c>
      <c r="J820" s="75" t="n">
        <v>434.93</v>
      </c>
      <c r="K820" s="75" t="n">
        <v>7.22</v>
      </c>
    </row>
    <row r="821" ht="15" customHeight="1" s="101">
      <c r="A821" s="86" t="inlineStr">
        <is>
          <t>DS</t>
        </is>
      </c>
      <c r="B821" s="86" t="inlineStr">
        <is>
          <t>2023-2024</t>
        </is>
      </c>
      <c r="C821" s="86" t="inlineStr">
        <is>
          <t>Corn</t>
        </is>
      </c>
      <c r="D821" s="86" t="inlineStr">
        <is>
          <t>Planting</t>
        </is>
      </c>
      <c r="E821" s="86" t="inlineStr">
        <is>
          <t>Balangobong</t>
        </is>
      </c>
      <c r="F821" s="87" t="n"/>
      <c r="G821" s="87" t="n"/>
      <c r="H821" s="88" t="n">
        <v>62.46</v>
      </c>
      <c r="I821" s="87" t="n"/>
      <c r="J821" s="87" t="n"/>
      <c r="K821" s="87" t="n"/>
    </row>
    <row r="822" ht="15" customHeight="1" s="101">
      <c r="A822" s="74" t="inlineStr">
        <is>
          <t>DS</t>
        </is>
      </c>
      <c r="B822" s="74" t="inlineStr">
        <is>
          <t>2023-2024</t>
        </is>
      </c>
      <c r="C822" s="74" t="inlineStr">
        <is>
          <t>Corn</t>
        </is>
      </c>
      <c r="D822" s="74" t="inlineStr">
        <is>
          <t>Harvest</t>
        </is>
      </c>
      <c r="E822" s="74" t="inlineStr">
        <is>
          <t>Balangobong</t>
        </is>
      </c>
      <c r="F822" s="85" t="n"/>
      <c r="G822" s="85" t="n"/>
      <c r="H822" s="85" t="n"/>
      <c r="I822" s="75" t="n">
        <v>60.3</v>
      </c>
      <c r="J822" s="75" t="n">
        <v>435.16</v>
      </c>
      <c r="K822" s="75" t="n">
        <v>7.22</v>
      </c>
    </row>
    <row r="823" ht="15" customHeight="1" s="101">
      <c r="A823" s="86" t="inlineStr">
        <is>
          <t>DS</t>
        </is>
      </c>
      <c r="B823" s="86" t="inlineStr">
        <is>
          <t>2023-2024</t>
        </is>
      </c>
      <c r="C823" s="86" t="inlineStr">
        <is>
          <t>Corn</t>
        </is>
      </c>
      <c r="D823" s="86" t="inlineStr">
        <is>
          <t>Planting</t>
        </is>
      </c>
      <c r="E823" s="86" t="inlineStr">
        <is>
          <t>San Felipe Central</t>
        </is>
      </c>
      <c r="F823" s="87" t="n"/>
      <c r="G823" s="87" t="n"/>
      <c r="H823" s="88" t="n">
        <v>77.88</v>
      </c>
      <c r="I823" s="87" t="n"/>
      <c r="J823" s="87" t="n"/>
      <c r="K823" s="87" t="n"/>
    </row>
    <row r="824" ht="15" customHeight="1" s="101">
      <c r="A824" s="74" t="inlineStr">
        <is>
          <t>DS</t>
        </is>
      </c>
      <c r="B824" s="74" t="inlineStr">
        <is>
          <t>2023-2024</t>
        </is>
      </c>
      <c r="C824" s="74" t="inlineStr">
        <is>
          <t>Corn</t>
        </is>
      </c>
      <c r="D824" s="74" t="inlineStr">
        <is>
          <t>Harvest</t>
        </is>
      </c>
      <c r="E824" s="74" t="inlineStr">
        <is>
          <t>San Felipe Central</t>
        </is>
      </c>
      <c r="F824" s="85" t="n"/>
      <c r="G824" s="85" t="n"/>
      <c r="H824" s="85" t="n"/>
      <c r="I824" s="75" t="n">
        <v>75.18000000000001</v>
      </c>
      <c r="J824" s="75" t="n">
        <v>542.52</v>
      </c>
      <c r="K824" s="75" t="n">
        <v>7.22</v>
      </c>
    </row>
    <row r="825" ht="15" customHeight="1" s="101">
      <c r="A825" s="86" t="inlineStr">
        <is>
          <t>DS</t>
        </is>
      </c>
      <c r="B825" s="86" t="inlineStr">
        <is>
          <t>2023-2024</t>
        </is>
      </c>
      <c r="C825" s="86" t="inlineStr">
        <is>
          <t>Corn</t>
        </is>
      </c>
      <c r="D825" s="86" t="inlineStr">
        <is>
          <t>Planting</t>
        </is>
      </c>
      <c r="E825" s="86" t="inlineStr">
        <is>
          <t>San Felipe Sur</t>
        </is>
      </c>
      <c r="F825" s="87" t="n"/>
      <c r="G825" s="87" t="n"/>
      <c r="H825" s="88" t="n">
        <v>80.73999999999999</v>
      </c>
      <c r="I825" s="87" t="n"/>
      <c r="J825" s="87" t="n"/>
      <c r="K825" s="87" t="n"/>
    </row>
    <row r="826" ht="15" customHeight="1" s="101">
      <c r="A826" s="74" t="inlineStr">
        <is>
          <t>DS</t>
        </is>
      </c>
      <c r="B826" s="74" t="inlineStr">
        <is>
          <t>2023-2024</t>
        </is>
      </c>
      <c r="C826" s="74" t="inlineStr">
        <is>
          <t>Corn</t>
        </is>
      </c>
      <c r="D826" s="74" t="inlineStr">
        <is>
          <t>Harvest</t>
        </is>
      </c>
      <c r="E826" s="74" t="inlineStr">
        <is>
          <t>San Felipe Sur</t>
        </is>
      </c>
      <c r="F826" s="85" t="n"/>
      <c r="G826" s="85" t="n"/>
      <c r="H826" s="85" t="n"/>
      <c r="I826" s="75" t="n">
        <v>77.94</v>
      </c>
      <c r="J826" s="75" t="n">
        <v>562.46</v>
      </c>
      <c r="K826" s="75" t="n">
        <v>7.22</v>
      </c>
    </row>
    <row r="827" ht="15" customHeight="1" s="101">
      <c r="A827" s="86" t="inlineStr">
        <is>
          <t>DS</t>
        </is>
      </c>
      <c r="B827" s="86" t="inlineStr">
        <is>
          <t>2023-2024</t>
        </is>
      </c>
      <c r="C827" s="86" t="inlineStr">
        <is>
          <t>Corn</t>
        </is>
      </c>
      <c r="D827" s="86" t="inlineStr">
        <is>
          <t>Planting</t>
        </is>
      </c>
      <c r="E827" s="86" t="inlineStr">
        <is>
          <t>Pasileng Sur</t>
        </is>
      </c>
      <c r="F827" s="87" t="n"/>
      <c r="G827" s="87" t="n"/>
      <c r="H827" s="88" t="n">
        <v>81.90000000000001</v>
      </c>
      <c r="I827" s="87" t="n"/>
      <c r="J827" s="87" t="n"/>
      <c r="K827" s="87" t="n"/>
    </row>
    <row r="828" ht="15" customHeight="1" s="101">
      <c r="A828" s="74" t="inlineStr">
        <is>
          <t>DS</t>
        </is>
      </c>
      <c r="B828" s="74" t="inlineStr">
        <is>
          <t>2023-2024</t>
        </is>
      </c>
      <c r="C828" s="74" t="inlineStr">
        <is>
          <t>Corn</t>
        </is>
      </c>
      <c r="D828" s="74" t="inlineStr">
        <is>
          <t>Harvest</t>
        </is>
      </c>
      <c r="E828" s="74" t="inlineStr">
        <is>
          <t>Pasileng Sur</t>
        </is>
      </c>
      <c r="F828" s="85" t="n"/>
      <c r="G828" s="85" t="n"/>
      <c r="H828" s="85" t="n"/>
      <c r="I828" s="75" t="n">
        <v>79.06</v>
      </c>
      <c r="J828" s="75" t="n">
        <v>570.55</v>
      </c>
      <c r="K828" s="75" t="n">
        <v>7.22</v>
      </c>
    </row>
    <row r="829" ht="15" customHeight="1" s="101">
      <c r="A829" s="86" t="inlineStr">
        <is>
          <t>DS</t>
        </is>
      </c>
      <c r="B829" s="86" t="inlineStr">
        <is>
          <t>2023-2024</t>
        </is>
      </c>
      <c r="C829" s="86" t="inlineStr">
        <is>
          <t>Corn</t>
        </is>
      </c>
      <c r="D829" s="86" t="inlineStr">
        <is>
          <t>Planting</t>
        </is>
      </c>
      <c r="E829" s="86" t="inlineStr">
        <is>
          <t>Sta. Maria Norte</t>
        </is>
      </c>
      <c r="F829" s="87" t="n"/>
      <c r="G829" s="87" t="n"/>
      <c r="H829" s="88" t="n">
        <v>27.79</v>
      </c>
      <c r="I829" s="87" t="n"/>
      <c r="J829" s="87" t="n"/>
      <c r="K829" s="87" t="n"/>
    </row>
    <row r="830" ht="15" customHeight="1" s="101">
      <c r="A830" s="74" t="inlineStr">
        <is>
          <t>DS</t>
        </is>
      </c>
      <c r="B830" s="74" t="inlineStr">
        <is>
          <t>2023-2024</t>
        </is>
      </c>
      <c r="C830" s="74" t="inlineStr">
        <is>
          <t>Corn</t>
        </is>
      </c>
      <c r="D830" s="74" t="inlineStr">
        <is>
          <t>Harvest</t>
        </is>
      </c>
      <c r="E830" s="74" t="inlineStr">
        <is>
          <t>Sta. Maria Norte</t>
        </is>
      </c>
      <c r="F830" s="85" t="n"/>
      <c r="G830" s="85" t="n"/>
      <c r="H830" s="85" t="n"/>
      <c r="I830" s="75" t="n">
        <v>26.82</v>
      </c>
      <c r="J830" s="75" t="n">
        <v>193.57</v>
      </c>
      <c r="K830" s="75" t="n">
        <v>7.22</v>
      </c>
    </row>
    <row r="831" ht="15" customHeight="1" s="101">
      <c r="A831" s="86" t="inlineStr">
        <is>
          <t>DS</t>
        </is>
      </c>
      <c r="B831" s="86" t="inlineStr">
        <is>
          <t>2023-2024</t>
        </is>
      </c>
      <c r="C831" s="86" t="inlineStr">
        <is>
          <t>Corn</t>
        </is>
      </c>
      <c r="D831" s="86" t="inlineStr">
        <is>
          <t>Planting</t>
        </is>
      </c>
      <c r="E831" s="86" t="inlineStr">
        <is>
          <t>Bugayong</t>
        </is>
      </c>
      <c r="F831" s="87" t="n"/>
      <c r="G831" s="87" t="n"/>
      <c r="H831" s="88" t="n">
        <v>24.98</v>
      </c>
      <c r="I831" s="87" t="n"/>
      <c r="J831" s="87" t="n"/>
      <c r="K831" s="87" t="n"/>
    </row>
    <row r="832" ht="15" customHeight="1" s="101">
      <c r="A832" s="74" t="inlineStr">
        <is>
          <t>DS</t>
        </is>
      </c>
      <c r="B832" s="74" t="inlineStr">
        <is>
          <t>2023-2024</t>
        </is>
      </c>
      <c r="C832" s="74" t="inlineStr">
        <is>
          <t>Corn</t>
        </is>
      </c>
      <c r="D832" s="74" t="inlineStr">
        <is>
          <t>Harvest</t>
        </is>
      </c>
      <c r="E832" s="74" t="inlineStr">
        <is>
          <t>Bugayong</t>
        </is>
      </c>
      <c r="F832" s="85" t="n"/>
      <c r="G832" s="85" t="n"/>
      <c r="H832" s="85" t="n"/>
      <c r="I832" s="75" t="n">
        <v>24.12</v>
      </c>
      <c r="J832" s="75" t="n">
        <v>174.04</v>
      </c>
      <c r="K832" s="75" t="n">
        <v>7.22</v>
      </c>
    </row>
    <row r="833" ht="15" customHeight="1" s="101">
      <c r="A833" s="86" t="inlineStr">
        <is>
          <t>DS</t>
        </is>
      </c>
      <c r="B833" s="86" t="inlineStr">
        <is>
          <t>2023-2024</t>
        </is>
      </c>
      <c r="C833" s="86" t="inlineStr">
        <is>
          <t>Corn</t>
        </is>
      </c>
      <c r="D833" s="86" t="inlineStr">
        <is>
          <t>Planting</t>
        </is>
      </c>
      <c r="E833" s="86" t="inlineStr">
        <is>
          <t>Santiago</t>
        </is>
      </c>
      <c r="F833" s="87" t="n"/>
      <c r="G833" s="87" t="n"/>
      <c r="H833" s="88" t="n">
        <v>82.84</v>
      </c>
      <c r="I833" s="87" t="n"/>
      <c r="J833" s="87" t="n"/>
      <c r="K833" s="87" t="n"/>
    </row>
    <row r="834" ht="15" customHeight="1" s="101">
      <c r="A834" s="74" t="inlineStr">
        <is>
          <t>DS</t>
        </is>
      </c>
      <c r="B834" s="74" t="inlineStr">
        <is>
          <t>2023-2024</t>
        </is>
      </c>
      <c r="C834" s="74" t="inlineStr">
        <is>
          <t>Corn</t>
        </is>
      </c>
      <c r="D834" s="74" t="inlineStr">
        <is>
          <t>Harvest</t>
        </is>
      </c>
      <c r="E834" s="74" t="inlineStr">
        <is>
          <t>Santiago</t>
        </is>
      </c>
      <c r="F834" s="85" t="n"/>
      <c r="G834" s="85" t="n"/>
      <c r="H834" s="85" t="n"/>
      <c r="I834" s="75" t="n">
        <v>79.98</v>
      </c>
      <c r="J834" s="75" t="n">
        <v>577.14</v>
      </c>
      <c r="K834" s="75" t="n">
        <v>7.22</v>
      </c>
    </row>
    <row r="835" ht="15" customHeight="1" s="101">
      <c r="A835" s="86" t="inlineStr">
        <is>
          <t>DS</t>
        </is>
      </c>
      <c r="B835" s="86" t="inlineStr">
        <is>
          <t>2024-2025</t>
        </is>
      </c>
      <c r="C835" s="86" t="inlineStr">
        <is>
          <t>Corn</t>
        </is>
      </c>
      <c r="D835" s="86" t="inlineStr">
        <is>
          <t>Planting</t>
        </is>
      </c>
      <c r="E835" s="86" t="inlineStr">
        <is>
          <t>Pasileng Norte</t>
        </is>
      </c>
      <c r="F835" s="87" t="n"/>
      <c r="G835" s="87" t="n"/>
      <c r="H835" s="88" t="n">
        <v>44.51</v>
      </c>
      <c r="I835" s="87" t="n"/>
      <c r="J835" s="87" t="n"/>
      <c r="K835" s="87" t="n"/>
    </row>
    <row r="836" ht="15" customHeight="1" s="101">
      <c r="A836" s="74" t="inlineStr">
        <is>
          <t>DS</t>
        </is>
      </c>
      <c r="B836" s="74" t="inlineStr">
        <is>
          <t>2024-2025</t>
        </is>
      </c>
      <c r="C836" s="74" t="inlineStr">
        <is>
          <t>Corn</t>
        </is>
      </c>
      <c r="D836" s="74" t="inlineStr">
        <is>
          <t>Harvest</t>
        </is>
      </c>
      <c r="E836" s="74" t="inlineStr">
        <is>
          <t>Pasileng Norte</t>
        </is>
      </c>
      <c r="F836" s="85" t="n"/>
      <c r="G836" s="85" t="n"/>
      <c r="H836" s="85" t="n"/>
      <c r="I836" s="75" t="n">
        <v>44.51</v>
      </c>
      <c r="J836" s="75" t="n">
        <v>347.2</v>
      </c>
      <c r="K836" s="75" t="n">
        <v>7.8</v>
      </c>
    </row>
    <row r="837" ht="15" customHeight="1" s="101">
      <c r="A837" s="86" t="inlineStr">
        <is>
          <t>DS</t>
        </is>
      </c>
      <c r="B837" s="86" t="inlineStr">
        <is>
          <t>2024-2025</t>
        </is>
      </c>
      <c r="C837" s="86" t="inlineStr">
        <is>
          <t>Corn</t>
        </is>
      </c>
      <c r="D837" s="86" t="inlineStr">
        <is>
          <t>Planting</t>
        </is>
      </c>
      <c r="E837" s="86" t="inlineStr">
        <is>
          <t>Tabuyoc</t>
        </is>
      </c>
      <c r="F837" s="87" t="n"/>
      <c r="G837" s="87" t="n"/>
      <c r="H837" s="88" t="n">
        <v>68.93000000000001</v>
      </c>
      <c r="I837" s="87" t="n"/>
      <c r="J837" s="87" t="n"/>
      <c r="K837" s="87" t="n"/>
    </row>
    <row r="838" ht="15" customHeight="1" s="101">
      <c r="A838" s="74" t="inlineStr">
        <is>
          <t>DS</t>
        </is>
      </c>
      <c r="B838" s="74" t="inlineStr">
        <is>
          <t>2024-2025</t>
        </is>
      </c>
      <c r="C838" s="74" t="inlineStr">
        <is>
          <t>Corn</t>
        </is>
      </c>
      <c r="D838" s="74" t="inlineStr">
        <is>
          <t>Harvest</t>
        </is>
      </c>
      <c r="E838" s="74" t="inlineStr">
        <is>
          <t>Tabuyoc</t>
        </is>
      </c>
      <c r="F838" s="85" t="n"/>
      <c r="G838" s="85" t="n"/>
      <c r="H838" s="85" t="n"/>
      <c r="I838" s="75" t="n">
        <v>68.93000000000001</v>
      </c>
      <c r="J838" s="75" t="n">
        <v>537.67</v>
      </c>
      <c r="K838" s="75" t="n">
        <v>7.8</v>
      </c>
    </row>
    <row r="839" ht="15" customHeight="1" s="101">
      <c r="A839" s="86" t="inlineStr">
        <is>
          <t>DS</t>
        </is>
      </c>
      <c r="B839" s="86" t="inlineStr">
        <is>
          <t>2024-2025</t>
        </is>
      </c>
      <c r="C839" s="86" t="inlineStr">
        <is>
          <t>Corn</t>
        </is>
      </c>
      <c r="D839" s="86" t="inlineStr">
        <is>
          <t>Planting</t>
        </is>
      </c>
      <c r="E839" s="86" t="inlineStr">
        <is>
          <t>Bued</t>
        </is>
      </c>
      <c r="F839" s="87" t="n"/>
      <c r="G839" s="87" t="n"/>
      <c r="H839" s="88" t="n">
        <v>52.07</v>
      </c>
      <c r="I839" s="87" t="n"/>
      <c r="J839" s="87" t="n"/>
      <c r="K839" s="87" t="n"/>
    </row>
    <row r="840" ht="15" customHeight="1" s="101">
      <c r="A840" s="74" t="inlineStr">
        <is>
          <t>DS</t>
        </is>
      </c>
      <c r="B840" s="74" t="inlineStr">
        <is>
          <t>2024-2025</t>
        </is>
      </c>
      <c r="C840" s="74" t="inlineStr">
        <is>
          <t>Corn</t>
        </is>
      </c>
      <c r="D840" s="74" t="inlineStr">
        <is>
          <t>Harvest</t>
        </is>
      </c>
      <c r="E840" s="74" t="inlineStr">
        <is>
          <t>Bued</t>
        </is>
      </c>
      <c r="F840" s="85" t="n"/>
      <c r="G840" s="85" t="n"/>
      <c r="H840" s="85" t="n"/>
      <c r="I840" s="75" t="n">
        <v>52.07</v>
      </c>
      <c r="J840" s="75" t="n">
        <v>406.14</v>
      </c>
      <c r="K840" s="75" t="n">
        <v>7.8</v>
      </c>
    </row>
    <row r="841" ht="15" customHeight="1" s="101">
      <c r="A841" s="86" t="inlineStr">
        <is>
          <t>DS</t>
        </is>
      </c>
      <c r="B841" s="86" t="inlineStr">
        <is>
          <t>2024-2025</t>
        </is>
      </c>
      <c r="C841" s="86" t="inlineStr">
        <is>
          <t>Corn</t>
        </is>
      </c>
      <c r="D841" s="86" t="inlineStr">
        <is>
          <t>Planting</t>
        </is>
      </c>
      <c r="E841" s="86" t="inlineStr">
        <is>
          <t>Dumayat</t>
        </is>
      </c>
      <c r="F841" s="87" t="n"/>
      <c r="G841" s="87" t="n"/>
      <c r="H841" s="88" t="n">
        <v>40.64</v>
      </c>
      <c r="I841" s="87" t="n"/>
      <c r="J841" s="87" t="n"/>
      <c r="K841" s="87" t="n"/>
    </row>
    <row r="842" ht="15" customHeight="1" s="101">
      <c r="A842" s="74" t="inlineStr">
        <is>
          <t>DS</t>
        </is>
      </c>
      <c r="B842" s="74" t="inlineStr">
        <is>
          <t>2024-2025</t>
        </is>
      </c>
      <c r="C842" s="74" t="inlineStr">
        <is>
          <t>Corn</t>
        </is>
      </c>
      <c r="D842" s="74" t="inlineStr">
        <is>
          <t>Harvest</t>
        </is>
      </c>
      <c r="E842" s="74" t="inlineStr">
        <is>
          <t>Dumayat</t>
        </is>
      </c>
      <c r="F842" s="85" t="n"/>
      <c r="G842" s="85" t="n"/>
      <c r="H842" s="85" t="n"/>
      <c r="I842" s="75" t="n">
        <v>40.64</v>
      </c>
      <c r="J842" s="75" t="n">
        <v>317.03</v>
      </c>
      <c r="K842" s="75" t="n">
        <v>7.8</v>
      </c>
    </row>
    <row r="843" ht="15" customHeight="1" s="101">
      <c r="A843" s="86" t="inlineStr">
        <is>
          <t>DS</t>
        </is>
      </c>
      <c r="B843" s="86" t="inlineStr">
        <is>
          <t>2024-2025</t>
        </is>
      </c>
      <c r="C843" s="86" t="inlineStr">
        <is>
          <t>Corn</t>
        </is>
      </c>
      <c r="D843" s="86" t="inlineStr">
        <is>
          <t>Planting</t>
        </is>
      </c>
      <c r="E843" s="86" t="inlineStr">
        <is>
          <t>Camanggaan</t>
        </is>
      </c>
      <c r="F843" s="87" t="n"/>
      <c r="G843" s="87" t="n"/>
      <c r="H843" s="88" t="n">
        <v>30.09</v>
      </c>
      <c r="I843" s="87" t="n"/>
      <c r="J843" s="87" t="n"/>
      <c r="K843" s="87" t="n"/>
    </row>
    <row r="844" ht="15" customHeight="1" s="101">
      <c r="A844" s="74" t="inlineStr">
        <is>
          <t>DS</t>
        </is>
      </c>
      <c r="B844" s="74" t="inlineStr">
        <is>
          <t>2024-2025</t>
        </is>
      </c>
      <c r="C844" s="74" t="inlineStr">
        <is>
          <t>Corn</t>
        </is>
      </c>
      <c r="D844" s="74" t="inlineStr">
        <is>
          <t>Harvest</t>
        </is>
      </c>
      <c r="E844" s="74" t="inlineStr">
        <is>
          <t>Camanggaan</t>
        </is>
      </c>
      <c r="F844" s="85" t="n"/>
      <c r="G844" s="85" t="n"/>
      <c r="H844" s="85" t="n"/>
      <c r="I844" s="75" t="n">
        <v>30.09</v>
      </c>
      <c r="J844" s="75" t="n">
        <v>234.67</v>
      </c>
      <c r="K844" s="75" t="n">
        <v>7.8</v>
      </c>
    </row>
    <row r="845" ht="15" customHeight="1" s="101">
      <c r="A845" s="86" t="inlineStr">
        <is>
          <t>DS</t>
        </is>
      </c>
      <c r="B845" s="86" t="inlineStr">
        <is>
          <t>2024-2025</t>
        </is>
      </c>
      <c r="C845" s="86" t="inlineStr">
        <is>
          <t>Corn</t>
        </is>
      </c>
      <c r="D845" s="86" t="inlineStr">
        <is>
          <t>Planting</t>
        </is>
      </c>
      <c r="E845" s="86" t="inlineStr">
        <is>
          <t>Vacante</t>
        </is>
      </c>
      <c r="F845" s="87" t="n"/>
      <c r="G845" s="87" t="n"/>
      <c r="H845" s="88" t="n">
        <v>58.04</v>
      </c>
      <c r="I845" s="87" t="n"/>
      <c r="J845" s="87" t="n"/>
      <c r="K845" s="87" t="n"/>
    </row>
    <row r="846" ht="15" customHeight="1" s="101">
      <c r="A846" s="74" t="inlineStr">
        <is>
          <t>DS</t>
        </is>
      </c>
      <c r="B846" s="74" t="inlineStr">
        <is>
          <t>2024-2025</t>
        </is>
      </c>
      <c r="C846" s="74" t="inlineStr">
        <is>
          <t>Corn</t>
        </is>
      </c>
      <c r="D846" s="74" t="inlineStr">
        <is>
          <t>Harvest</t>
        </is>
      </c>
      <c r="E846" s="74" t="inlineStr">
        <is>
          <t>Vacante</t>
        </is>
      </c>
      <c r="F846" s="85" t="n"/>
      <c r="G846" s="85" t="n"/>
      <c r="H846" s="85" t="n"/>
      <c r="I846" s="75" t="n">
        <v>58.04</v>
      </c>
      <c r="J846" s="75" t="n">
        <v>452.73</v>
      </c>
      <c r="K846" s="75" t="n">
        <v>7.8</v>
      </c>
    </row>
    <row r="847" ht="15" customHeight="1" s="101">
      <c r="A847" s="86" t="inlineStr">
        <is>
          <t>DS</t>
        </is>
      </c>
      <c r="B847" s="86" t="inlineStr">
        <is>
          <t>2024-2025</t>
        </is>
      </c>
      <c r="C847" s="86" t="inlineStr">
        <is>
          <t>Corn</t>
        </is>
      </c>
      <c r="D847" s="86" t="inlineStr">
        <is>
          <t>Planting</t>
        </is>
      </c>
      <c r="E847" s="86" t="inlineStr">
        <is>
          <t>Sta. Catalina</t>
        </is>
      </c>
      <c r="F847" s="87" t="n"/>
      <c r="G847" s="87" t="n"/>
      <c r="H847" s="88" t="n">
        <v>98.76000000000001</v>
      </c>
      <c r="I847" s="87" t="n"/>
      <c r="J847" s="87" t="n"/>
      <c r="K847" s="87" t="n"/>
    </row>
    <row r="848" ht="15" customHeight="1" s="101">
      <c r="A848" s="74" t="inlineStr">
        <is>
          <t>DS</t>
        </is>
      </c>
      <c r="B848" s="74" t="inlineStr">
        <is>
          <t>2024-2025</t>
        </is>
      </c>
      <c r="C848" s="74" t="inlineStr">
        <is>
          <t>Corn</t>
        </is>
      </c>
      <c r="D848" s="74" t="inlineStr">
        <is>
          <t>Harvest</t>
        </is>
      </c>
      <c r="E848" s="74" t="inlineStr">
        <is>
          <t>Sta. Catalina</t>
        </is>
      </c>
      <c r="F848" s="85" t="n"/>
      <c r="G848" s="85" t="n"/>
      <c r="H848" s="85" t="n"/>
      <c r="I848" s="75" t="n">
        <v>98.76000000000001</v>
      </c>
      <c r="J848" s="75" t="n">
        <v>770.3099999999999</v>
      </c>
      <c r="K848" s="75" t="n">
        <v>7.8</v>
      </c>
    </row>
    <row r="849" ht="15" customHeight="1" s="101">
      <c r="A849" s="86" t="inlineStr">
        <is>
          <t>DS</t>
        </is>
      </c>
      <c r="B849" s="86" t="inlineStr">
        <is>
          <t>2024-2025</t>
        </is>
      </c>
      <c r="C849" s="86" t="inlineStr">
        <is>
          <t>Corn</t>
        </is>
      </c>
      <c r="D849" s="86" t="inlineStr">
        <is>
          <t>Planting</t>
        </is>
      </c>
      <c r="E849" s="86" t="inlineStr">
        <is>
          <t>Moreno</t>
        </is>
      </c>
      <c r="F849" s="87" t="n"/>
      <c r="G849" s="87" t="n"/>
      <c r="H849" s="88" t="n">
        <v>70.75</v>
      </c>
      <c r="I849" s="87" t="n"/>
      <c r="J849" s="87" t="n"/>
      <c r="K849" s="87" t="n"/>
    </row>
    <row r="850" ht="15" customHeight="1" s="101">
      <c r="A850" s="74" t="inlineStr">
        <is>
          <t>DS</t>
        </is>
      </c>
      <c r="B850" s="74" t="inlineStr">
        <is>
          <t>2024-2025</t>
        </is>
      </c>
      <c r="C850" s="74" t="inlineStr">
        <is>
          <t>Corn</t>
        </is>
      </c>
      <c r="D850" s="74" t="inlineStr">
        <is>
          <t>Harvest</t>
        </is>
      </c>
      <c r="E850" s="74" t="inlineStr">
        <is>
          <t>Moreno</t>
        </is>
      </c>
      <c r="F850" s="85" t="n"/>
      <c r="G850" s="85" t="n"/>
      <c r="H850" s="85" t="n"/>
      <c r="I850" s="75" t="n">
        <v>70.75</v>
      </c>
      <c r="J850" s="75" t="n">
        <v>551.84</v>
      </c>
      <c r="K850" s="75" t="n">
        <v>7.8</v>
      </c>
    </row>
    <row r="851" ht="15" customHeight="1" s="101">
      <c r="A851" s="86" t="inlineStr">
        <is>
          <t>DS</t>
        </is>
      </c>
      <c r="B851" s="86" t="inlineStr">
        <is>
          <t>2024-2025</t>
        </is>
      </c>
      <c r="C851" s="86" t="inlineStr">
        <is>
          <t>Corn</t>
        </is>
      </c>
      <c r="D851" s="86" t="inlineStr">
        <is>
          <t>Planting</t>
        </is>
      </c>
      <c r="E851" s="86" t="inlineStr">
        <is>
          <t>Cili</t>
        </is>
      </c>
      <c r="F851" s="87" t="n"/>
      <c r="G851" s="87" t="n"/>
      <c r="H851" s="88" t="n">
        <v>66.05</v>
      </c>
      <c r="I851" s="87" t="n"/>
      <c r="J851" s="87" t="n"/>
      <c r="K851" s="87" t="n"/>
    </row>
    <row r="852" ht="15" customHeight="1" s="101">
      <c r="A852" s="74" t="inlineStr">
        <is>
          <t>DS</t>
        </is>
      </c>
      <c r="B852" s="74" t="inlineStr">
        <is>
          <t>2024-2025</t>
        </is>
      </c>
      <c r="C852" s="74" t="inlineStr">
        <is>
          <t>Corn</t>
        </is>
      </c>
      <c r="D852" s="74" t="inlineStr">
        <is>
          <t>Harvest</t>
        </is>
      </c>
      <c r="E852" s="74" t="inlineStr">
        <is>
          <t>Cili</t>
        </is>
      </c>
      <c r="F852" s="85" t="n"/>
      <c r="G852" s="85" t="n"/>
      <c r="H852" s="85" t="n"/>
      <c r="I852" s="75" t="n">
        <v>66.05</v>
      </c>
      <c r="J852" s="75" t="n">
        <v>515.23</v>
      </c>
      <c r="K852" s="75" t="n">
        <v>7.8</v>
      </c>
    </row>
    <row r="853" ht="15" customHeight="1" s="101">
      <c r="A853" s="86" t="inlineStr">
        <is>
          <t>DS</t>
        </is>
      </c>
      <c r="B853" s="86" t="inlineStr">
        <is>
          <t>2024-2025</t>
        </is>
      </c>
      <c r="C853" s="86" t="inlineStr">
        <is>
          <t>Corn</t>
        </is>
      </c>
      <c r="D853" s="86" t="inlineStr">
        <is>
          <t>Planting</t>
        </is>
      </c>
      <c r="E853" s="86" t="inlineStr">
        <is>
          <t>Linmansangan</t>
        </is>
      </c>
      <c r="F853" s="87" t="n"/>
      <c r="G853" s="87" t="n"/>
      <c r="H853" s="88" t="n">
        <v>99.20999999999999</v>
      </c>
      <c r="I853" s="87" t="n"/>
      <c r="J853" s="87" t="n"/>
      <c r="K853" s="87" t="n"/>
    </row>
    <row r="854" ht="15" customHeight="1" s="101">
      <c r="A854" s="74" t="inlineStr">
        <is>
          <t>DS</t>
        </is>
      </c>
      <c r="B854" s="74" t="inlineStr">
        <is>
          <t>2024-2025</t>
        </is>
      </c>
      <c r="C854" s="74" t="inlineStr">
        <is>
          <t>Corn</t>
        </is>
      </c>
      <c r="D854" s="74" t="inlineStr">
        <is>
          <t>Harvest</t>
        </is>
      </c>
      <c r="E854" s="74" t="inlineStr">
        <is>
          <t>Linmansangan</t>
        </is>
      </c>
      <c r="F854" s="85" t="n"/>
      <c r="G854" s="85" t="n"/>
      <c r="H854" s="85" t="n"/>
      <c r="I854" s="75" t="n">
        <v>99.20999999999999</v>
      </c>
      <c r="J854" s="75" t="n">
        <v>773.83</v>
      </c>
      <c r="K854" s="75" t="n">
        <v>7.8</v>
      </c>
    </row>
    <row r="855" ht="15" customHeight="1" s="101">
      <c r="A855" s="86" t="inlineStr">
        <is>
          <t>DS</t>
        </is>
      </c>
      <c r="B855" s="86" t="inlineStr">
        <is>
          <t>2024-2025</t>
        </is>
      </c>
      <c r="C855" s="86" t="inlineStr">
        <is>
          <t>Corn</t>
        </is>
      </c>
      <c r="D855" s="86" t="inlineStr">
        <is>
          <t>Planting</t>
        </is>
      </c>
      <c r="E855" s="86" t="inlineStr">
        <is>
          <t>Sumabnit</t>
        </is>
      </c>
      <c r="F855" s="87" t="n"/>
      <c r="G855" s="87" t="n"/>
      <c r="H855" s="88" t="n">
        <v>89.33</v>
      </c>
      <c r="I855" s="87" t="n"/>
      <c r="J855" s="87" t="n"/>
      <c r="K855" s="87" t="n"/>
    </row>
    <row r="856" ht="15" customHeight="1" s="101">
      <c r="A856" s="74" t="inlineStr">
        <is>
          <t>DS</t>
        </is>
      </c>
      <c r="B856" s="74" t="inlineStr">
        <is>
          <t>2024-2025</t>
        </is>
      </c>
      <c r="C856" s="74" t="inlineStr">
        <is>
          <t>Corn</t>
        </is>
      </c>
      <c r="D856" s="74" t="inlineStr">
        <is>
          <t>Harvest</t>
        </is>
      </c>
      <c r="E856" s="74" t="inlineStr">
        <is>
          <t>Sumabnit</t>
        </is>
      </c>
      <c r="F856" s="85" t="n"/>
      <c r="G856" s="85" t="n"/>
      <c r="H856" s="85" t="n"/>
      <c r="I856" s="75" t="n">
        <v>89.33</v>
      </c>
      <c r="J856" s="75" t="n">
        <v>696.78</v>
      </c>
      <c r="K856" s="75" t="n">
        <v>7.8</v>
      </c>
    </row>
    <row r="857" ht="15" customHeight="1" s="101">
      <c r="A857" s="86" t="inlineStr">
        <is>
          <t>DS</t>
        </is>
      </c>
      <c r="B857" s="86" t="inlineStr">
        <is>
          <t>2024-2025</t>
        </is>
      </c>
      <c r="C857" s="86" t="inlineStr">
        <is>
          <t>Corn</t>
        </is>
      </c>
      <c r="D857" s="86" t="inlineStr">
        <is>
          <t>Planting</t>
        </is>
      </c>
      <c r="E857" s="86" t="inlineStr">
        <is>
          <t>Capas</t>
        </is>
      </c>
      <c r="F857" s="87" t="n"/>
      <c r="G857" s="87" t="n"/>
      <c r="H857" s="88" t="n">
        <v>125.63</v>
      </c>
      <c r="I857" s="87" t="n"/>
      <c r="J857" s="87" t="n"/>
      <c r="K857" s="87" t="n"/>
    </row>
    <row r="858" ht="15" customHeight="1" s="101">
      <c r="A858" s="74" t="inlineStr">
        <is>
          <t>DS</t>
        </is>
      </c>
      <c r="B858" s="74" t="inlineStr">
        <is>
          <t>2024-2025</t>
        </is>
      </c>
      <c r="C858" s="74" t="inlineStr">
        <is>
          <t>Corn</t>
        </is>
      </c>
      <c r="D858" s="74" t="inlineStr">
        <is>
          <t>Harvest</t>
        </is>
      </c>
      <c r="E858" s="74" t="inlineStr">
        <is>
          <t>Capas</t>
        </is>
      </c>
      <c r="F858" s="85" t="n"/>
      <c r="G858" s="85" t="n"/>
      <c r="H858" s="85" t="n"/>
      <c r="I858" s="75" t="n">
        <v>125.63</v>
      </c>
      <c r="J858" s="75" t="n">
        <v>979.9400000000001</v>
      </c>
      <c r="K858" s="75" t="n">
        <v>7.8</v>
      </c>
    </row>
    <row r="859" ht="15" customHeight="1" s="101">
      <c r="A859" s="86" t="inlineStr">
        <is>
          <t>DS</t>
        </is>
      </c>
      <c r="B859" s="86" t="inlineStr">
        <is>
          <t>2024-2025</t>
        </is>
      </c>
      <c r="C859" s="86" t="inlineStr">
        <is>
          <t>Corn</t>
        </is>
      </c>
      <c r="D859" s="86" t="inlineStr">
        <is>
          <t>Planting</t>
        </is>
      </c>
      <c r="E859" s="86" t="inlineStr">
        <is>
          <t>Mangkasuy</t>
        </is>
      </c>
      <c r="F859" s="87" t="n"/>
      <c r="G859" s="87" t="n"/>
      <c r="H859" s="88" t="n">
        <v>112.96</v>
      </c>
      <c r="I859" s="87" t="n"/>
      <c r="J859" s="87" t="n"/>
      <c r="K859" s="87" t="n"/>
    </row>
    <row r="860" ht="15" customHeight="1" s="101">
      <c r="A860" s="74" t="inlineStr">
        <is>
          <t>DS</t>
        </is>
      </c>
      <c r="B860" s="74" t="inlineStr">
        <is>
          <t>2024-2025</t>
        </is>
      </c>
      <c r="C860" s="74" t="inlineStr">
        <is>
          <t>Corn</t>
        </is>
      </c>
      <c r="D860" s="74" t="inlineStr">
        <is>
          <t>Harvest</t>
        </is>
      </c>
      <c r="E860" s="74" t="inlineStr">
        <is>
          <t>Mangkasuy</t>
        </is>
      </c>
      <c r="F860" s="85" t="n"/>
      <c r="G860" s="85" t="n"/>
      <c r="H860" s="85" t="n"/>
      <c r="I860" s="75" t="n">
        <v>112.96</v>
      </c>
      <c r="J860" s="75" t="n">
        <v>881.1</v>
      </c>
      <c r="K860" s="75" t="n">
        <v>7.8</v>
      </c>
    </row>
    <row r="861" ht="15" customHeight="1" s="101">
      <c r="A861" s="86" t="inlineStr">
        <is>
          <t>DS</t>
        </is>
      </c>
      <c r="B861" s="86" t="inlineStr">
        <is>
          <t>2024-2025</t>
        </is>
      </c>
      <c r="C861" s="86" t="inlineStr">
        <is>
          <t>Corn</t>
        </is>
      </c>
      <c r="D861" s="86" t="inlineStr">
        <is>
          <t>Planting</t>
        </is>
      </c>
      <c r="E861" s="86" t="inlineStr">
        <is>
          <t>San Pablo</t>
        </is>
      </c>
      <c r="F861" s="87" t="n"/>
      <c r="G861" s="87" t="n"/>
      <c r="H861" s="88" t="n">
        <v>65.08</v>
      </c>
      <c r="I861" s="87" t="n"/>
      <c r="J861" s="87" t="n"/>
      <c r="K861" s="87" t="n"/>
    </row>
    <row r="862" ht="15" customHeight="1" s="101">
      <c r="A862" s="74" t="inlineStr">
        <is>
          <t>DS</t>
        </is>
      </c>
      <c r="B862" s="74" t="inlineStr">
        <is>
          <t>2024-2025</t>
        </is>
      </c>
      <c r="C862" s="74" t="inlineStr">
        <is>
          <t>Corn</t>
        </is>
      </c>
      <c r="D862" s="74" t="inlineStr">
        <is>
          <t>Harvest</t>
        </is>
      </c>
      <c r="E862" s="74" t="inlineStr">
        <is>
          <t>San Pablo</t>
        </is>
      </c>
      <c r="F862" s="85" t="n"/>
      <c r="G862" s="85" t="n"/>
      <c r="H862" s="85" t="n"/>
      <c r="I862" s="75" t="n">
        <v>65.08</v>
      </c>
      <c r="J862" s="75" t="n">
        <v>507.66</v>
      </c>
      <c r="K862" s="75" t="n">
        <v>7.8</v>
      </c>
    </row>
    <row r="863" ht="15" customHeight="1" s="101">
      <c r="A863" s="86" t="inlineStr">
        <is>
          <t>DS</t>
        </is>
      </c>
      <c r="B863" s="86" t="inlineStr">
        <is>
          <t>2024-2025</t>
        </is>
      </c>
      <c r="C863" s="86" t="inlineStr">
        <is>
          <t>Corn</t>
        </is>
      </c>
      <c r="D863" s="86" t="inlineStr">
        <is>
          <t>Planting</t>
        </is>
      </c>
      <c r="E863" s="86" t="inlineStr">
        <is>
          <t>Balangobong</t>
        </is>
      </c>
      <c r="F863" s="87" t="n"/>
      <c r="G863" s="87" t="n"/>
      <c r="H863" s="88" t="n">
        <v>65.12</v>
      </c>
      <c r="I863" s="87" t="n"/>
      <c r="J863" s="87" t="n"/>
      <c r="K863" s="87" t="n"/>
    </row>
    <row r="864" ht="15" customHeight="1" s="101">
      <c r="A864" s="74" t="inlineStr">
        <is>
          <t>DS</t>
        </is>
      </c>
      <c r="B864" s="74" t="inlineStr">
        <is>
          <t>2024-2025</t>
        </is>
      </c>
      <c r="C864" s="74" t="inlineStr">
        <is>
          <t>Corn</t>
        </is>
      </c>
      <c r="D864" s="74" t="inlineStr">
        <is>
          <t>Harvest</t>
        </is>
      </c>
      <c r="E864" s="74" t="inlineStr">
        <is>
          <t>Balangobong</t>
        </is>
      </c>
      <c r="F864" s="85" t="n"/>
      <c r="G864" s="85" t="n"/>
      <c r="H864" s="85" t="n"/>
      <c r="I864" s="75" t="n">
        <v>65.12</v>
      </c>
      <c r="J864" s="75" t="n">
        <v>507.93</v>
      </c>
      <c r="K864" s="75" t="n">
        <v>7.8</v>
      </c>
    </row>
    <row r="865" ht="15" customHeight="1" s="101">
      <c r="A865" s="86" t="inlineStr">
        <is>
          <t>DS</t>
        </is>
      </c>
      <c r="B865" s="86" t="inlineStr">
        <is>
          <t>2024-2025</t>
        </is>
      </c>
      <c r="C865" s="86" t="inlineStr">
        <is>
          <t>Corn</t>
        </is>
      </c>
      <c r="D865" s="86" t="inlineStr">
        <is>
          <t>Planting</t>
        </is>
      </c>
      <c r="E865" s="86" t="inlineStr">
        <is>
          <t>San Felipe Central</t>
        </is>
      </c>
      <c r="F865" s="87" t="n"/>
      <c r="G865" s="87" t="n"/>
      <c r="H865" s="88" t="n">
        <v>81.19</v>
      </c>
      <c r="I865" s="87" t="n"/>
      <c r="J865" s="87" t="n"/>
      <c r="K865" s="87" t="n"/>
    </row>
    <row r="866" ht="15" customHeight="1" s="101">
      <c r="A866" s="74" t="inlineStr">
        <is>
          <t>DS</t>
        </is>
      </c>
      <c r="B866" s="74" t="inlineStr">
        <is>
          <t>2024-2025</t>
        </is>
      </c>
      <c r="C866" s="74" t="inlineStr">
        <is>
          <t>Corn</t>
        </is>
      </c>
      <c r="D866" s="74" t="inlineStr">
        <is>
          <t>Harvest</t>
        </is>
      </c>
      <c r="E866" s="74" t="inlineStr">
        <is>
          <t>San Felipe Central</t>
        </is>
      </c>
      <c r="F866" s="85" t="n"/>
      <c r="G866" s="85" t="n"/>
      <c r="H866" s="85" t="n"/>
      <c r="I866" s="75" t="n">
        <v>81.19</v>
      </c>
      <c r="J866" s="75" t="n">
        <v>633.25</v>
      </c>
      <c r="K866" s="75" t="n">
        <v>7.8</v>
      </c>
    </row>
    <row r="867" ht="15" customHeight="1" s="101">
      <c r="A867" s="86" t="inlineStr">
        <is>
          <t>DS</t>
        </is>
      </c>
      <c r="B867" s="86" t="inlineStr">
        <is>
          <t>2024-2025</t>
        </is>
      </c>
      <c r="C867" s="86" t="inlineStr">
        <is>
          <t>Corn</t>
        </is>
      </c>
      <c r="D867" s="86" t="inlineStr">
        <is>
          <t>Planting</t>
        </is>
      </c>
      <c r="E867" s="86" t="inlineStr">
        <is>
          <t>San Felipe Sur</t>
        </is>
      </c>
      <c r="F867" s="87" t="n"/>
      <c r="G867" s="87" t="n"/>
      <c r="H867" s="88" t="n">
        <v>84.17</v>
      </c>
      <c r="I867" s="87" t="n"/>
      <c r="J867" s="87" t="n"/>
      <c r="K867" s="87" t="n"/>
    </row>
    <row r="868" ht="15" customHeight="1" s="101">
      <c r="A868" s="74" t="inlineStr">
        <is>
          <t>DS</t>
        </is>
      </c>
      <c r="B868" s="74" t="inlineStr">
        <is>
          <t>2024-2025</t>
        </is>
      </c>
      <c r="C868" s="74" t="inlineStr">
        <is>
          <t>Corn</t>
        </is>
      </c>
      <c r="D868" s="74" t="inlineStr">
        <is>
          <t>Harvest</t>
        </is>
      </c>
      <c r="E868" s="74" t="inlineStr">
        <is>
          <t>San Felipe Sur</t>
        </is>
      </c>
      <c r="F868" s="85" t="n"/>
      <c r="G868" s="85" t="n"/>
      <c r="H868" s="85" t="n"/>
      <c r="I868" s="75" t="n">
        <v>84.17</v>
      </c>
      <c r="J868" s="75" t="n">
        <v>656.52</v>
      </c>
      <c r="K868" s="75" t="n">
        <v>7.8</v>
      </c>
    </row>
    <row r="869" ht="15" customHeight="1" s="101">
      <c r="A869" s="86" t="inlineStr">
        <is>
          <t>DS</t>
        </is>
      </c>
      <c r="B869" s="86" t="inlineStr">
        <is>
          <t>2024-2025</t>
        </is>
      </c>
      <c r="C869" s="86" t="inlineStr">
        <is>
          <t>Corn</t>
        </is>
      </c>
      <c r="D869" s="86" t="inlineStr">
        <is>
          <t>Planting</t>
        </is>
      </c>
      <c r="E869" s="86" t="inlineStr">
        <is>
          <t>Pasileng Sur</t>
        </is>
      </c>
      <c r="F869" s="87" t="n"/>
      <c r="G869" s="87" t="n"/>
      <c r="H869" s="88" t="n">
        <v>85.38</v>
      </c>
      <c r="I869" s="87" t="n"/>
      <c r="J869" s="87" t="n"/>
      <c r="K869" s="87" t="n"/>
    </row>
    <row r="870" ht="15" customHeight="1" s="101">
      <c r="A870" s="74" t="inlineStr">
        <is>
          <t>DS</t>
        </is>
      </c>
      <c r="B870" s="74" t="inlineStr">
        <is>
          <t>2024-2025</t>
        </is>
      </c>
      <c r="C870" s="74" t="inlineStr">
        <is>
          <t>Corn</t>
        </is>
      </c>
      <c r="D870" s="74" t="inlineStr">
        <is>
          <t>Harvest</t>
        </is>
      </c>
      <c r="E870" s="74" t="inlineStr">
        <is>
          <t>Pasileng Sur</t>
        </is>
      </c>
      <c r="F870" s="85" t="n"/>
      <c r="G870" s="85" t="n"/>
      <c r="H870" s="85" t="n"/>
      <c r="I870" s="75" t="n">
        <v>85.38</v>
      </c>
      <c r="J870" s="75" t="n">
        <v>665.96</v>
      </c>
      <c r="K870" s="75" t="n">
        <v>7.8</v>
      </c>
    </row>
    <row r="871" ht="15" customHeight="1" s="101">
      <c r="A871" s="86" t="inlineStr">
        <is>
          <t>DS</t>
        </is>
      </c>
      <c r="B871" s="86" t="inlineStr">
        <is>
          <t>2024-2025</t>
        </is>
      </c>
      <c r="C871" s="86" t="inlineStr">
        <is>
          <t>Corn</t>
        </is>
      </c>
      <c r="D871" s="86" t="inlineStr">
        <is>
          <t>Planting</t>
        </is>
      </c>
      <c r="E871" s="86" t="inlineStr">
        <is>
          <t>Sta. Maria Norte</t>
        </is>
      </c>
      <c r="F871" s="87" t="n"/>
      <c r="G871" s="87" t="n"/>
      <c r="H871" s="88" t="n">
        <v>28.97</v>
      </c>
      <c r="I871" s="87" t="n"/>
      <c r="J871" s="87" t="n"/>
      <c r="K871" s="87" t="n"/>
    </row>
    <row r="872" ht="15" customHeight="1" s="101">
      <c r="A872" s="74" t="inlineStr">
        <is>
          <t>DS</t>
        </is>
      </c>
      <c r="B872" s="74" t="inlineStr">
        <is>
          <t>2024-2025</t>
        </is>
      </c>
      <c r="C872" s="74" t="inlineStr">
        <is>
          <t>Corn</t>
        </is>
      </c>
      <c r="D872" s="74" t="inlineStr">
        <is>
          <t>Harvest</t>
        </is>
      </c>
      <c r="E872" s="74" t="inlineStr">
        <is>
          <t>Sta. Maria Norte</t>
        </is>
      </c>
      <c r="F872" s="85" t="n"/>
      <c r="G872" s="85" t="n"/>
      <c r="H872" s="85" t="n"/>
      <c r="I872" s="75" t="n">
        <v>28.97</v>
      </c>
      <c r="J872" s="75" t="n">
        <v>225.94</v>
      </c>
      <c r="K872" s="75" t="n">
        <v>7.8</v>
      </c>
    </row>
    <row r="873" ht="15" customHeight="1" s="101">
      <c r="A873" s="86" t="inlineStr">
        <is>
          <t>DS</t>
        </is>
      </c>
      <c r="B873" s="86" t="inlineStr">
        <is>
          <t>2024-2025</t>
        </is>
      </c>
      <c r="C873" s="86" t="inlineStr">
        <is>
          <t>Corn</t>
        </is>
      </c>
      <c r="D873" s="86" t="inlineStr">
        <is>
          <t>Planting</t>
        </is>
      </c>
      <c r="E873" s="86" t="inlineStr">
        <is>
          <t>Bugayong</t>
        </is>
      </c>
      <c r="F873" s="87" t="n"/>
      <c r="G873" s="87" t="n"/>
      <c r="H873" s="88" t="n">
        <v>26.04</v>
      </c>
      <c r="I873" s="87" t="n"/>
      <c r="J873" s="87" t="n"/>
      <c r="K873" s="87" t="n"/>
    </row>
    <row r="874" ht="15" customHeight="1" s="101">
      <c r="A874" s="74" t="inlineStr">
        <is>
          <t>DS</t>
        </is>
      </c>
      <c r="B874" s="74" t="inlineStr">
        <is>
          <t>2024-2025</t>
        </is>
      </c>
      <c r="C874" s="74" t="inlineStr">
        <is>
          <t>Corn</t>
        </is>
      </c>
      <c r="D874" s="74" t="inlineStr">
        <is>
          <t>Harvest</t>
        </is>
      </c>
      <c r="E874" s="74" t="inlineStr">
        <is>
          <t>Bugayong</t>
        </is>
      </c>
      <c r="F874" s="85" t="n"/>
      <c r="G874" s="85" t="n"/>
      <c r="H874" s="85" t="n"/>
      <c r="I874" s="75" t="n">
        <v>26.04</v>
      </c>
      <c r="J874" s="75" t="n">
        <v>203.15</v>
      </c>
      <c r="K874" s="75" t="n">
        <v>7.8</v>
      </c>
    </row>
    <row r="875" ht="15" customHeight="1" s="101">
      <c r="A875" s="86" t="inlineStr">
        <is>
          <t>DS</t>
        </is>
      </c>
      <c r="B875" s="86" t="inlineStr">
        <is>
          <t>2024-2025</t>
        </is>
      </c>
      <c r="C875" s="86" t="inlineStr">
        <is>
          <t>Corn</t>
        </is>
      </c>
      <c r="D875" s="86" t="inlineStr">
        <is>
          <t>Planting</t>
        </is>
      </c>
      <c r="E875" s="86" t="inlineStr">
        <is>
          <t>Santiago</t>
        </is>
      </c>
      <c r="F875" s="87" t="n"/>
      <c r="G875" s="87" t="n"/>
      <c r="H875" s="88" t="n">
        <v>86.38</v>
      </c>
      <c r="I875" s="87" t="n"/>
      <c r="J875" s="87" t="n"/>
      <c r="K875" s="87" t="n"/>
    </row>
    <row r="876" ht="15" customHeight="1" s="101">
      <c r="A876" s="74" t="inlineStr">
        <is>
          <t>DS</t>
        </is>
      </c>
      <c r="B876" s="74" t="inlineStr">
        <is>
          <t>2024-2025</t>
        </is>
      </c>
      <c r="C876" s="74" t="inlineStr">
        <is>
          <t>Corn</t>
        </is>
      </c>
      <c r="D876" s="74" t="inlineStr">
        <is>
          <t>Harvest</t>
        </is>
      </c>
      <c r="E876" s="74" t="inlineStr">
        <is>
          <t>Santiago</t>
        </is>
      </c>
      <c r="F876" s="85" t="n"/>
      <c r="G876" s="85" t="n"/>
      <c r="H876" s="85" t="n"/>
      <c r="I876" s="75" t="n">
        <v>86.38</v>
      </c>
      <c r="J876" s="75" t="n">
        <v>673.66</v>
      </c>
      <c r="K876" s="75" t="n">
        <v>7.8</v>
      </c>
    </row>
  </sheetData>
  <autoFilter ref="A2:K2"/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:P1"/>
    </sheetView>
  </sheetViews>
  <sheetFormatPr baseColWidth="8" defaultColWidth="8.6640625" defaultRowHeight="14.4"/>
  <cols>
    <col width="20" customWidth="1" style="101" min="1" max="1"/>
    <col width="17" customWidth="1" style="101" min="2" max="2"/>
    <col width="13" customWidth="1" style="101" min="3" max="15"/>
    <col width="28" customWidth="1" style="101" min="16" max="16"/>
    <col width="13" customWidth="1" style="101" min="17" max="21"/>
  </cols>
  <sheetData>
    <row r="1" ht="27.75" customHeight="1" s="101">
      <c r="A1" s="127" t="inlineStr">
        <is>
          <t>Binalonan, Pangasinan – Hybrid Yellow Corn Production by Season</t>
        </is>
      </c>
    </row>
    <row r="2" ht="15" customHeight="1" s="101">
      <c r="A2" s="128" t="inlineStr">
        <is>
          <t>SECTION A – Municipal Monthly Summary (from Annual Report)</t>
        </is>
      </c>
    </row>
    <row r="3" ht="19.5" customHeight="1" s="101">
      <c r="A3" s="122" t="inlineStr">
        <is>
          <t>Year</t>
        </is>
      </c>
      <c r="B3" s="122" t="inlineStr">
        <is>
          <t>Metric</t>
        </is>
      </c>
      <c r="C3" s="121" t="inlineStr">
        <is>
          <t>Oct</t>
        </is>
      </c>
      <c r="D3" s="121" t="inlineStr">
        <is>
          <t>Nov</t>
        </is>
      </c>
      <c r="E3" s="121" t="inlineStr">
        <is>
          <t>Dec</t>
        </is>
      </c>
      <c r="F3" s="121" t="inlineStr">
        <is>
          <t>Jan</t>
        </is>
      </c>
      <c r="G3" s="121" t="inlineStr">
        <is>
          <t>Feb</t>
        </is>
      </c>
      <c r="H3" s="121" t="inlineStr">
        <is>
          <t>Mar</t>
        </is>
      </c>
      <c r="I3" s="121" t="inlineStr">
        <is>
          <t>Apr</t>
        </is>
      </c>
      <c r="J3" s="121" t="inlineStr">
        <is>
          <t>May</t>
        </is>
      </c>
      <c r="K3" s="121" t="inlineStr">
        <is>
          <t>Jun</t>
        </is>
      </c>
      <c r="L3" s="121" t="inlineStr">
        <is>
          <t>Jul</t>
        </is>
      </c>
      <c r="M3" s="121" t="inlineStr">
        <is>
          <t>Aug</t>
        </is>
      </c>
      <c r="N3" s="121" t="inlineStr">
        <is>
          <t>Sep</t>
        </is>
      </c>
      <c r="O3" s="122" t="inlineStr">
        <is>
          <t>TOTAL</t>
        </is>
      </c>
      <c r="P3" s="122" t="inlineStr">
        <is>
          <t>Note</t>
        </is>
      </c>
    </row>
    <row r="4" ht="15" customHeight="1" s="101">
      <c r="A4" s="124" t="inlineStr">
        <is>
          <t>2020-2021</t>
        </is>
      </c>
      <c r="B4" s="89" t="inlineStr">
        <is>
          <t>Planting (Ha)</t>
        </is>
      </c>
      <c r="C4" s="88" t="n">
        <v>77.5</v>
      </c>
      <c r="D4" s="88" t="n">
        <v>343.1</v>
      </c>
      <c r="E4" s="88" t="n">
        <v>629.4</v>
      </c>
      <c r="F4" s="88" t="n">
        <v>79.14</v>
      </c>
      <c r="G4" s="88" t="n">
        <v>21</v>
      </c>
      <c r="H4" s="88" t="n">
        <v>19.75</v>
      </c>
      <c r="I4" s="88" t="n">
        <v>20</v>
      </c>
      <c r="J4" s="88" t="n">
        <v>119.92</v>
      </c>
      <c r="K4" s="88" t="n"/>
      <c r="L4" s="88" t="n"/>
      <c r="M4" s="88" t="n"/>
      <c r="N4" s="88" t="n"/>
      <c r="O4" s="81" t="n">
        <v>1189.89</v>
      </c>
    </row>
    <row r="5" ht="15" customHeight="1" s="101">
      <c r="A5" s="125" t="n"/>
      <c r="B5" s="74" t="inlineStr">
        <is>
          <t>Harvesting (Ha)</t>
        </is>
      </c>
      <c r="C5" s="75" t="n"/>
      <c r="D5" s="75" t="n"/>
      <c r="E5" s="75" t="n"/>
      <c r="F5" s="75" t="n"/>
      <c r="G5" s="75" t="n">
        <v>77.5</v>
      </c>
      <c r="H5" s="75" t="n">
        <v>343.1</v>
      </c>
      <c r="I5" s="75" t="n">
        <v>629.4</v>
      </c>
      <c r="J5" s="75" t="n">
        <v>79.14</v>
      </c>
      <c r="K5" s="75" t="n">
        <v>21</v>
      </c>
      <c r="L5" s="75" t="n">
        <v>19.75</v>
      </c>
      <c r="M5" s="75" t="n">
        <v>20</v>
      </c>
      <c r="N5" s="75" t="n">
        <v>119.92</v>
      </c>
      <c r="O5" s="81" t="n">
        <v>1189.89</v>
      </c>
    </row>
    <row r="6" ht="15" customHeight="1" s="101">
      <c r="A6" s="126" t="n"/>
      <c r="B6" s="90" t="inlineStr">
        <is>
          <t>Production (MT)</t>
        </is>
      </c>
      <c r="C6" s="91" t="n"/>
      <c r="D6" s="91" t="n"/>
      <c r="E6" s="91" t="n"/>
      <c r="F6" s="91" t="n"/>
      <c r="G6" s="91" t="n">
        <v>817.05</v>
      </c>
      <c r="H6" s="91" t="n">
        <v>2340.78</v>
      </c>
      <c r="I6" s="91" t="n">
        <v>4653.52</v>
      </c>
      <c r="J6" s="91" t="n">
        <v>617.29</v>
      </c>
      <c r="K6" s="91" t="n">
        <v>158.8</v>
      </c>
      <c r="L6" s="91" t="n">
        <v>154.25</v>
      </c>
      <c r="M6" s="91" t="n">
        <v>150</v>
      </c>
      <c r="N6" s="91" t="n">
        <v>875.4160000000001</v>
      </c>
      <c r="O6" s="81" t="n">
        <v>9767.106</v>
      </c>
    </row>
    <row r="7" ht="15" customHeight="1" s="101">
      <c r="A7" s="124" t="inlineStr">
        <is>
          <t>2021-2022</t>
        </is>
      </c>
      <c r="B7" s="89" t="inlineStr">
        <is>
          <t>Planting (Ha)</t>
        </is>
      </c>
      <c r="C7" s="88" t="n">
        <v>65.8</v>
      </c>
      <c r="D7" s="88" t="n">
        <v>259</v>
      </c>
      <c r="E7" s="88" t="n">
        <v>650</v>
      </c>
      <c r="F7" s="88" t="n">
        <v>58.34</v>
      </c>
      <c r="G7" s="88" t="n">
        <v>15</v>
      </c>
      <c r="H7" s="88" t="n">
        <v>25.75</v>
      </c>
      <c r="I7" s="88" t="n">
        <v>25</v>
      </c>
      <c r="J7" s="88" t="n">
        <v>115.92</v>
      </c>
      <c r="K7" s="88" t="n"/>
      <c r="L7" s="88" t="n"/>
      <c r="M7" s="88" t="n"/>
      <c r="N7" s="88" t="n"/>
      <c r="O7" s="81" t="n">
        <v>1214.81</v>
      </c>
    </row>
    <row r="8" ht="15" customHeight="1" s="101">
      <c r="A8" s="125" t="n"/>
      <c r="B8" s="74" t="inlineStr">
        <is>
          <t>Harvesting (Ha)</t>
        </is>
      </c>
      <c r="C8" s="75" t="n"/>
      <c r="D8" s="75" t="n"/>
      <c r="E8" s="75" t="n"/>
      <c r="F8" s="75" t="n"/>
      <c r="G8" s="75" t="n">
        <v>65.8</v>
      </c>
      <c r="H8" s="75" t="n">
        <v>259</v>
      </c>
      <c r="I8" s="75" t="n">
        <v>650</v>
      </c>
      <c r="J8" s="75" t="n">
        <v>58.34</v>
      </c>
      <c r="K8" s="75" t="n">
        <v>15</v>
      </c>
      <c r="L8" s="75" t="n">
        <v>25.75</v>
      </c>
      <c r="M8" s="75" t="n">
        <v>25</v>
      </c>
      <c r="N8" s="75" t="n">
        <v>115.92</v>
      </c>
      <c r="O8" s="81" t="n">
        <v>1214.81</v>
      </c>
    </row>
    <row r="9" ht="15" customHeight="1" s="101">
      <c r="A9" s="126" t="n"/>
      <c r="B9" s="90" t="inlineStr">
        <is>
          <t>Production (MT)</t>
        </is>
      </c>
      <c r="C9" s="91" t="n"/>
      <c r="D9" s="91" t="n"/>
      <c r="E9" s="91" t="n"/>
      <c r="F9" s="91" t="n"/>
      <c r="G9" s="91" t="n">
        <v>526.4</v>
      </c>
      <c r="H9" s="91" t="n">
        <v>1890.7</v>
      </c>
      <c r="I9" s="91" t="n">
        <v>4875</v>
      </c>
      <c r="J9" s="91" t="n">
        <v>425.882</v>
      </c>
      <c r="K9" s="91" t="n">
        <v>109.5</v>
      </c>
      <c r="L9" s="91" t="n">
        <v>180.25</v>
      </c>
      <c r="M9" s="91" t="n">
        <v>187.5</v>
      </c>
      <c r="N9" s="91" t="n">
        <v>846.216</v>
      </c>
      <c r="O9" s="81" t="n">
        <v>9041.448</v>
      </c>
    </row>
    <row r="10" ht="15" customHeight="1" s="101">
      <c r="A10" s="124" t="inlineStr">
        <is>
          <t>2022-2023</t>
        </is>
      </c>
      <c r="B10" s="89" t="inlineStr">
        <is>
          <t>Planting (Ha)</t>
        </is>
      </c>
      <c r="C10" s="88" t="n">
        <v>70</v>
      </c>
      <c r="D10" s="88" t="n">
        <v>229.6</v>
      </c>
      <c r="E10" s="88" t="n">
        <v>550.15</v>
      </c>
      <c r="F10" s="88" t="n">
        <v>79.36</v>
      </c>
      <c r="G10" s="88" t="n">
        <v>35.5</v>
      </c>
      <c r="H10" s="88" t="n">
        <v>15.15</v>
      </c>
      <c r="I10" s="88" t="n">
        <v>30</v>
      </c>
      <c r="J10" s="88" t="n">
        <v>200</v>
      </c>
      <c r="K10" s="88" t="n"/>
      <c r="L10" s="88" t="n"/>
      <c r="M10" s="88" t="n"/>
      <c r="N10" s="88" t="n"/>
      <c r="O10" s="81" t="n">
        <v>1209.76</v>
      </c>
    </row>
    <row r="11" ht="15" customHeight="1" s="101">
      <c r="A11" s="125" t="n"/>
      <c r="B11" s="74" t="inlineStr">
        <is>
          <t>Harvesting (Ha)</t>
        </is>
      </c>
      <c r="C11" s="75" t="n"/>
      <c r="D11" s="75" t="n"/>
      <c r="E11" s="75" t="n"/>
      <c r="F11" s="75" t="n"/>
      <c r="G11" s="75" t="n">
        <v>70</v>
      </c>
      <c r="H11" s="75" t="n">
        <v>229.6</v>
      </c>
      <c r="I11" s="75" t="n">
        <v>550.15</v>
      </c>
      <c r="J11" s="75" t="n">
        <v>79.36</v>
      </c>
      <c r="K11" s="75" t="n">
        <v>35.5</v>
      </c>
      <c r="L11" s="75" t="n">
        <v>15.15</v>
      </c>
      <c r="M11" s="75" t="n">
        <v>30</v>
      </c>
      <c r="N11" s="75" t="n">
        <v>200</v>
      </c>
      <c r="O11" s="81" t="n">
        <v>1209.79</v>
      </c>
    </row>
    <row r="12" ht="15" customHeight="1" s="101">
      <c r="A12" s="126" t="n"/>
      <c r="B12" s="90" t="inlineStr">
        <is>
          <t>Production (MT)</t>
        </is>
      </c>
      <c r="C12" s="91" t="n"/>
      <c r="D12" s="91" t="n"/>
      <c r="E12" s="91" t="n"/>
      <c r="F12" s="91" t="n"/>
      <c r="G12" s="91" t="n">
        <v>525</v>
      </c>
      <c r="H12" s="91" t="n">
        <v>1774.96</v>
      </c>
      <c r="I12" s="91" t="n">
        <v>4181.14</v>
      </c>
      <c r="J12" s="91" t="n">
        <v>579.328</v>
      </c>
      <c r="K12" s="91" t="n">
        <v>255.6</v>
      </c>
      <c r="L12" s="91" t="n">
        <v>110.595</v>
      </c>
      <c r="M12" s="91" t="n">
        <v>225</v>
      </c>
      <c r="N12" s="91" t="n">
        <v>1460</v>
      </c>
      <c r="O12" s="81" t="n">
        <v>9111.623</v>
      </c>
    </row>
    <row r="13" ht="15" customHeight="1" s="101">
      <c r="A13" s="124" t="inlineStr">
        <is>
          <t>2023-2024</t>
        </is>
      </c>
      <c r="B13" s="89" t="inlineStr">
        <is>
          <t>Planting (Ha)</t>
        </is>
      </c>
      <c r="C13" s="88" t="n">
        <v>65</v>
      </c>
      <c r="D13" s="88" t="n">
        <v>539.85</v>
      </c>
      <c r="E13" s="88" t="n">
        <v>434.15</v>
      </c>
      <c r="F13" s="88" t="n">
        <v>90</v>
      </c>
      <c r="G13" s="88" t="n">
        <v>50</v>
      </c>
      <c r="H13" s="88" t="n">
        <v>45.62</v>
      </c>
      <c r="I13" s="88" t="n">
        <v>49.38</v>
      </c>
      <c r="J13" s="88" t="n">
        <v>145</v>
      </c>
      <c r="K13" s="88" t="n"/>
      <c r="L13" s="88" t="n"/>
      <c r="M13" s="88" t="n"/>
      <c r="N13" s="88" t="n"/>
      <c r="O13" s="81" t="n">
        <v>1419</v>
      </c>
      <c r="P13" s="129" t="inlineStr">
        <is>
          <t>Decrease due to typhoons</t>
        </is>
      </c>
    </row>
    <row r="14" ht="15" customHeight="1" s="101">
      <c r="A14" s="125" t="n"/>
      <c r="B14" s="74" t="inlineStr">
        <is>
          <t>Harvesting (Ha)</t>
        </is>
      </c>
      <c r="C14" s="75" t="n"/>
      <c r="D14" s="75" t="n"/>
      <c r="E14" s="75" t="n"/>
      <c r="F14" s="75" t="n"/>
      <c r="G14" s="75" t="n">
        <v>65</v>
      </c>
      <c r="H14" s="75" t="n">
        <v>539.85</v>
      </c>
      <c r="I14" s="75" t="n">
        <v>400</v>
      </c>
      <c r="J14" s="75" t="n">
        <v>75</v>
      </c>
      <c r="K14" s="75" t="n">
        <v>50</v>
      </c>
      <c r="L14" s="75" t="n">
        <v>45.62</v>
      </c>
      <c r="M14" s="75" t="n">
        <v>49.38</v>
      </c>
      <c r="N14" s="75" t="n">
        <v>145</v>
      </c>
      <c r="O14" s="81" t="n">
        <v>1369.85</v>
      </c>
      <c r="P14" s="125" t="n"/>
    </row>
    <row r="15" ht="15" customHeight="1" s="101">
      <c r="A15" s="126" t="n"/>
      <c r="B15" s="90" t="inlineStr">
        <is>
          <t>Production (MT)</t>
        </is>
      </c>
      <c r="C15" s="91" t="n"/>
      <c r="D15" s="91" t="n"/>
      <c r="E15" s="91" t="n"/>
      <c r="F15" s="91" t="n"/>
      <c r="G15" s="91" t="n">
        <v>474.5</v>
      </c>
      <c r="H15" s="91" t="n">
        <v>4048.875</v>
      </c>
      <c r="I15" s="91" t="n">
        <v>2720</v>
      </c>
      <c r="J15" s="91" t="n">
        <v>525</v>
      </c>
      <c r="K15" s="91" t="n">
        <v>365</v>
      </c>
      <c r="L15" s="91" t="n">
        <v>333.026</v>
      </c>
      <c r="M15" s="91" t="n">
        <v>360.474</v>
      </c>
      <c r="N15" s="91" t="n">
        <v>1058.5</v>
      </c>
      <c r="O15" s="81" t="n">
        <v>9885.375</v>
      </c>
      <c r="P15" s="126" t="n"/>
    </row>
    <row r="16" ht="15" customHeight="1" s="101">
      <c r="A16" s="124" t="inlineStr">
        <is>
          <t>2024-2025</t>
        </is>
      </c>
      <c r="B16" s="89" t="inlineStr">
        <is>
          <t>Planting (Ha)</t>
        </is>
      </c>
      <c r="C16" s="88" t="n">
        <v>134.56</v>
      </c>
      <c r="D16" s="88" t="n">
        <v>382.1</v>
      </c>
      <c r="E16" s="88" t="n">
        <v>506.4</v>
      </c>
      <c r="F16" s="88" t="n">
        <v>105.94</v>
      </c>
      <c r="G16" s="88" t="n">
        <v>65.09999999999999</v>
      </c>
      <c r="H16" s="88" t="n">
        <v>35.2</v>
      </c>
      <c r="I16" s="88" t="n">
        <v>50</v>
      </c>
      <c r="J16" s="88" t="n">
        <v>200</v>
      </c>
      <c r="K16" s="88" t="n"/>
      <c r="L16" s="88" t="n"/>
      <c r="M16" s="88" t="n"/>
      <c r="N16" s="88" t="n"/>
      <c r="O16" s="81" t="n">
        <v>1479.3</v>
      </c>
    </row>
    <row r="17" ht="15" customHeight="1" s="101">
      <c r="A17" s="125" t="n"/>
      <c r="B17" s="74" t="inlineStr">
        <is>
          <t>Harvesting (Ha)</t>
        </is>
      </c>
      <c r="C17" s="75" t="n"/>
      <c r="D17" s="75" t="n"/>
      <c r="E17" s="75" t="n"/>
      <c r="F17" s="75" t="n"/>
      <c r="G17" s="75" t="n">
        <v>134.56</v>
      </c>
      <c r="H17" s="75" t="n">
        <v>382.1</v>
      </c>
      <c r="I17" s="75" t="n">
        <v>506.4</v>
      </c>
      <c r="J17" s="75" t="n">
        <v>105.94</v>
      </c>
      <c r="K17" s="75" t="n">
        <v>65.09999999999999</v>
      </c>
      <c r="L17" s="75" t="n">
        <v>35.2</v>
      </c>
      <c r="M17" s="75" t="n">
        <v>50</v>
      </c>
      <c r="N17" s="75" t="n">
        <v>200</v>
      </c>
      <c r="O17" s="81" t="n">
        <v>1479.3</v>
      </c>
    </row>
    <row r="18" ht="15" customHeight="1" s="101">
      <c r="A18" s="126" t="n"/>
      <c r="B18" s="90" t="inlineStr">
        <is>
          <t>Production (MT)</t>
        </is>
      </c>
      <c r="C18" s="91" t="n"/>
      <c r="D18" s="91" t="n"/>
      <c r="E18" s="91" t="n"/>
      <c r="F18" s="91" t="n"/>
      <c r="G18" s="91" t="n">
        <v>1049.568</v>
      </c>
      <c r="H18" s="91" t="n">
        <v>2980.38</v>
      </c>
      <c r="I18" s="91" t="n">
        <v>3949.92</v>
      </c>
      <c r="J18" s="91" t="n">
        <v>826.332</v>
      </c>
      <c r="K18" s="91" t="n">
        <v>507.78</v>
      </c>
      <c r="L18" s="91" t="n">
        <v>274.56</v>
      </c>
      <c r="M18" s="91" t="n">
        <v>390</v>
      </c>
      <c r="N18" s="91" t="n">
        <v>1560</v>
      </c>
      <c r="O18" s="81" t="n">
        <v>11538.54</v>
      </c>
    </row>
    <row r="20" ht="15" customHeight="1" s="101">
      <c r="A20" s="128" t="inlineStr">
        <is>
          <t>SECTION B – Per-Barangay Breakdown (proportional allocation from municipal totals)</t>
        </is>
      </c>
    </row>
    <row r="21" ht="19.5" customHeight="1" s="101">
      <c r="A21" s="122" t="inlineStr">
        <is>
          <t>Barangay</t>
        </is>
      </c>
      <c r="B21" s="122" t="inlineStr">
        <is>
          <t>DS 2020-2021</t>
        </is>
      </c>
      <c r="C21" s="112" t="n"/>
      <c r="D21" s="112" t="n"/>
      <c r="E21" s="113" t="n"/>
      <c r="F21" s="122" t="inlineStr">
        <is>
          <t>DS 2021-2022</t>
        </is>
      </c>
      <c r="G21" s="112" t="n"/>
      <c r="H21" s="112" t="n"/>
      <c r="I21" s="113" t="n"/>
      <c r="J21" s="122" t="inlineStr">
        <is>
          <t>DS 2022-2023</t>
        </is>
      </c>
      <c r="K21" s="112" t="n"/>
      <c r="L21" s="112" t="n"/>
      <c r="M21" s="113" t="n"/>
      <c r="N21" s="122" t="inlineStr">
        <is>
          <t>DS 2023-2024</t>
        </is>
      </c>
      <c r="O21" s="112" t="n"/>
      <c r="P21" s="112" t="n"/>
      <c r="Q21" s="113" t="n"/>
      <c r="R21" s="122" t="inlineStr">
        <is>
          <t>DS 2024-2025</t>
        </is>
      </c>
      <c r="S21" s="112" t="n"/>
      <c r="T21" s="112" t="n"/>
      <c r="U21" s="113" t="n"/>
    </row>
    <row r="22" ht="31.5" customHeight="1" s="101">
      <c r="A22" s="117" t="n"/>
      <c r="B22" s="121" t="inlineStr">
        <is>
          <t>Area Planted
(ha)</t>
        </is>
      </c>
      <c r="C22" s="121" t="inlineStr">
        <is>
          <t>Area Harvested
(ha)</t>
        </is>
      </c>
      <c r="D22" s="121" t="inlineStr">
        <is>
          <t>Production
(MT)</t>
        </is>
      </c>
      <c r="E22" s="121" t="inlineStr">
        <is>
          <t>Yield
(MT/ha)</t>
        </is>
      </c>
      <c r="F22" s="121" t="inlineStr">
        <is>
          <t>Area Planted
(ha)</t>
        </is>
      </c>
      <c r="G22" s="121" t="inlineStr">
        <is>
          <t>Area Harvested
(ha)</t>
        </is>
      </c>
      <c r="H22" s="121" t="inlineStr">
        <is>
          <t>Production
(MT)</t>
        </is>
      </c>
      <c r="I22" s="121" t="inlineStr">
        <is>
          <t>Yield
(MT/ha)</t>
        </is>
      </c>
      <c r="J22" s="121" t="inlineStr">
        <is>
          <t>Area Planted
(ha)</t>
        </is>
      </c>
      <c r="K22" s="121" t="inlineStr">
        <is>
          <t>Area Harvested
(ha)</t>
        </is>
      </c>
      <c r="L22" s="121" t="inlineStr">
        <is>
          <t>Production
(MT)</t>
        </is>
      </c>
      <c r="M22" s="121" t="inlineStr">
        <is>
          <t>Yield
(MT/ha)</t>
        </is>
      </c>
      <c r="N22" s="121" t="inlineStr">
        <is>
          <t>Area Planted
(ha)</t>
        </is>
      </c>
      <c r="O22" s="121" t="inlineStr">
        <is>
          <t>Area Harvested
(ha)</t>
        </is>
      </c>
      <c r="P22" s="121" t="inlineStr">
        <is>
          <t>Production
(MT)</t>
        </is>
      </c>
      <c r="Q22" s="121" t="inlineStr">
        <is>
          <t>Yield
(MT/ha)</t>
        </is>
      </c>
      <c r="R22" s="121" t="inlineStr">
        <is>
          <t>Area Planted
(ha)</t>
        </is>
      </c>
      <c r="S22" s="121" t="inlineStr">
        <is>
          <t>Area Harvested
(ha)</t>
        </is>
      </c>
      <c r="T22" s="121" t="inlineStr">
        <is>
          <t>Production
(MT)</t>
        </is>
      </c>
      <c r="U22" s="121" t="inlineStr">
        <is>
          <t>Yield
(MT/ha)</t>
        </is>
      </c>
    </row>
    <row r="23" ht="15" customHeight="1" s="101">
      <c r="A23" s="86" t="inlineStr">
        <is>
          <t>Pasileng Norte</t>
        </is>
      </c>
      <c r="B23" s="88" t="n">
        <v>35.8</v>
      </c>
      <c r="C23" s="88" t="n">
        <v>35.8</v>
      </c>
      <c r="D23" s="88" t="n">
        <v>293.9</v>
      </c>
      <c r="E23" s="92" t="n">
        <v>8.210000000000001</v>
      </c>
      <c r="F23" s="88" t="n">
        <v>36.55</v>
      </c>
      <c r="G23" s="88" t="n">
        <v>36.55</v>
      </c>
      <c r="H23" s="88" t="n">
        <v>272.06</v>
      </c>
      <c r="I23" s="92" t="n">
        <v>7.44</v>
      </c>
      <c r="J23" s="88" t="n">
        <v>36.4</v>
      </c>
      <c r="K23" s="88" t="n">
        <v>36.4</v>
      </c>
      <c r="L23" s="88" t="n">
        <v>274.17</v>
      </c>
      <c r="M23" s="92" t="n">
        <v>7.53</v>
      </c>
      <c r="N23" s="88" t="n">
        <v>42.7</v>
      </c>
      <c r="O23" s="88" t="n">
        <v>41.22</v>
      </c>
      <c r="P23" s="88" t="n">
        <v>297.46</v>
      </c>
      <c r="Q23" s="92" t="n">
        <v>7.22</v>
      </c>
      <c r="R23" s="88" t="n">
        <v>44.51</v>
      </c>
      <c r="S23" s="88" t="n">
        <v>44.51</v>
      </c>
      <c r="T23" s="88" t="n">
        <v>347.2</v>
      </c>
      <c r="U23" s="92" t="n">
        <v>7.8</v>
      </c>
    </row>
    <row r="24" ht="15" customHeight="1" s="101">
      <c r="A24" s="74" t="inlineStr">
        <is>
          <t>Tabuyoc</t>
        </is>
      </c>
      <c r="B24" s="75" t="n">
        <v>55.45</v>
      </c>
      <c r="C24" s="75" t="n">
        <v>55.45</v>
      </c>
      <c r="D24" s="75" t="n">
        <v>455.12</v>
      </c>
      <c r="E24" s="79" t="n">
        <v>8.210000000000001</v>
      </c>
      <c r="F24" s="75" t="n">
        <v>56.61</v>
      </c>
      <c r="G24" s="75" t="n">
        <v>56.61</v>
      </c>
      <c r="H24" s="75" t="n">
        <v>421.31</v>
      </c>
      <c r="I24" s="79" t="n">
        <v>7.44</v>
      </c>
      <c r="J24" s="75" t="n">
        <v>56.37</v>
      </c>
      <c r="K24" s="75" t="n">
        <v>56.37</v>
      </c>
      <c r="L24" s="75" t="n">
        <v>424.58</v>
      </c>
      <c r="M24" s="79" t="n">
        <v>7.53</v>
      </c>
      <c r="N24" s="75" t="n">
        <v>66.12</v>
      </c>
      <c r="O24" s="75" t="n">
        <v>63.83</v>
      </c>
      <c r="P24" s="75" t="n">
        <v>460.63</v>
      </c>
      <c r="Q24" s="79" t="n">
        <v>7.22</v>
      </c>
      <c r="R24" s="75" t="n">
        <v>68.93000000000001</v>
      </c>
      <c r="S24" s="75" t="n">
        <v>68.93000000000001</v>
      </c>
      <c r="T24" s="75" t="n">
        <v>537.67</v>
      </c>
      <c r="U24" s="79" t="n">
        <v>7.8</v>
      </c>
    </row>
    <row r="25" ht="15" customHeight="1" s="101">
      <c r="A25" s="86" t="inlineStr">
        <is>
          <t>Bued</t>
        </is>
      </c>
      <c r="B25" s="88" t="n">
        <v>41.88</v>
      </c>
      <c r="C25" s="88" t="n">
        <v>41.88</v>
      </c>
      <c r="D25" s="88" t="n">
        <v>343.79</v>
      </c>
      <c r="E25" s="92" t="n">
        <v>8.210000000000001</v>
      </c>
      <c r="F25" s="88" t="n">
        <v>42.76</v>
      </c>
      <c r="G25" s="88" t="n">
        <v>42.76</v>
      </c>
      <c r="H25" s="88" t="n">
        <v>318.24</v>
      </c>
      <c r="I25" s="92" t="n">
        <v>7.44</v>
      </c>
      <c r="J25" s="88" t="n">
        <v>42.58</v>
      </c>
      <c r="K25" s="88" t="n">
        <v>42.58</v>
      </c>
      <c r="L25" s="88" t="n">
        <v>320.71</v>
      </c>
      <c r="M25" s="92" t="n">
        <v>7.53</v>
      </c>
      <c r="N25" s="88" t="n">
        <v>49.95</v>
      </c>
      <c r="O25" s="88" t="n">
        <v>48.22</v>
      </c>
      <c r="P25" s="88" t="n">
        <v>347.95</v>
      </c>
      <c r="Q25" s="92" t="n">
        <v>7.22</v>
      </c>
      <c r="R25" s="88" t="n">
        <v>52.07</v>
      </c>
      <c r="S25" s="88" t="n">
        <v>52.07</v>
      </c>
      <c r="T25" s="88" t="n">
        <v>406.14</v>
      </c>
      <c r="U25" s="92" t="n">
        <v>7.8</v>
      </c>
    </row>
    <row r="26" ht="15" customHeight="1" s="101">
      <c r="A26" s="74" t="inlineStr">
        <is>
          <t>Dumayat</t>
        </is>
      </c>
      <c r="B26" s="75" t="n">
        <v>32.69</v>
      </c>
      <c r="C26" s="75" t="n">
        <v>32.69</v>
      </c>
      <c r="D26" s="75" t="n">
        <v>268.36</v>
      </c>
      <c r="E26" s="79" t="n">
        <v>8.210000000000001</v>
      </c>
      <c r="F26" s="75" t="n">
        <v>33.38</v>
      </c>
      <c r="G26" s="75" t="n">
        <v>33.38</v>
      </c>
      <c r="H26" s="75" t="n">
        <v>248.42</v>
      </c>
      <c r="I26" s="79" t="n">
        <v>7.44</v>
      </c>
      <c r="J26" s="75" t="n">
        <v>33.24</v>
      </c>
      <c r="K26" s="75" t="n">
        <v>33.24</v>
      </c>
      <c r="L26" s="75" t="n">
        <v>250.35</v>
      </c>
      <c r="M26" s="79" t="n">
        <v>7.53</v>
      </c>
      <c r="N26" s="75" t="n">
        <v>38.99</v>
      </c>
      <c r="O26" s="75" t="n">
        <v>37.64</v>
      </c>
      <c r="P26" s="75" t="n">
        <v>271.61</v>
      </c>
      <c r="Q26" s="79" t="n">
        <v>7.22</v>
      </c>
      <c r="R26" s="75" t="n">
        <v>40.64</v>
      </c>
      <c r="S26" s="75" t="n">
        <v>40.64</v>
      </c>
      <c r="T26" s="75" t="n">
        <v>317.03</v>
      </c>
      <c r="U26" s="79" t="n">
        <v>7.8</v>
      </c>
    </row>
    <row r="27" ht="15" customHeight="1" s="101">
      <c r="A27" s="86" t="inlineStr">
        <is>
          <t>Camanggaan</t>
        </is>
      </c>
      <c r="B27" s="88" t="n">
        <v>24.2</v>
      </c>
      <c r="C27" s="88" t="n">
        <v>24.2</v>
      </c>
      <c r="D27" s="88" t="n">
        <v>198.64</v>
      </c>
      <c r="E27" s="92" t="n">
        <v>8.210000000000001</v>
      </c>
      <c r="F27" s="88" t="n">
        <v>24.71</v>
      </c>
      <c r="G27" s="88" t="n">
        <v>24.71</v>
      </c>
      <c r="H27" s="88" t="n">
        <v>183.88</v>
      </c>
      <c r="I27" s="92" t="n">
        <v>7.44</v>
      </c>
      <c r="J27" s="88" t="n">
        <v>24.6</v>
      </c>
      <c r="K27" s="88" t="n">
        <v>24.6</v>
      </c>
      <c r="L27" s="88" t="n">
        <v>185.31</v>
      </c>
      <c r="M27" s="92" t="n">
        <v>7.53</v>
      </c>
      <c r="N27" s="88" t="n">
        <v>28.86</v>
      </c>
      <c r="O27" s="88" t="n">
        <v>27.86</v>
      </c>
      <c r="P27" s="88" t="n">
        <v>201.05</v>
      </c>
      <c r="Q27" s="92" t="n">
        <v>7.22</v>
      </c>
      <c r="R27" s="88" t="n">
        <v>30.09</v>
      </c>
      <c r="S27" s="88" t="n">
        <v>30.09</v>
      </c>
      <c r="T27" s="88" t="n">
        <v>234.67</v>
      </c>
      <c r="U27" s="92" t="n">
        <v>7.8</v>
      </c>
    </row>
    <row r="28" ht="15" customHeight="1" s="101">
      <c r="A28" s="74" t="inlineStr">
        <is>
          <t>Vacante</t>
        </is>
      </c>
      <c r="B28" s="75" t="n">
        <v>46.69</v>
      </c>
      <c r="C28" s="75" t="n">
        <v>46.69</v>
      </c>
      <c r="D28" s="75" t="n">
        <v>383.22</v>
      </c>
      <c r="E28" s="79" t="n">
        <v>8.210000000000001</v>
      </c>
      <c r="F28" s="75" t="n">
        <v>47.66</v>
      </c>
      <c r="G28" s="75" t="n">
        <v>47.66</v>
      </c>
      <c r="H28" s="75" t="n">
        <v>354.75</v>
      </c>
      <c r="I28" s="79" t="n">
        <v>7.44</v>
      </c>
      <c r="J28" s="75" t="n">
        <v>47.47</v>
      </c>
      <c r="K28" s="75" t="n">
        <v>47.47</v>
      </c>
      <c r="L28" s="75" t="n">
        <v>357.5</v>
      </c>
      <c r="M28" s="79" t="n">
        <v>7.53</v>
      </c>
      <c r="N28" s="75" t="n">
        <v>55.68</v>
      </c>
      <c r="O28" s="75" t="n">
        <v>53.75</v>
      </c>
      <c r="P28" s="75" t="n">
        <v>387.86</v>
      </c>
      <c r="Q28" s="79" t="n">
        <v>7.22</v>
      </c>
      <c r="R28" s="75" t="n">
        <v>58.04</v>
      </c>
      <c r="S28" s="75" t="n">
        <v>58.04</v>
      </c>
      <c r="T28" s="75" t="n">
        <v>452.73</v>
      </c>
      <c r="U28" s="79" t="n">
        <v>7.8</v>
      </c>
    </row>
    <row r="29" ht="15" customHeight="1" s="101">
      <c r="A29" s="86" t="inlineStr">
        <is>
          <t>Sta. Catalina</t>
        </is>
      </c>
      <c r="B29" s="88" t="n">
        <v>79.44</v>
      </c>
      <c r="C29" s="88" t="n">
        <v>79.44</v>
      </c>
      <c r="D29" s="88" t="n">
        <v>652.05</v>
      </c>
      <c r="E29" s="92" t="n">
        <v>8.210000000000001</v>
      </c>
      <c r="F29" s="88" t="n">
        <v>81.09999999999999</v>
      </c>
      <c r="G29" s="88" t="n">
        <v>81.09999999999999</v>
      </c>
      <c r="H29" s="88" t="n">
        <v>603.61</v>
      </c>
      <c r="I29" s="92" t="n">
        <v>7.44</v>
      </c>
      <c r="J29" s="88" t="n">
        <v>80.76000000000001</v>
      </c>
      <c r="K29" s="88" t="n">
        <v>80.77</v>
      </c>
      <c r="L29" s="88" t="n">
        <v>608.29</v>
      </c>
      <c r="M29" s="92" t="n">
        <v>7.53</v>
      </c>
      <c r="N29" s="88" t="n">
        <v>94.73</v>
      </c>
      <c r="O29" s="88" t="n">
        <v>91.45</v>
      </c>
      <c r="P29" s="88" t="n">
        <v>659.95</v>
      </c>
      <c r="Q29" s="92" t="n">
        <v>7.22</v>
      </c>
      <c r="R29" s="88" t="n">
        <v>98.76000000000001</v>
      </c>
      <c r="S29" s="88" t="n">
        <v>98.76000000000001</v>
      </c>
      <c r="T29" s="88" t="n">
        <v>770.3099999999999</v>
      </c>
      <c r="U29" s="92" t="n">
        <v>7.8</v>
      </c>
    </row>
    <row r="30" ht="15" customHeight="1" s="101">
      <c r="A30" s="74" t="inlineStr">
        <is>
          <t>Moreno</t>
        </is>
      </c>
      <c r="B30" s="75" t="n">
        <v>56.91</v>
      </c>
      <c r="C30" s="75" t="n">
        <v>56.91</v>
      </c>
      <c r="D30" s="75" t="n">
        <v>467.12</v>
      </c>
      <c r="E30" s="79" t="n">
        <v>8.210000000000001</v>
      </c>
      <c r="F30" s="75" t="n">
        <v>58.1</v>
      </c>
      <c r="G30" s="75" t="n">
        <v>58.1</v>
      </c>
      <c r="H30" s="75" t="n">
        <v>432.42</v>
      </c>
      <c r="I30" s="79" t="n">
        <v>7.44</v>
      </c>
      <c r="J30" s="75" t="n">
        <v>57.86</v>
      </c>
      <c r="K30" s="75" t="n">
        <v>57.86</v>
      </c>
      <c r="L30" s="75" t="n">
        <v>435.77</v>
      </c>
      <c r="M30" s="79" t="n">
        <v>7.53</v>
      </c>
      <c r="N30" s="75" t="n">
        <v>67.87</v>
      </c>
      <c r="O30" s="75" t="n">
        <v>65.51000000000001</v>
      </c>
      <c r="P30" s="75" t="n">
        <v>472.78</v>
      </c>
      <c r="Q30" s="79" t="n">
        <v>7.22</v>
      </c>
      <c r="R30" s="75" t="n">
        <v>70.75</v>
      </c>
      <c r="S30" s="75" t="n">
        <v>70.75</v>
      </c>
      <c r="T30" s="75" t="n">
        <v>551.84</v>
      </c>
      <c r="U30" s="79" t="n">
        <v>7.8</v>
      </c>
    </row>
    <row r="31" ht="15" customHeight="1" s="101">
      <c r="A31" s="86" t="inlineStr">
        <is>
          <t>Cili</t>
        </is>
      </c>
      <c r="B31" s="88" t="n">
        <v>53.13</v>
      </c>
      <c r="C31" s="88" t="n">
        <v>53.13</v>
      </c>
      <c r="D31" s="88" t="n">
        <v>436.13</v>
      </c>
      <c r="E31" s="92" t="n">
        <v>8.210000000000001</v>
      </c>
      <c r="F31" s="88" t="n">
        <v>54.24</v>
      </c>
      <c r="G31" s="88" t="n">
        <v>54.24</v>
      </c>
      <c r="H31" s="88" t="n">
        <v>403.73</v>
      </c>
      <c r="I31" s="92" t="n">
        <v>7.44</v>
      </c>
      <c r="J31" s="88" t="n">
        <v>54.02</v>
      </c>
      <c r="K31" s="88" t="n">
        <v>54.02</v>
      </c>
      <c r="L31" s="88" t="n">
        <v>406.86</v>
      </c>
      <c r="M31" s="92" t="n">
        <v>7.53</v>
      </c>
      <c r="N31" s="88" t="n">
        <v>63.36</v>
      </c>
      <c r="O31" s="88" t="n">
        <v>61.17</v>
      </c>
      <c r="P31" s="88" t="n">
        <v>441.41</v>
      </c>
      <c r="Q31" s="92" t="n">
        <v>7.22</v>
      </c>
      <c r="R31" s="88" t="n">
        <v>66.05</v>
      </c>
      <c r="S31" s="88" t="n">
        <v>66.05</v>
      </c>
      <c r="T31" s="88" t="n">
        <v>515.23</v>
      </c>
      <c r="U31" s="92" t="n">
        <v>7.8</v>
      </c>
    </row>
    <row r="32" ht="15" customHeight="1" s="101">
      <c r="A32" s="74" t="inlineStr">
        <is>
          <t>Linmansangan</t>
        </is>
      </c>
      <c r="B32" s="75" t="n">
        <v>79.8</v>
      </c>
      <c r="C32" s="75" t="n">
        <v>79.8</v>
      </c>
      <c r="D32" s="75" t="n">
        <v>655.03</v>
      </c>
      <c r="E32" s="79" t="n">
        <v>8.210000000000001</v>
      </c>
      <c r="F32" s="75" t="n">
        <v>81.47</v>
      </c>
      <c r="G32" s="75" t="n">
        <v>81.47</v>
      </c>
      <c r="H32" s="75" t="n">
        <v>606.36</v>
      </c>
      <c r="I32" s="79" t="n">
        <v>7.44</v>
      </c>
      <c r="J32" s="75" t="n">
        <v>81.13</v>
      </c>
      <c r="K32" s="75" t="n">
        <v>81.13</v>
      </c>
      <c r="L32" s="75" t="n">
        <v>611.0700000000001</v>
      </c>
      <c r="M32" s="79" t="n">
        <v>7.53</v>
      </c>
      <c r="N32" s="75" t="n">
        <v>95.16</v>
      </c>
      <c r="O32" s="75" t="n">
        <v>91.87</v>
      </c>
      <c r="P32" s="75" t="n">
        <v>662.96</v>
      </c>
      <c r="Q32" s="79" t="n">
        <v>7.22</v>
      </c>
      <c r="R32" s="75" t="n">
        <v>99.20999999999999</v>
      </c>
      <c r="S32" s="75" t="n">
        <v>99.20999999999999</v>
      </c>
      <c r="T32" s="75" t="n">
        <v>773.83</v>
      </c>
      <c r="U32" s="79" t="n">
        <v>7.8</v>
      </c>
    </row>
    <row r="33" ht="15" customHeight="1" s="101">
      <c r="A33" s="86" t="inlineStr">
        <is>
          <t>Sumabnit</t>
        </is>
      </c>
      <c r="B33" s="88" t="n">
        <v>71.84999999999999</v>
      </c>
      <c r="C33" s="88" t="n">
        <v>71.84999999999999</v>
      </c>
      <c r="D33" s="88" t="n">
        <v>589.8099999999999</v>
      </c>
      <c r="E33" s="92" t="n">
        <v>8.210000000000001</v>
      </c>
      <c r="F33" s="88" t="n">
        <v>73.36</v>
      </c>
      <c r="G33" s="88" t="n">
        <v>73.36</v>
      </c>
      <c r="H33" s="88" t="n">
        <v>545.98</v>
      </c>
      <c r="I33" s="92" t="n">
        <v>7.44</v>
      </c>
      <c r="J33" s="88" t="n">
        <v>73.05</v>
      </c>
      <c r="K33" s="88" t="n">
        <v>73.06</v>
      </c>
      <c r="L33" s="88" t="n">
        <v>550.22</v>
      </c>
      <c r="M33" s="92" t="n">
        <v>7.53</v>
      </c>
      <c r="N33" s="88" t="n">
        <v>85.69</v>
      </c>
      <c r="O33" s="88" t="n">
        <v>82.72</v>
      </c>
      <c r="P33" s="88" t="n">
        <v>596.95</v>
      </c>
      <c r="Q33" s="92" t="n">
        <v>7.22</v>
      </c>
      <c r="R33" s="88" t="n">
        <v>89.33</v>
      </c>
      <c r="S33" s="88" t="n">
        <v>89.33</v>
      </c>
      <c r="T33" s="88" t="n">
        <v>696.78</v>
      </c>
      <c r="U33" s="92" t="n">
        <v>7.8</v>
      </c>
    </row>
    <row r="34" ht="15" customHeight="1" s="101">
      <c r="A34" s="74" t="inlineStr">
        <is>
          <t>Capas</t>
        </is>
      </c>
      <c r="B34" s="75" t="n">
        <v>101.05</v>
      </c>
      <c r="C34" s="75" t="n">
        <v>101.05</v>
      </c>
      <c r="D34" s="75" t="n">
        <v>829.49</v>
      </c>
      <c r="E34" s="79" t="n">
        <v>8.210000000000001</v>
      </c>
      <c r="F34" s="75" t="n">
        <v>103.17</v>
      </c>
      <c r="G34" s="75" t="n">
        <v>103.17</v>
      </c>
      <c r="H34" s="75" t="n">
        <v>767.86</v>
      </c>
      <c r="I34" s="79" t="n">
        <v>7.44</v>
      </c>
      <c r="J34" s="75" t="n">
        <v>102.74</v>
      </c>
      <c r="K34" s="75" t="n">
        <v>102.74</v>
      </c>
      <c r="L34" s="75" t="n">
        <v>773.8200000000001</v>
      </c>
      <c r="M34" s="79" t="n">
        <v>7.53</v>
      </c>
      <c r="N34" s="75" t="n">
        <v>120.51</v>
      </c>
      <c r="O34" s="75" t="n">
        <v>116.34</v>
      </c>
      <c r="P34" s="75" t="n">
        <v>839.54</v>
      </c>
      <c r="Q34" s="79" t="n">
        <v>7.22</v>
      </c>
      <c r="R34" s="75" t="n">
        <v>125.63</v>
      </c>
      <c r="S34" s="75" t="n">
        <v>125.63</v>
      </c>
      <c r="T34" s="75" t="n">
        <v>979.9400000000001</v>
      </c>
      <c r="U34" s="79" t="n">
        <v>7.8</v>
      </c>
    </row>
    <row r="35" ht="15" customHeight="1" s="101">
      <c r="A35" s="86" t="inlineStr">
        <is>
          <t>Mangkasuy</t>
        </is>
      </c>
      <c r="B35" s="88" t="n">
        <v>90.86</v>
      </c>
      <c r="C35" s="88" t="n">
        <v>90.86</v>
      </c>
      <c r="D35" s="88" t="n">
        <v>745.83</v>
      </c>
      <c r="E35" s="92" t="n">
        <v>8.210000000000001</v>
      </c>
      <c r="F35" s="88" t="n">
        <v>92.76000000000001</v>
      </c>
      <c r="G35" s="88" t="n">
        <v>92.76000000000001</v>
      </c>
      <c r="H35" s="88" t="n">
        <v>690.42</v>
      </c>
      <c r="I35" s="92" t="n">
        <v>7.44</v>
      </c>
      <c r="J35" s="88" t="n">
        <v>92.38</v>
      </c>
      <c r="K35" s="88" t="n">
        <v>92.38</v>
      </c>
      <c r="L35" s="88" t="n">
        <v>695.78</v>
      </c>
      <c r="M35" s="92" t="n">
        <v>7.53</v>
      </c>
      <c r="N35" s="88" t="n">
        <v>108.36</v>
      </c>
      <c r="O35" s="88" t="n">
        <v>104.6</v>
      </c>
      <c r="P35" s="88" t="n">
        <v>754.86</v>
      </c>
      <c r="Q35" s="92" t="n">
        <v>7.22</v>
      </c>
      <c r="R35" s="88" t="n">
        <v>112.96</v>
      </c>
      <c r="S35" s="88" t="n">
        <v>112.96</v>
      </c>
      <c r="T35" s="88" t="n">
        <v>881.1</v>
      </c>
      <c r="U35" s="92" t="n">
        <v>7.8</v>
      </c>
    </row>
    <row r="36" ht="15" customHeight="1" s="101">
      <c r="A36" s="74" t="inlineStr">
        <is>
          <t>San Pablo</t>
        </is>
      </c>
      <c r="B36" s="75" t="n">
        <v>52.35</v>
      </c>
      <c r="C36" s="75" t="n">
        <v>52.35</v>
      </c>
      <c r="D36" s="75" t="n">
        <v>429.72</v>
      </c>
      <c r="E36" s="79" t="n">
        <v>8.210000000000001</v>
      </c>
      <c r="F36" s="75" t="n">
        <v>53.45</v>
      </c>
      <c r="G36" s="75" t="n">
        <v>53.45</v>
      </c>
      <c r="H36" s="75" t="n">
        <v>397.8</v>
      </c>
      <c r="I36" s="79" t="n">
        <v>7.44</v>
      </c>
      <c r="J36" s="75" t="n">
        <v>53.23</v>
      </c>
      <c r="K36" s="75" t="n">
        <v>53.23</v>
      </c>
      <c r="L36" s="75" t="n">
        <v>400.89</v>
      </c>
      <c r="M36" s="79" t="n">
        <v>7.53</v>
      </c>
      <c r="N36" s="75" t="n">
        <v>62.43</v>
      </c>
      <c r="O36" s="75" t="n">
        <v>60.27</v>
      </c>
      <c r="P36" s="75" t="n">
        <v>434.93</v>
      </c>
      <c r="Q36" s="79" t="n">
        <v>7.22</v>
      </c>
      <c r="R36" s="75" t="n">
        <v>65.08</v>
      </c>
      <c r="S36" s="75" t="n">
        <v>65.08</v>
      </c>
      <c r="T36" s="75" t="n">
        <v>507.66</v>
      </c>
      <c r="U36" s="79" t="n">
        <v>7.8</v>
      </c>
    </row>
    <row r="37" ht="15" customHeight="1" s="101">
      <c r="A37" s="86" t="inlineStr">
        <is>
          <t>Balangobong</t>
        </is>
      </c>
      <c r="B37" s="88" t="n">
        <v>52.38</v>
      </c>
      <c r="C37" s="88" t="n">
        <v>52.38</v>
      </c>
      <c r="D37" s="88" t="n">
        <v>429.95</v>
      </c>
      <c r="E37" s="92" t="n">
        <v>8.210000000000001</v>
      </c>
      <c r="F37" s="88" t="n">
        <v>53.48</v>
      </c>
      <c r="G37" s="88" t="n">
        <v>53.48</v>
      </c>
      <c r="H37" s="88" t="n">
        <v>398.01</v>
      </c>
      <c r="I37" s="92" t="n">
        <v>7.44</v>
      </c>
      <c r="J37" s="88" t="n">
        <v>53.25</v>
      </c>
      <c r="K37" s="88" t="n">
        <v>53.26</v>
      </c>
      <c r="L37" s="88" t="n">
        <v>401.09</v>
      </c>
      <c r="M37" s="92" t="n">
        <v>7.53</v>
      </c>
      <c r="N37" s="88" t="n">
        <v>62.46</v>
      </c>
      <c r="O37" s="88" t="n">
        <v>60.3</v>
      </c>
      <c r="P37" s="88" t="n">
        <v>435.16</v>
      </c>
      <c r="Q37" s="92" t="n">
        <v>7.22</v>
      </c>
      <c r="R37" s="88" t="n">
        <v>65.12</v>
      </c>
      <c r="S37" s="88" t="n">
        <v>65.12</v>
      </c>
      <c r="T37" s="88" t="n">
        <v>507.93</v>
      </c>
      <c r="U37" s="92" t="n">
        <v>7.8</v>
      </c>
    </row>
    <row r="38" ht="15" customHeight="1" s="101">
      <c r="A38" s="74" t="inlineStr">
        <is>
          <t>San Felipe Central</t>
        </is>
      </c>
      <c r="B38" s="75" t="n">
        <v>65.3</v>
      </c>
      <c r="C38" s="75" t="n">
        <v>65.3</v>
      </c>
      <c r="D38" s="75" t="n">
        <v>536.03</v>
      </c>
      <c r="E38" s="79" t="n">
        <v>8.210000000000001</v>
      </c>
      <c r="F38" s="75" t="n">
        <v>66.67</v>
      </c>
      <c r="G38" s="75" t="n">
        <v>66.67</v>
      </c>
      <c r="H38" s="75" t="n">
        <v>496.2</v>
      </c>
      <c r="I38" s="79" t="n">
        <v>7.44</v>
      </c>
      <c r="J38" s="75" t="n">
        <v>66.39</v>
      </c>
      <c r="K38" s="75" t="n">
        <v>66.39</v>
      </c>
      <c r="L38" s="75" t="n">
        <v>500.06</v>
      </c>
      <c r="M38" s="79" t="n">
        <v>7.53</v>
      </c>
      <c r="N38" s="75" t="n">
        <v>77.88</v>
      </c>
      <c r="O38" s="75" t="n">
        <v>75.18000000000001</v>
      </c>
      <c r="P38" s="75" t="n">
        <v>542.52</v>
      </c>
      <c r="Q38" s="79" t="n">
        <v>7.22</v>
      </c>
      <c r="R38" s="75" t="n">
        <v>81.19</v>
      </c>
      <c r="S38" s="75" t="n">
        <v>81.19</v>
      </c>
      <c r="T38" s="75" t="n">
        <v>633.25</v>
      </c>
      <c r="U38" s="79" t="n">
        <v>7.8</v>
      </c>
    </row>
    <row r="39" ht="15" customHeight="1" s="101">
      <c r="A39" s="86" t="inlineStr">
        <is>
          <t>San Felipe Sur</t>
        </is>
      </c>
      <c r="B39" s="88" t="n">
        <v>67.7</v>
      </c>
      <c r="C39" s="88" t="n">
        <v>67.7</v>
      </c>
      <c r="D39" s="88" t="n">
        <v>555.73</v>
      </c>
      <c r="E39" s="92" t="n">
        <v>8.210000000000001</v>
      </c>
      <c r="F39" s="88" t="n">
        <v>69.12</v>
      </c>
      <c r="G39" s="88" t="n">
        <v>69.12</v>
      </c>
      <c r="H39" s="88" t="n">
        <v>514.4400000000001</v>
      </c>
      <c r="I39" s="92" t="n">
        <v>7.44</v>
      </c>
      <c r="J39" s="88" t="n">
        <v>68.83</v>
      </c>
      <c r="K39" s="88" t="n">
        <v>68.83</v>
      </c>
      <c r="L39" s="88" t="n">
        <v>518.4299999999999</v>
      </c>
      <c r="M39" s="92" t="n">
        <v>7.53</v>
      </c>
      <c r="N39" s="88" t="n">
        <v>80.73999999999999</v>
      </c>
      <c r="O39" s="88" t="n">
        <v>77.94</v>
      </c>
      <c r="P39" s="88" t="n">
        <v>562.46</v>
      </c>
      <c r="Q39" s="92" t="n">
        <v>7.22</v>
      </c>
      <c r="R39" s="88" t="n">
        <v>84.17</v>
      </c>
      <c r="S39" s="88" t="n">
        <v>84.17</v>
      </c>
      <c r="T39" s="88" t="n">
        <v>656.52</v>
      </c>
      <c r="U39" s="92" t="n">
        <v>7.8</v>
      </c>
    </row>
    <row r="40" ht="15" customHeight="1" s="101">
      <c r="A40" s="74" t="inlineStr">
        <is>
          <t>Pasileng Sur</t>
        </is>
      </c>
      <c r="B40" s="75" t="n">
        <v>68.68000000000001</v>
      </c>
      <c r="C40" s="75" t="n">
        <v>68.68000000000001</v>
      </c>
      <c r="D40" s="75" t="n">
        <v>563.72</v>
      </c>
      <c r="E40" s="79" t="n">
        <v>8.210000000000001</v>
      </c>
      <c r="F40" s="75" t="n">
        <v>70.11</v>
      </c>
      <c r="G40" s="75" t="n">
        <v>70.11</v>
      </c>
      <c r="H40" s="75" t="n">
        <v>521.84</v>
      </c>
      <c r="I40" s="79" t="n">
        <v>7.44</v>
      </c>
      <c r="J40" s="75" t="n">
        <v>69.81999999999999</v>
      </c>
      <c r="K40" s="75" t="n">
        <v>69.81999999999999</v>
      </c>
      <c r="L40" s="75" t="n">
        <v>525.89</v>
      </c>
      <c r="M40" s="79" t="n">
        <v>7.53</v>
      </c>
      <c r="N40" s="75" t="n">
        <v>81.90000000000001</v>
      </c>
      <c r="O40" s="75" t="n">
        <v>79.06</v>
      </c>
      <c r="P40" s="75" t="n">
        <v>570.55</v>
      </c>
      <c r="Q40" s="79" t="n">
        <v>7.22</v>
      </c>
      <c r="R40" s="75" t="n">
        <v>85.38</v>
      </c>
      <c r="S40" s="75" t="n">
        <v>85.38</v>
      </c>
      <c r="T40" s="75" t="n">
        <v>665.96</v>
      </c>
      <c r="U40" s="79" t="n">
        <v>7.8</v>
      </c>
    </row>
    <row r="41" ht="15" customHeight="1" s="101">
      <c r="A41" s="86" t="inlineStr">
        <is>
          <t>Sta. Maria Norte</t>
        </is>
      </c>
      <c r="B41" s="88" t="n">
        <v>23.3</v>
      </c>
      <c r="C41" s="88" t="n">
        <v>23.3</v>
      </c>
      <c r="D41" s="88" t="n">
        <v>191.25</v>
      </c>
      <c r="E41" s="92" t="n">
        <v>8.210000000000001</v>
      </c>
      <c r="F41" s="88" t="n">
        <v>23.79</v>
      </c>
      <c r="G41" s="88" t="n">
        <v>23.79</v>
      </c>
      <c r="H41" s="88" t="n">
        <v>177.04</v>
      </c>
      <c r="I41" s="92" t="n">
        <v>7.44</v>
      </c>
      <c r="J41" s="88" t="n">
        <v>23.69</v>
      </c>
      <c r="K41" s="88" t="n">
        <v>23.69</v>
      </c>
      <c r="L41" s="88" t="n">
        <v>178.42</v>
      </c>
      <c r="M41" s="92" t="n">
        <v>7.53</v>
      </c>
      <c r="N41" s="88" t="n">
        <v>27.79</v>
      </c>
      <c r="O41" s="88" t="n">
        <v>26.82</v>
      </c>
      <c r="P41" s="88" t="n">
        <v>193.57</v>
      </c>
      <c r="Q41" s="92" t="n">
        <v>7.22</v>
      </c>
      <c r="R41" s="88" t="n">
        <v>28.97</v>
      </c>
      <c r="S41" s="88" t="n">
        <v>28.97</v>
      </c>
      <c r="T41" s="88" t="n">
        <v>225.94</v>
      </c>
      <c r="U41" s="92" t="n">
        <v>7.8</v>
      </c>
    </row>
    <row r="42" ht="15" customHeight="1" s="101">
      <c r="A42" s="74" t="inlineStr">
        <is>
          <t>Bugayong</t>
        </is>
      </c>
      <c r="B42" s="75" t="n">
        <v>20.95</v>
      </c>
      <c r="C42" s="75" t="n">
        <v>20.95</v>
      </c>
      <c r="D42" s="75" t="n">
        <v>171.96</v>
      </c>
      <c r="E42" s="79" t="n">
        <v>8.210000000000001</v>
      </c>
      <c r="F42" s="75" t="n">
        <v>21.39</v>
      </c>
      <c r="G42" s="75" t="n">
        <v>21.39</v>
      </c>
      <c r="H42" s="75" t="n">
        <v>159.19</v>
      </c>
      <c r="I42" s="79" t="n">
        <v>7.44</v>
      </c>
      <c r="J42" s="75" t="n">
        <v>21.3</v>
      </c>
      <c r="K42" s="75" t="n">
        <v>21.3</v>
      </c>
      <c r="L42" s="75" t="n">
        <v>160.42</v>
      </c>
      <c r="M42" s="79" t="n">
        <v>7.53</v>
      </c>
      <c r="N42" s="75" t="n">
        <v>24.98</v>
      </c>
      <c r="O42" s="75" t="n">
        <v>24.12</v>
      </c>
      <c r="P42" s="75" t="n">
        <v>174.04</v>
      </c>
      <c r="Q42" s="79" t="n">
        <v>7.22</v>
      </c>
      <c r="R42" s="75" t="n">
        <v>26.04</v>
      </c>
      <c r="S42" s="75" t="n">
        <v>26.04</v>
      </c>
      <c r="T42" s="75" t="n">
        <v>203.15</v>
      </c>
      <c r="U42" s="79" t="n">
        <v>7.8</v>
      </c>
    </row>
    <row r="43" ht="15" customHeight="1" s="101">
      <c r="A43" s="86" t="inlineStr">
        <is>
          <t>Santiago</t>
        </is>
      </c>
      <c r="B43" s="88" t="n">
        <v>69.48</v>
      </c>
      <c r="C43" s="88" t="n">
        <v>69.48</v>
      </c>
      <c r="D43" s="88" t="n">
        <v>570.26</v>
      </c>
      <c r="E43" s="92" t="n">
        <v>8.210000000000001</v>
      </c>
      <c r="F43" s="88" t="n">
        <v>70.93000000000001</v>
      </c>
      <c r="G43" s="88" t="n">
        <v>70.93000000000001</v>
      </c>
      <c r="H43" s="88" t="n">
        <v>527.89</v>
      </c>
      <c r="I43" s="92" t="n">
        <v>7.44</v>
      </c>
      <c r="J43" s="88" t="n">
        <v>70.65000000000001</v>
      </c>
      <c r="K43" s="88" t="n">
        <v>70.65000000000001</v>
      </c>
      <c r="L43" s="88" t="n">
        <v>531.99</v>
      </c>
      <c r="M43" s="92" t="n">
        <v>7.53</v>
      </c>
      <c r="N43" s="88" t="n">
        <v>82.84</v>
      </c>
      <c r="O43" s="88" t="n">
        <v>79.98</v>
      </c>
      <c r="P43" s="88" t="n">
        <v>577.14</v>
      </c>
      <c r="Q43" s="92" t="n">
        <v>7.22</v>
      </c>
      <c r="R43" s="88" t="n">
        <v>86.38</v>
      </c>
      <c r="S43" s="88" t="n">
        <v>86.38</v>
      </c>
      <c r="T43" s="88" t="n">
        <v>673.66</v>
      </c>
      <c r="U43" s="92" t="n">
        <v>7.8</v>
      </c>
    </row>
    <row r="44" ht="15" customHeight="1" s="101">
      <c r="A44" s="93" t="inlineStr">
        <is>
          <t>TOTAL</t>
        </is>
      </c>
      <c r="B44" s="81">
        <f>SUM(B23:B43)</f>
        <v/>
      </c>
      <c r="C44" s="81">
        <f>SUM(C23:C43)</f>
        <v/>
      </c>
      <c r="D44" s="81">
        <f>SUM(D23:D43)</f>
        <v/>
      </c>
      <c r="E44" s="82">
        <f>IFERROR(D44/C44,"")</f>
        <v/>
      </c>
      <c r="F44" s="81">
        <f>SUM(F23:F43)</f>
        <v/>
      </c>
      <c r="G44" s="81">
        <f>SUM(G23:G43)</f>
        <v/>
      </c>
      <c r="H44" s="81">
        <f>SUM(H23:H43)</f>
        <v/>
      </c>
      <c r="I44" s="82">
        <f>IFERROR(H44/G44,"")</f>
        <v/>
      </c>
      <c r="J44" s="81">
        <f>SUM(J23:J43)</f>
        <v/>
      </c>
      <c r="K44" s="81">
        <f>SUM(K23:K43)</f>
        <v/>
      </c>
      <c r="L44" s="81">
        <f>SUM(L23:L43)</f>
        <v/>
      </c>
      <c r="M44" s="82">
        <f>IFERROR(L44/K44,"")</f>
        <v/>
      </c>
      <c r="N44" s="81">
        <f>SUM(N23:N43)</f>
        <v/>
      </c>
      <c r="O44" s="81">
        <f>SUM(O23:O43)</f>
        <v/>
      </c>
      <c r="P44" s="81">
        <f>SUM(P23:P43)</f>
        <v/>
      </c>
      <c r="Q44" s="82">
        <f>IFERROR(P44/O44,"")</f>
        <v/>
      </c>
      <c r="R44" s="81">
        <f>SUM(R23:R43)</f>
        <v/>
      </c>
      <c r="S44" s="81">
        <f>SUM(S23:S43)</f>
        <v/>
      </c>
      <c r="T44" s="81">
        <f>SUM(T23:T43)</f>
        <v/>
      </c>
      <c r="U44" s="82">
        <f>IFERROR(T44/S44,"")</f>
        <v/>
      </c>
    </row>
  </sheetData>
  <mergeCells count="15">
    <mergeCell ref="A7:A9"/>
    <mergeCell ref="A4:A6"/>
    <mergeCell ref="A16:A18"/>
    <mergeCell ref="A1:P1"/>
    <mergeCell ref="A10:A12"/>
    <mergeCell ref="A21:A22"/>
    <mergeCell ref="B21:E21"/>
    <mergeCell ref="R21:U21"/>
    <mergeCell ref="N21:Q21"/>
    <mergeCell ref="F21:I21"/>
    <mergeCell ref="J21:M21"/>
    <mergeCell ref="A20:P20"/>
    <mergeCell ref="P13:P15"/>
    <mergeCell ref="A13:A15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Normal="100" workbookViewId="0">
      <selection activeCell="A1" sqref="A1:F1"/>
    </sheetView>
  </sheetViews>
  <sheetFormatPr baseColWidth="8" defaultColWidth="8.6640625" defaultRowHeight="14.4"/>
  <cols>
    <col width="16" customWidth="1" style="101" min="1" max="1"/>
    <col width="20" customWidth="1" style="101" min="2" max="2"/>
    <col width="22" customWidth="1" style="101" min="3" max="3"/>
    <col width="18" customWidth="1" style="101" min="4" max="4"/>
    <col width="14" customWidth="1" style="101" min="5" max="5"/>
    <col width="16" customWidth="1" style="101" min="6" max="6"/>
  </cols>
  <sheetData>
    <row r="1" ht="25.5" customHeight="1" s="101">
      <c r="A1" s="127" t="inlineStr">
        <is>
          <t>Binalonan, Pangasinan – Corn Annual Totals</t>
        </is>
      </c>
    </row>
    <row r="2" ht="19.5" customHeight="1" s="101">
      <c r="A2" s="122" t="inlineStr">
        <is>
          <t>Season</t>
        </is>
      </c>
      <c r="B2" s="122" t="inlineStr">
        <is>
          <t>Area Planted (ha)</t>
        </is>
      </c>
      <c r="C2" s="122" t="inlineStr">
        <is>
          <t>Area Harvested (ha)</t>
        </is>
      </c>
      <c r="D2" s="122" t="inlineStr">
        <is>
          <t>Production (MT)</t>
        </is>
      </c>
      <c r="E2" s="122" t="inlineStr">
        <is>
          <t>Yield (MT/ha)</t>
        </is>
      </c>
      <c r="F2" s="122" t="inlineStr">
        <is>
          <t>Harvest Ratio (%)</t>
        </is>
      </c>
    </row>
    <row r="3" ht="15" customHeight="1" s="101">
      <c r="A3" s="94" t="inlineStr">
        <is>
          <t>DS 2020-2021</t>
        </is>
      </c>
      <c r="B3" s="88" t="n">
        <v>1189.89</v>
      </c>
      <c r="C3" s="88" t="n">
        <v>1189.89</v>
      </c>
      <c r="D3" s="88" t="n">
        <v>9767.106</v>
      </c>
      <c r="E3" s="92" t="n">
        <v>8.210000000000001</v>
      </c>
      <c r="F3" s="95" t="n">
        <v>100</v>
      </c>
    </row>
    <row r="4" ht="15" customHeight="1" s="101">
      <c r="A4" s="96" t="inlineStr">
        <is>
          <t>DS 2021-2022</t>
        </is>
      </c>
      <c r="B4" s="75" t="n">
        <v>1214.81</v>
      </c>
      <c r="C4" s="75" t="n">
        <v>1214.81</v>
      </c>
      <c r="D4" s="75" t="n">
        <v>9041.448</v>
      </c>
      <c r="E4" s="79" t="n">
        <v>7.44</v>
      </c>
      <c r="F4" s="97" t="n">
        <v>100</v>
      </c>
    </row>
    <row r="5" ht="15" customHeight="1" s="101">
      <c r="A5" s="94" t="inlineStr">
        <is>
          <t>DS 2022-2023</t>
        </is>
      </c>
      <c r="B5" s="88" t="n">
        <v>1209.76</v>
      </c>
      <c r="C5" s="88" t="n">
        <v>1209.79</v>
      </c>
      <c r="D5" s="88" t="n">
        <v>9111.623</v>
      </c>
      <c r="E5" s="92" t="n">
        <v>7.53</v>
      </c>
      <c r="F5" s="95" t="n">
        <v>100</v>
      </c>
    </row>
    <row r="6" ht="15" customHeight="1" s="101">
      <c r="A6" s="96" t="inlineStr">
        <is>
          <t>DS 2023-2024</t>
        </is>
      </c>
      <c r="B6" s="75" t="n">
        <v>1419</v>
      </c>
      <c r="C6" s="75" t="n">
        <v>1369.85</v>
      </c>
      <c r="D6" s="75" t="n">
        <v>9885.375</v>
      </c>
      <c r="E6" s="79" t="n">
        <v>7.22</v>
      </c>
      <c r="F6" s="97" t="n">
        <v>96.5</v>
      </c>
    </row>
    <row r="7" ht="15" customHeight="1" s="101">
      <c r="A7" s="94" t="inlineStr">
        <is>
          <t>DS 2024-2025</t>
        </is>
      </c>
      <c r="B7" s="88" t="n">
        <v>1479.3</v>
      </c>
      <c r="C7" s="88" t="n">
        <v>1479.3</v>
      </c>
      <c r="D7" s="88" t="n">
        <v>11538.54</v>
      </c>
      <c r="E7" s="92" t="n">
        <v>7.8</v>
      </c>
      <c r="F7" s="95" t="n">
        <v>100</v>
      </c>
    </row>
    <row r="8" ht="15" customHeight="1" s="101">
      <c r="A8" s="93" t="inlineStr">
        <is>
          <t>AVERAGE</t>
        </is>
      </c>
      <c r="B8" s="81">
        <f>AVERAGE(B3:B7)</f>
        <v/>
      </c>
      <c r="C8" s="81">
        <f>AVERAGE(C3:C7)</f>
        <v/>
      </c>
      <c r="D8" s="81">
        <f>AVERAGE(D3:D7)</f>
        <v/>
      </c>
      <c r="E8" s="82">
        <f>IFERROR(D8/C8,"")</f>
        <v/>
      </c>
      <c r="F8" s="98">
        <f>IFERROR(C8/B8*100,"")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459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Record_ID</t>
        </is>
      </c>
      <c r="B1" t="inlineStr">
        <is>
          <t>Crop Type</t>
        </is>
      </c>
      <c r="C1" t="inlineStr">
        <is>
          <t>Barangay</t>
        </is>
      </c>
      <c r="D1" t="inlineStr">
        <is>
          <t>Season / Period</t>
        </is>
      </c>
      <c r="E1" t="inlineStr">
        <is>
          <t>Land Size (ha)</t>
        </is>
      </c>
      <c r="F1" t="inlineStr">
        <is>
          <t>Total Area Planted (ha)</t>
        </is>
      </c>
      <c r="G1" t="inlineStr">
        <is>
          <t>Irrigated Area (ha)</t>
        </is>
      </c>
      <c r="H1" t="inlineStr">
        <is>
          <t>Rainfed Area (ha)</t>
        </is>
      </c>
      <c r="I1" t="inlineStr">
        <is>
          <t>Planting Rainfall (mm/day)</t>
        </is>
      </c>
      <c r="J1" t="inlineStr">
        <is>
          <t>Planting Avg Temp (°C)</t>
        </is>
      </c>
      <c r="K1" t="inlineStr">
        <is>
          <t>Planting Min Temp (°C)</t>
        </is>
      </c>
      <c r="L1" t="inlineStr">
        <is>
          <t>Planting Max Temp (°C)</t>
        </is>
      </c>
      <c r="M1" t="inlineStr">
        <is>
          <t>Planting Humidity (%)</t>
        </is>
      </c>
      <c r="N1" t="inlineStr">
        <is>
          <t>Planting Surface Pressure (kPa)</t>
        </is>
      </c>
      <c r="O1" t="inlineStr">
        <is>
          <t>Planting Solar Rad. (MJ/m²/day)</t>
        </is>
      </c>
      <c r="P1" t="inlineStr">
        <is>
          <t>Soil Type</t>
        </is>
      </c>
      <c r="Q1" t="inlineStr">
        <is>
          <t>Soil pH</t>
        </is>
      </c>
      <c r="R1" t="inlineStr">
        <is>
          <t>Organic Matter</t>
        </is>
      </c>
      <c r="S1" t="inlineStr">
        <is>
          <t>Soil Texture</t>
        </is>
      </c>
      <c r="T1" t="inlineStr">
        <is>
          <t>Soil Drainage</t>
        </is>
      </c>
      <c r="U1" t="inlineStr">
        <is>
          <t>Seedlings Planted</t>
        </is>
      </c>
      <c r="V1" t="inlineStr">
        <is>
          <t>Fertilizer Applied</t>
        </is>
      </c>
      <c r="W1" t="inlineStr">
        <is>
          <t>Pesticide Applied</t>
        </is>
      </c>
      <c r="X1" t="inlineStr">
        <is>
          <t>Herbicide Applied</t>
        </is>
      </c>
      <c r="Y1" t="inlineStr">
        <is>
          <t>Tillage Method</t>
        </is>
      </c>
      <c r="Z1" t="inlineStr">
        <is>
          <t>Water Management</t>
        </is>
      </c>
      <c r="AA1" t="inlineStr">
        <is>
          <t>Primary Planting Technique</t>
        </is>
      </c>
      <c r="AB1" t="inlineStr">
        <is>
          <t>Temperature_Range</t>
        </is>
      </c>
      <c r="AC1" t="inlineStr">
        <is>
          <t>Heat_Stress_Index</t>
        </is>
      </c>
      <c r="AD1" t="inlineStr">
        <is>
          <t>Humidity_Temp</t>
        </is>
      </c>
      <c r="AE1" t="inlineStr">
        <is>
          <t>Solar_Temp</t>
        </is>
      </c>
      <c r="AF1" t="inlineStr">
        <is>
          <t>Rain_Temp</t>
        </is>
      </c>
      <c r="AG1" t="inlineStr">
        <is>
          <t>Pressure_Temp</t>
        </is>
      </c>
      <c r="AH1" t="inlineStr">
        <is>
          <t>Irrigated_Ratio</t>
        </is>
      </c>
      <c r="AI1" t="inlineStr">
        <is>
          <t>Rainfed_Ratio</t>
        </is>
      </c>
      <c r="AJ1" t="inlineStr">
        <is>
          <t>Water_Availability</t>
        </is>
      </c>
      <c r="AK1" t="inlineStr">
        <is>
          <t>Water_Deficit</t>
        </is>
      </c>
      <c r="AL1" t="inlineStr">
        <is>
          <t>Planting Month Number</t>
        </is>
      </c>
      <c r="AM1" t="inlineStr">
        <is>
          <t>Planting Quarter</t>
        </is>
      </c>
      <c r="AN1" t="inlineStr">
        <is>
          <t>Planting Semester</t>
        </is>
      </c>
      <c r="AO1" t="inlineStr">
        <is>
          <t>Crop_Duration_Months</t>
        </is>
      </c>
      <c r="AP1" t="inlineStr">
        <is>
          <t>Yield (MT/ha)</t>
        </is>
      </c>
    </row>
    <row r="2">
      <c r="B2" t="inlineStr">
        <is>
          <t>Corn</t>
        </is>
      </c>
      <c r="C2" t="inlineStr">
        <is>
          <t>Balangobong</t>
        </is>
      </c>
      <c r="D2" t="inlineStr">
        <is>
          <t>DS 2020-2021</t>
        </is>
      </c>
      <c r="E2" t="n">
        <v>281.4</v>
      </c>
      <c r="F2" t="n">
        <v>52.38</v>
      </c>
      <c r="I2" t="n">
        <v>8.73</v>
      </c>
      <c r="J2" t="n">
        <v>25.81</v>
      </c>
      <c r="K2" t="n">
        <v>19.74</v>
      </c>
      <c r="L2" t="n">
        <v>31.57</v>
      </c>
      <c r="M2" t="n">
        <v>84.84</v>
      </c>
      <c r="N2" t="n">
        <v>98.31999999999999</v>
      </c>
      <c r="O2" t="n">
        <v>15.39</v>
      </c>
      <c r="P2" t="inlineStr">
        <is>
          <t>Silty Clay Loam</t>
        </is>
      </c>
      <c r="Y2" t="inlineStr">
        <is>
          <t>Deep Tillage (25 cm): 1–2 plowings; form raised beds 20–25 cm high to prevent waterlogging</t>
        </is>
      </c>
      <c r="Z2" t="inlineStr">
        <is>
          <t>Furrow irrigation only (not flood); ensure bed drainage; drain excess after rain</t>
        </is>
      </c>
      <c r="AA2" t="inlineStr">
        <is>
          <t>Direct Seeding (Furrow Method on Raised Beds)</t>
        </is>
      </c>
      <c r="AP2" t="n">
        <v>8.210000000000001</v>
      </c>
    </row>
    <row r="3">
      <c r="B3" t="inlineStr">
        <is>
          <t>Corn</t>
        </is>
      </c>
      <c r="C3" t="inlineStr">
        <is>
          <t>Bued</t>
        </is>
      </c>
      <c r="D3" t="inlineStr">
        <is>
          <t>DS 2020-2021</t>
        </is>
      </c>
      <c r="E3" t="n">
        <v>210.84</v>
      </c>
      <c r="F3" t="n">
        <v>41.88</v>
      </c>
      <c r="I3" t="n">
        <v>8.73</v>
      </c>
      <c r="J3" t="n">
        <v>25.81</v>
      </c>
      <c r="K3" t="n">
        <v>19.74</v>
      </c>
      <c r="L3" t="n">
        <v>31.57</v>
      </c>
      <c r="M3" t="n">
        <v>84.84</v>
      </c>
      <c r="N3" t="n">
        <v>98.31999999999999</v>
      </c>
      <c r="O3" t="n">
        <v>15.39</v>
      </c>
      <c r="P3" t="inlineStr">
        <is>
          <t>Silty Clay Loam</t>
        </is>
      </c>
      <c r="Y3" t="inlineStr">
        <is>
          <t>Deep Tillage (25 cm): 1–2 plowings; form raised beds 20–25 cm high to prevent waterlogging</t>
        </is>
      </c>
      <c r="Z3" t="inlineStr">
        <is>
          <t>Furrow irrigation only (not flood); ensure bed drainage; drain excess after rain</t>
        </is>
      </c>
      <c r="AA3" t="inlineStr">
        <is>
          <t>Direct Seeding (Furrow Method on Raised Beds)</t>
        </is>
      </c>
      <c r="AP3" t="n">
        <v>8.210000000000001</v>
      </c>
    </row>
    <row r="4">
      <c r="B4" t="inlineStr">
        <is>
          <t>Corn</t>
        </is>
      </c>
      <c r="C4" t="inlineStr">
        <is>
          <t>Bugayong</t>
        </is>
      </c>
      <c r="D4" t="inlineStr">
        <is>
          <t>DS 2020-2021</t>
        </is>
      </c>
      <c r="E4" t="n">
        <v>346.08</v>
      </c>
      <c r="F4" t="n">
        <v>20.95</v>
      </c>
      <c r="I4" t="n">
        <v>8.73</v>
      </c>
      <c r="J4" t="n">
        <v>25.81</v>
      </c>
      <c r="K4" t="n">
        <v>19.74</v>
      </c>
      <c r="L4" t="n">
        <v>31.57</v>
      </c>
      <c r="M4" t="n">
        <v>84.84</v>
      </c>
      <c r="N4" t="n">
        <v>98.31999999999999</v>
      </c>
      <c r="O4" t="n">
        <v>15.39</v>
      </c>
      <c r="P4" t="inlineStr">
        <is>
          <t>Sandy Loam / Silty Clay Loam</t>
        </is>
      </c>
      <c r="Y4" t="inlineStr">
        <is>
          <t>Conventional Tillage: 1 deep plow + harrowing; ensure good drainage channels</t>
        </is>
      </c>
      <c r="Z4" t="inlineStr">
        <is>
          <t>Furrow irrigation; avoid waterlogging — clay fraction retains excess moisture</t>
        </is>
      </c>
      <c r="AA4" t="inlineStr">
        <is>
          <t>Direct Seeding (Furrow or Hill Method)</t>
        </is>
      </c>
      <c r="AP4" t="n">
        <v>8.210000000000001</v>
      </c>
    </row>
    <row r="5">
      <c r="B5" t="inlineStr">
        <is>
          <t>Corn</t>
        </is>
      </c>
      <c r="C5" t="inlineStr">
        <is>
          <t>Camanggaan</t>
        </is>
      </c>
      <c r="D5" t="inlineStr">
        <is>
          <t>DS 2020-2021</t>
        </is>
      </c>
      <c r="E5" t="n">
        <v>244.44</v>
      </c>
      <c r="F5" t="n">
        <v>24.2</v>
      </c>
      <c r="I5" t="n">
        <v>8.73</v>
      </c>
      <c r="J5" t="n">
        <v>25.81</v>
      </c>
      <c r="K5" t="n">
        <v>19.74</v>
      </c>
      <c r="L5" t="n">
        <v>31.57</v>
      </c>
      <c r="M5" t="n">
        <v>84.84</v>
      </c>
      <c r="N5" t="n">
        <v>98.31999999999999</v>
      </c>
      <c r="O5" t="n">
        <v>15.39</v>
      </c>
      <c r="P5" t="inlineStr">
        <is>
          <t>Sandy Loam</t>
        </is>
      </c>
      <c r="Y5" t="inlineStr">
        <is>
          <t>Conventional Tillage: 1 deep plow (20–25 cm) + 1 harrowing; good tilth easily achieved</t>
        </is>
      </c>
      <c r="Z5" t="inlineStr">
        <is>
          <t>Furrow or sprinkler irrigation; AWD or weekly irrigation; good drainage natural</t>
        </is>
      </c>
      <c r="AA5" t="inlineStr">
        <is>
          <t>Direct Seeding (Hill Planting / Furrow Method)</t>
        </is>
      </c>
      <c r="AP5" t="n">
        <v>8.210000000000001</v>
      </c>
    </row>
    <row r="6">
      <c r="B6" t="inlineStr">
        <is>
          <t>Corn</t>
        </is>
      </c>
      <c r="C6" t="inlineStr">
        <is>
          <t>Capas</t>
        </is>
      </c>
      <c r="D6" t="inlineStr">
        <is>
          <t>DS 2020-2021</t>
        </is>
      </c>
      <c r="E6" t="n">
        <v>377.16</v>
      </c>
      <c r="F6" t="n">
        <v>101.05</v>
      </c>
      <c r="I6" t="n">
        <v>8.73</v>
      </c>
      <c r="J6" t="n">
        <v>25.81</v>
      </c>
      <c r="K6" t="n">
        <v>19.74</v>
      </c>
      <c r="L6" t="n">
        <v>31.57</v>
      </c>
      <c r="M6" t="n">
        <v>84.84</v>
      </c>
      <c r="N6" t="n">
        <v>98.31999999999999</v>
      </c>
      <c r="O6" t="n">
        <v>15.39</v>
      </c>
      <c r="P6" t="inlineStr">
        <is>
          <t>Sandy Loam</t>
        </is>
      </c>
      <c r="Y6" t="inlineStr">
        <is>
          <t>Conventional Tillage: 1 deep plow (20–25 cm) + 1 harrowing; good tilth easily achieved</t>
        </is>
      </c>
      <c r="Z6" t="inlineStr">
        <is>
          <t>Furrow or sprinkler irrigation; AWD or weekly irrigation; good drainage natural</t>
        </is>
      </c>
      <c r="AA6" t="inlineStr">
        <is>
          <t>Direct Seeding (Hill Planting / Furrow Method)</t>
        </is>
      </c>
      <c r="AP6" t="n">
        <v>8.210000000000001</v>
      </c>
    </row>
    <row r="7">
      <c r="B7" t="inlineStr">
        <is>
          <t>Corn</t>
        </is>
      </c>
      <c r="C7" t="inlineStr">
        <is>
          <t>Cili</t>
        </is>
      </c>
      <c r="D7" t="inlineStr">
        <is>
          <t>DS 2020-2021</t>
        </is>
      </c>
      <c r="E7" t="n">
        <v>264.6</v>
      </c>
      <c r="F7" t="n">
        <v>53.13</v>
      </c>
      <c r="I7" t="n">
        <v>8.73</v>
      </c>
      <c r="J7" t="n">
        <v>25.81</v>
      </c>
      <c r="K7" t="n">
        <v>19.74</v>
      </c>
      <c r="L7" t="n">
        <v>31.57</v>
      </c>
      <c r="M7" t="n">
        <v>84.84</v>
      </c>
      <c r="N7" t="n">
        <v>98.31999999999999</v>
      </c>
      <c r="O7" t="n">
        <v>15.39</v>
      </c>
      <c r="P7" t="inlineStr">
        <is>
          <t>Silty Clay Loam</t>
        </is>
      </c>
      <c r="Y7" t="inlineStr">
        <is>
          <t>Deep Tillage (25 cm): 1–2 plowings; form raised beds 20–25 cm high to prevent waterlogging</t>
        </is>
      </c>
      <c r="Z7" t="inlineStr">
        <is>
          <t>Furrow irrigation only (not flood); ensure bed drainage; drain excess after rain</t>
        </is>
      </c>
      <c r="AA7" t="inlineStr">
        <is>
          <t>Direct Seeding (Furrow Method on Raised Beds)</t>
        </is>
      </c>
      <c r="AP7" t="n">
        <v>8.210000000000001</v>
      </c>
    </row>
    <row r="8">
      <c r="B8" t="inlineStr">
        <is>
          <t>Corn</t>
        </is>
      </c>
      <c r="C8" t="inlineStr">
        <is>
          <t>Dumayat</t>
        </is>
      </c>
      <c r="D8" t="inlineStr">
        <is>
          <t>DS 2020-2021</t>
        </is>
      </c>
      <c r="E8" t="n">
        <v>266.28</v>
      </c>
      <c r="F8" t="n">
        <v>32.69</v>
      </c>
      <c r="I8" t="n">
        <v>8.73</v>
      </c>
      <c r="J8" t="n">
        <v>25.81</v>
      </c>
      <c r="K8" t="n">
        <v>19.74</v>
      </c>
      <c r="L8" t="n">
        <v>31.57</v>
      </c>
      <c r="M8" t="n">
        <v>84.84</v>
      </c>
      <c r="N8" t="n">
        <v>98.31999999999999</v>
      </c>
      <c r="O8" t="n">
        <v>15.39</v>
      </c>
      <c r="P8" t="inlineStr">
        <is>
          <t>Silty Clay Loam</t>
        </is>
      </c>
      <c r="Y8" t="inlineStr">
        <is>
          <t>Deep Tillage (25 cm): 1–2 plowings; form raised beds 20–25 cm high to prevent waterlogging</t>
        </is>
      </c>
      <c r="Z8" t="inlineStr">
        <is>
          <t>Furrow irrigation only (not flood); ensure bed drainage; drain excess after rain</t>
        </is>
      </c>
      <c r="AA8" t="inlineStr">
        <is>
          <t>Direct Seeding (Furrow Method on Raised Beds)</t>
        </is>
      </c>
      <c r="AP8" t="n">
        <v>8.210000000000001</v>
      </c>
    </row>
    <row r="9">
      <c r="B9" t="inlineStr">
        <is>
          <t>Corn</t>
        </is>
      </c>
      <c r="C9" t="inlineStr">
        <is>
          <t>Linmansangan</t>
        </is>
      </c>
      <c r="D9" t="inlineStr">
        <is>
          <t>DS 2020-2021</t>
        </is>
      </c>
      <c r="E9" t="n">
        <v>492.24</v>
      </c>
      <c r="F9" t="n">
        <v>79.8</v>
      </c>
      <c r="I9" t="n">
        <v>8.73</v>
      </c>
      <c r="J9" t="n">
        <v>25.81</v>
      </c>
      <c r="K9" t="n">
        <v>19.74</v>
      </c>
      <c r="L9" t="n">
        <v>31.57</v>
      </c>
      <c r="M9" t="n">
        <v>84.84</v>
      </c>
      <c r="N9" t="n">
        <v>98.31999999999999</v>
      </c>
      <c r="O9" t="n">
        <v>15.39</v>
      </c>
      <c r="P9" t="inlineStr">
        <is>
          <t>Silty Clay Loam</t>
        </is>
      </c>
      <c r="Y9" t="inlineStr">
        <is>
          <t>Deep Tillage (25 cm): 1–2 plowings; form raised beds 20–25 cm high to prevent waterlogging</t>
        </is>
      </c>
      <c r="Z9" t="inlineStr">
        <is>
          <t>Furrow irrigation only (not flood); ensure bed drainage; drain excess after rain</t>
        </is>
      </c>
      <c r="AA9" t="inlineStr">
        <is>
          <t>Direct Seeding (Furrow Method on Raised Beds)</t>
        </is>
      </c>
      <c r="AP9" t="n">
        <v>8.210000000000001</v>
      </c>
    </row>
    <row r="10">
      <c r="B10" t="inlineStr">
        <is>
          <t>Corn</t>
        </is>
      </c>
      <c r="C10" t="inlineStr">
        <is>
          <t>Mangkasuy</t>
        </is>
      </c>
      <c r="D10" t="inlineStr">
        <is>
          <t>DS 2020-2021</t>
        </is>
      </c>
      <c r="E10" t="n">
        <v>802.2</v>
      </c>
      <c r="F10" t="n">
        <v>90.86</v>
      </c>
      <c r="I10" t="n">
        <v>8.73</v>
      </c>
      <c r="J10" t="n">
        <v>25.81</v>
      </c>
      <c r="K10" t="n">
        <v>19.74</v>
      </c>
      <c r="L10" t="n">
        <v>31.57</v>
      </c>
      <c r="M10" t="n">
        <v>84.84</v>
      </c>
      <c r="N10" t="n">
        <v>98.31999999999999</v>
      </c>
      <c r="O10" t="n">
        <v>15.39</v>
      </c>
      <c r="P10" t="inlineStr">
        <is>
          <t>Sandy Loam</t>
        </is>
      </c>
      <c r="Y10" t="inlineStr">
        <is>
          <t>Conventional Tillage: 1 deep plow (20–25 cm) + 1 harrowing; good tilth easily achieved</t>
        </is>
      </c>
      <c r="Z10" t="inlineStr">
        <is>
          <t>Furrow or sprinkler irrigation; AWD or weekly irrigation; good drainage natural</t>
        </is>
      </c>
      <c r="AA10" t="inlineStr">
        <is>
          <t>Direct Seeding (Hill Planting / Furrow Method)</t>
        </is>
      </c>
      <c r="AP10" t="n">
        <v>8.210000000000001</v>
      </c>
    </row>
    <row r="11">
      <c r="B11" t="inlineStr">
        <is>
          <t>Corn</t>
        </is>
      </c>
      <c r="C11" t="inlineStr">
        <is>
          <t>Moreno</t>
        </is>
      </c>
      <c r="D11" t="inlineStr">
        <is>
          <t>DS 2020-2021</t>
        </is>
      </c>
      <c r="E11" t="n">
        <v>641.76</v>
      </c>
      <c r="F11" t="n">
        <v>56.91</v>
      </c>
      <c r="I11" t="n">
        <v>8.73</v>
      </c>
      <c r="J11" t="n">
        <v>25.81</v>
      </c>
      <c r="K11" t="n">
        <v>19.74</v>
      </c>
      <c r="L11" t="n">
        <v>31.57</v>
      </c>
      <c r="M11" t="n">
        <v>84.84</v>
      </c>
      <c r="N11" t="n">
        <v>98.31999999999999</v>
      </c>
      <c r="O11" t="n">
        <v>15.39</v>
      </c>
      <c r="P11" t="inlineStr">
        <is>
          <t>Sandy Loam</t>
        </is>
      </c>
      <c r="Y11" t="inlineStr">
        <is>
          <t>Conventional Tillage: 1 deep plow (20–25 cm) + 1 harrowing; good tilth easily achieved</t>
        </is>
      </c>
      <c r="Z11" t="inlineStr">
        <is>
          <t>Furrow or sprinkler irrigation; AWD or weekly irrigation; good drainage natural</t>
        </is>
      </c>
      <c r="AA11" t="inlineStr">
        <is>
          <t>Direct Seeding (Hill Planting / Furrow Method)</t>
        </is>
      </c>
      <c r="AP11" t="n">
        <v>8.210000000000001</v>
      </c>
    </row>
    <row r="12">
      <c r="B12" t="inlineStr">
        <is>
          <t>Corn</t>
        </is>
      </c>
      <c r="C12" t="inlineStr">
        <is>
          <t>Pasileng Norte</t>
        </is>
      </c>
      <c r="D12" t="inlineStr">
        <is>
          <t>DS 2020-2021</t>
        </is>
      </c>
      <c r="E12" t="n">
        <v>140.28</v>
      </c>
      <c r="F12" t="n">
        <v>35.8</v>
      </c>
      <c r="I12" t="n">
        <v>8.73</v>
      </c>
      <c r="J12" t="n">
        <v>25.81</v>
      </c>
      <c r="K12" t="n">
        <v>19.74</v>
      </c>
      <c r="L12" t="n">
        <v>31.57</v>
      </c>
      <c r="M12" t="n">
        <v>84.84</v>
      </c>
      <c r="N12" t="n">
        <v>98.31999999999999</v>
      </c>
      <c r="O12" t="n">
        <v>15.39</v>
      </c>
      <c r="P12" t="inlineStr">
        <is>
          <t>Sandy Loam</t>
        </is>
      </c>
      <c r="Y12" t="inlineStr">
        <is>
          <t>Conventional Tillage: 1 deep plow (20–25 cm) + 1 harrowing; good tilth easily achieved</t>
        </is>
      </c>
      <c r="Z12" t="inlineStr">
        <is>
          <t>Furrow or sprinkler irrigation; AWD or weekly irrigation; good drainage natural</t>
        </is>
      </c>
      <c r="AA12" t="inlineStr">
        <is>
          <t>Direct Seeding (Hill Planting / Furrow Method)</t>
        </is>
      </c>
      <c r="AP12" t="n">
        <v>8.210000000000001</v>
      </c>
    </row>
    <row r="13">
      <c r="B13" t="inlineStr">
        <is>
          <t>Corn</t>
        </is>
      </c>
      <c r="C13" t="inlineStr">
        <is>
          <t>Pasileng Sur</t>
        </is>
      </c>
      <c r="D13" t="inlineStr">
        <is>
          <t>DS 2020-2021</t>
        </is>
      </c>
      <c r="E13" t="n">
        <v>414.96</v>
      </c>
      <c r="F13" t="n">
        <v>68.68000000000001</v>
      </c>
      <c r="I13" t="n">
        <v>8.73</v>
      </c>
      <c r="J13" t="n">
        <v>25.81</v>
      </c>
      <c r="K13" t="n">
        <v>19.74</v>
      </c>
      <c r="L13" t="n">
        <v>31.57</v>
      </c>
      <c r="M13" t="n">
        <v>84.84</v>
      </c>
      <c r="N13" t="n">
        <v>98.31999999999999</v>
      </c>
      <c r="O13" t="n">
        <v>15.39</v>
      </c>
      <c r="P13" t="inlineStr">
        <is>
          <t>Sandy Loam</t>
        </is>
      </c>
      <c r="Y13" t="inlineStr">
        <is>
          <t>Conventional Tillage: 1 deep plow (20–25 cm) + 1 harrowing; good tilth easily achieved</t>
        </is>
      </c>
      <c r="Z13" t="inlineStr">
        <is>
          <t>Furrow or sprinkler irrigation; AWD or weekly irrigation; good drainage natural</t>
        </is>
      </c>
      <c r="AA13" t="inlineStr">
        <is>
          <t>Direct Seeding (Hill Planting / Furrow Method)</t>
        </is>
      </c>
      <c r="AP13" t="n">
        <v>8.210000000000001</v>
      </c>
    </row>
    <row r="14">
      <c r="B14" t="inlineStr">
        <is>
          <t>Corn</t>
        </is>
      </c>
      <c r="C14" t="inlineStr">
        <is>
          <t>San Felipe Central</t>
        </is>
      </c>
      <c r="D14" t="inlineStr">
        <is>
          <t>DS 2020-2021</t>
        </is>
      </c>
      <c r="E14" t="n">
        <v>452.76</v>
      </c>
      <c r="F14" t="n">
        <v>65.3</v>
      </c>
      <c r="I14" t="n">
        <v>8.73</v>
      </c>
      <c r="J14" t="n">
        <v>25.81</v>
      </c>
      <c r="K14" t="n">
        <v>19.74</v>
      </c>
      <c r="L14" t="n">
        <v>31.57</v>
      </c>
      <c r="M14" t="n">
        <v>84.84</v>
      </c>
      <c r="N14" t="n">
        <v>98.31999999999999</v>
      </c>
      <c r="O14" t="n">
        <v>15.39</v>
      </c>
      <c r="P14" t="inlineStr">
        <is>
          <t>Sandy Loam</t>
        </is>
      </c>
      <c r="Y14" t="inlineStr">
        <is>
          <t>Conventional Tillage: 1 deep plow (20–25 cm) + 1 harrowing; good tilth easily achieved</t>
        </is>
      </c>
      <c r="Z14" t="inlineStr">
        <is>
          <t>Furrow or sprinkler irrigation; AWD or weekly irrigation; good drainage natural</t>
        </is>
      </c>
      <c r="AA14" t="inlineStr">
        <is>
          <t>Direct Seeding (Hill Planting / Furrow Method)</t>
        </is>
      </c>
      <c r="AP14" t="n">
        <v>8.210000000000001</v>
      </c>
    </row>
    <row r="15">
      <c r="B15" t="inlineStr">
        <is>
          <t>Corn</t>
        </is>
      </c>
      <c r="C15" t="inlineStr">
        <is>
          <t>San Felipe Sur</t>
        </is>
      </c>
      <c r="D15" t="inlineStr">
        <is>
          <t>DS 2020-2021</t>
        </is>
      </c>
      <c r="E15" t="n">
        <v>504</v>
      </c>
      <c r="F15" t="n">
        <v>67.7</v>
      </c>
      <c r="I15" t="n">
        <v>8.73</v>
      </c>
      <c r="J15" t="n">
        <v>25.81</v>
      </c>
      <c r="K15" t="n">
        <v>19.74</v>
      </c>
      <c r="L15" t="n">
        <v>31.57</v>
      </c>
      <c r="M15" t="n">
        <v>84.84</v>
      </c>
      <c r="N15" t="n">
        <v>98.31999999999999</v>
      </c>
      <c r="O15" t="n">
        <v>15.39</v>
      </c>
      <c r="P15" t="inlineStr">
        <is>
          <t>Sandy Loam</t>
        </is>
      </c>
      <c r="Y15" t="inlineStr">
        <is>
          <t>Conventional Tillage: 1 deep plow (20–25 cm) + 1 harrowing; good tilth easily achieved</t>
        </is>
      </c>
      <c r="Z15" t="inlineStr">
        <is>
          <t>Furrow or sprinkler irrigation; AWD or weekly irrigation; good drainage natural</t>
        </is>
      </c>
      <c r="AA15" t="inlineStr">
        <is>
          <t>Direct Seeding (Hill Planting / Furrow Method)</t>
        </is>
      </c>
      <c r="AP15" t="n">
        <v>8.210000000000001</v>
      </c>
    </row>
    <row r="16">
      <c r="B16" t="inlineStr">
        <is>
          <t>Corn</t>
        </is>
      </c>
      <c r="C16" t="inlineStr">
        <is>
          <t>San Pablo</t>
        </is>
      </c>
      <c r="D16" t="inlineStr">
        <is>
          <t>DS 2020-2021</t>
        </is>
      </c>
      <c r="E16" t="n">
        <v>215.04</v>
      </c>
      <c r="F16" t="n">
        <v>52.35</v>
      </c>
      <c r="I16" t="n">
        <v>8.73</v>
      </c>
      <c r="J16" t="n">
        <v>25.81</v>
      </c>
      <c r="K16" t="n">
        <v>19.74</v>
      </c>
      <c r="L16" t="n">
        <v>31.57</v>
      </c>
      <c r="M16" t="n">
        <v>84.84</v>
      </c>
      <c r="N16" t="n">
        <v>98.31999999999999</v>
      </c>
      <c r="O16" t="n">
        <v>15.39</v>
      </c>
      <c r="P16" t="inlineStr">
        <is>
          <t>Sandy Loam</t>
        </is>
      </c>
      <c r="Y16" t="inlineStr">
        <is>
          <t>Conventional Tillage: 1 deep plow (20–25 cm) + 1 harrowing; good tilth easily achieved</t>
        </is>
      </c>
      <c r="Z16" t="inlineStr">
        <is>
          <t>Furrow or sprinkler irrigation; AWD or weekly irrigation; good drainage natural</t>
        </is>
      </c>
      <c r="AA16" t="inlineStr">
        <is>
          <t>Direct Seeding (Hill Planting / Furrow Method)</t>
        </is>
      </c>
      <c r="AP16" t="n">
        <v>8.210000000000001</v>
      </c>
    </row>
    <row r="17">
      <c r="B17" t="inlineStr">
        <is>
          <t>Corn</t>
        </is>
      </c>
      <c r="C17" t="inlineStr">
        <is>
          <t>Santiago</t>
        </is>
      </c>
      <c r="D17" t="inlineStr">
        <is>
          <t>DS 2020-2021</t>
        </is>
      </c>
      <c r="E17" t="n">
        <v>283.08</v>
      </c>
      <c r="F17" t="n">
        <v>69.48</v>
      </c>
      <c r="I17" t="n">
        <v>8.73</v>
      </c>
      <c r="J17" t="n">
        <v>25.81</v>
      </c>
      <c r="K17" t="n">
        <v>19.74</v>
      </c>
      <c r="L17" t="n">
        <v>31.57</v>
      </c>
      <c r="M17" t="n">
        <v>84.84</v>
      </c>
      <c r="N17" t="n">
        <v>98.31999999999999</v>
      </c>
      <c r="O17" t="n">
        <v>15.39</v>
      </c>
      <c r="P17" t="inlineStr">
        <is>
          <t>Silty Clay Loam</t>
        </is>
      </c>
      <c r="Y17" t="inlineStr">
        <is>
          <t>Deep Tillage (25 cm): 1–2 plowings; form raised beds 20–25 cm high to prevent waterlogging</t>
        </is>
      </c>
      <c r="Z17" t="inlineStr">
        <is>
          <t>Furrow irrigation only (not flood); ensure bed drainage; drain excess after rain</t>
        </is>
      </c>
      <c r="AA17" t="inlineStr">
        <is>
          <t>Direct Seeding (Furrow Method on Raised Beds)</t>
        </is>
      </c>
      <c r="AP17" t="n">
        <v>8.210000000000001</v>
      </c>
    </row>
    <row r="18">
      <c r="B18" t="inlineStr">
        <is>
          <t>Corn</t>
        </is>
      </c>
      <c r="C18" t="inlineStr">
        <is>
          <t>Sta. Catalina</t>
        </is>
      </c>
      <c r="D18" t="inlineStr">
        <is>
          <t>DS 2020-2021</t>
        </is>
      </c>
      <c r="E18" t="n">
        <v>709.8</v>
      </c>
      <c r="F18" t="n">
        <v>79.44</v>
      </c>
      <c r="I18" t="n">
        <v>8.73</v>
      </c>
      <c r="J18" t="n">
        <v>25.81</v>
      </c>
      <c r="K18" t="n">
        <v>19.74</v>
      </c>
      <c r="L18" t="n">
        <v>31.57</v>
      </c>
      <c r="M18" t="n">
        <v>84.84</v>
      </c>
      <c r="N18" t="n">
        <v>98.31999999999999</v>
      </c>
      <c r="O18" t="n">
        <v>15.39</v>
      </c>
      <c r="P18" t="inlineStr">
        <is>
          <t>Fine Sand / Sandy Loam</t>
        </is>
      </c>
      <c r="Y18" t="inlineStr">
        <is>
          <t>Minimum Tillage; deep ripping to break hardpan; avoid over-disturbance</t>
        </is>
      </c>
      <c r="Z18" t="inlineStr">
        <is>
          <t>Furrow irrigation; frequent light watering; mulch to retain soil moisture</t>
        </is>
      </c>
      <c r="AA18" t="inlineStr">
        <is>
          <t>Direct Seeding (Hills or Furrow Method)</t>
        </is>
      </c>
      <c r="AP18" t="n">
        <v>8.210000000000001</v>
      </c>
    </row>
    <row r="19">
      <c r="B19" t="inlineStr">
        <is>
          <t>Corn</t>
        </is>
      </c>
      <c r="C19" t="inlineStr">
        <is>
          <t>Sta. Maria Norte</t>
        </is>
      </c>
      <c r="D19" t="inlineStr">
        <is>
          <t>DS 2020-2021</t>
        </is>
      </c>
      <c r="E19" t="n">
        <v>157.08</v>
      </c>
      <c r="F19" t="n">
        <v>23.3</v>
      </c>
      <c r="I19" t="n">
        <v>8.73</v>
      </c>
      <c r="J19" t="n">
        <v>25.81</v>
      </c>
      <c r="K19" t="n">
        <v>19.74</v>
      </c>
      <c r="L19" t="n">
        <v>31.57</v>
      </c>
      <c r="M19" t="n">
        <v>84.84</v>
      </c>
      <c r="N19" t="n">
        <v>98.31999999999999</v>
      </c>
      <c r="O19" t="n">
        <v>15.39</v>
      </c>
      <c r="P19" t="inlineStr">
        <is>
          <t>Sandy Loam</t>
        </is>
      </c>
      <c r="Y19" t="inlineStr">
        <is>
          <t>Conventional Tillage: 1 deep plow (20–25 cm) + 1 harrowing; good tilth easily achieved</t>
        </is>
      </c>
      <c r="Z19" t="inlineStr">
        <is>
          <t>Furrow or sprinkler irrigation; AWD or weekly irrigation; good drainage natural</t>
        </is>
      </c>
      <c r="AA19" t="inlineStr">
        <is>
          <t>Direct Seeding (Hill Planting / Furrow Method)</t>
        </is>
      </c>
      <c r="AP19" t="n">
        <v>8.210000000000001</v>
      </c>
    </row>
    <row r="20">
      <c r="B20" t="inlineStr">
        <is>
          <t>Corn</t>
        </is>
      </c>
      <c r="C20" t="inlineStr">
        <is>
          <t>Sumabnit</t>
        </is>
      </c>
      <c r="D20" t="inlineStr">
        <is>
          <t>DS 2020-2021</t>
        </is>
      </c>
      <c r="E20" t="n">
        <v>406.56</v>
      </c>
      <c r="F20" t="n">
        <v>71.84999999999999</v>
      </c>
      <c r="I20" t="n">
        <v>8.73</v>
      </c>
      <c r="J20" t="n">
        <v>25.81</v>
      </c>
      <c r="K20" t="n">
        <v>19.74</v>
      </c>
      <c r="L20" t="n">
        <v>31.57</v>
      </c>
      <c r="M20" t="n">
        <v>84.84</v>
      </c>
      <c r="N20" t="n">
        <v>98.31999999999999</v>
      </c>
      <c r="O20" t="n">
        <v>15.39</v>
      </c>
      <c r="P20" t="inlineStr">
        <is>
          <t>Silty Clay Loam / Fine Sandy Loam</t>
        </is>
      </c>
      <c r="Y20" t="inlineStr">
        <is>
          <t>Minimum Tillage; deep ripping to break hardpan; avoid over-disturbance</t>
        </is>
      </c>
      <c r="Z20" t="inlineStr">
        <is>
          <t>Furrow irrigation; frequent light watering; mulch to retain soil moisture</t>
        </is>
      </c>
      <c r="AA20" t="inlineStr">
        <is>
          <t>Direct Seeding (Hills or Furrow Method)</t>
        </is>
      </c>
      <c r="AP20" t="n">
        <v>8.210000000000001</v>
      </c>
    </row>
    <row r="21">
      <c r="B21" t="inlineStr">
        <is>
          <t>Corn</t>
        </is>
      </c>
      <c r="C21" t="inlineStr">
        <is>
          <t>Tabuyoc</t>
        </is>
      </c>
      <c r="D21" t="inlineStr">
        <is>
          <t>DS 2020-2021</t>
        </is>
      </c>
      <c r="E21" t="n">
        <v>277.2</v>
      </c>
      <c r="F21" t="n">
        <v>55.45</v>
      </c>
      <c r="I21" t="n">
        <v>8.73</v>
      </c>
      <c r="J21" t="n">
        <v>25.81</v>
      </c>
      <c r="K21" t="n">
        <v>19.74</v>
      </c>
      <c r="L21" t="n">
        <v>31.57</v>
      </c>
      <c r="M21" t="n">
        <v>84.84</v>
      </c>
      <c r="N21" t="n">
        <v>98.31999999999999</v>
      </c>
      <c r="O21" t="n">
        <v>15.39</v>
      </c>
      <c r="P21" t="inlineStr">
        <is>
          <t>Silty Clay Loam</t>
        </is>
      </c>
      <c r="Y21" t="inlineStr">
        <is>
          <t>Deep Tillage (25 cm): 1–2 plowings; form raised beds 20–25 cm high to prevent waterlogging</t>
        </is>
      </c>
      <c r="Z21" t="inlineStr">
        <is>
          <t>Furrow irrigation only (not flood); ensure bed drainage; drain excess after rain</t>
        </is>
      </c>
      <c r="AA21" t="inlineStr">
        <is>
          <t>Direct Seeding (Furrow Method on Raised Beds)</t>
        </is>
      </c>
      <c r="AP21" t="n">
        <v>8.210000000000001</v>
      </c>
    </row>
    <row r="22">
      <c r="B22" t="inlineStr">
        <is>
          <t>Corn</t>
        </is>
      </c>
      <c r="C22" t="inlineStr">
        <is>
          <t>Vacante</t>
        </is>
      </c>
      <c r="D22" t="inlineStr">
        <is>
          <t>DS 2020-2021</t>
        </is>
      </c>
      <c r="E22" t="n">
        <v>484.68</v>
      </c>
      <c r="F22" t="n">
        <v>46.69</v>
      </c>
      <c r="I22" t="n">
        <v>8.73</v>
      </c>
      <c r="J22" t="n">
        <v>25.81</v>
      </c>
      <c r="K22" t="n">
        <v>19.74</v>
      </c>
      <c r="L22" t="n">
        <v>31.57</v>
      </c>
      <c r="M22" t="n">
        <v>84.84</v>
      </c>
      <c r="N22" t="n">
        <v>98.31999999999999</v>
      </c>
      <c r="O22" t="n">
        <v>15.39</v>
      </c>
      <c r="P22" t="inlineStr">
        <is>
          <t>Silty Clay Loam</t>
        </is>
      </c>
      <c r="Y22" t="inlineStr">
        <is>
          <t>Deep Tillage (25 cm): 1–2 plowings; form raised beds 20–25 cm high to prevent waterlogging</t>
        </is>
      </c>
      <c r="Z22" t="inlineStr">
        <is>
          <t>Furrow irrigation only (not flood); ensure bed drainage; drain excess after rain</t>
        </is>
      </c>
      <c r="AA22" t="inlineStr">
        <is>
          <t>Direct Seeding (Furrow Method on Raised Beds)</t>
        </is>
      </c>
      <c r="AP22" t="n">
        <v>8.210000000000001</v>
      </c>
    </row>
    <row r="23">
      <c r="B23" t="inlineStr">
        <is>
          <t>Corn</t>
        </is>
      </c>
      <c r="C23" t="inlineStr">
        <is>
          <t>Balangobong</t>
        </is>
      </c>
      <c r="D23" t="inlineStr">
        <is>
          <t>DS 2021-2022</t>
        </is>
      </c>
      <c r="E23" t="n">
        <v>281.4</v>
      </c>
      <c r="F23" t="n">
        <v>53.48</v>
      </c>
      <c r="I23" t="n">
        <v>3.47</v>
      </c>
      <c r="J23" t="n">
        <v>26.41</v>
      </c>
      <c r="K23" t="n">
        <v>19.95</v>
      </c>
      <c r="L23" t="n">
        <v>31.91</v>
      </c>
      <c r="M23" t="n">
        <v>82.55</v>
      </c>
      <c r="N23" t="n">
        <v>98.34</v>
      </c>
      <c r="O23" t="n">
        <v>17.76</v>
      </c>
      <c r="P23" t="inlineStr">
        <is>
          <t>Silty Clay Loam</t>
        </is>
      </c>
      <c r="Y23" t="inlineStr">
        <is>
          <t>Deep Tillage (25 cm): 1–2 plowings; form raised beds 20–25 cm high to prevent waterlogging</t>
        </is>
      </c>
      <c r="Z23" t="inlineStr">
        <is>
          <t>Furrow irrigation only (not flood); ensure bed drainage; drain excess after rain</t>
        </is>
      </c>
      <c r="AA23" t="inlineStr">
        <is>
          <t>Direct Seeding (Furrow Method on Raised Beds)</t>
        </is>
      </c>
      <c r="AP23" t="n">
        <v>7.44</v>
      </c>
    </row>
    <row r="24">
      <c r="B24" t="inlineStr">
        <is>
          <t>Corn</t>
        </is>
      </c>
      <c r="C24" t="inlineStr">
        <is>
          <t>Bued</t>
        </is>
      </c>
      <c r="D24" t="inlineStr">
        <is>
          <t>DS 2021-2022</t>
        </is>
      </c>
      <c r="E24" t="n">
        <v>210.84</v>
      </c>
      <c r="F24" t="n">
        <v>42.76</v>
      </c>
      <c r="I24" t="n">
        <v>3.47</v>
      </c>
      <c r="J24" t="n">
        <v>26.41</v>
      </c>
      <c r="K24" t="n">
        <v>19.95</v>
      </c>
      <c r="L24" t="n">
        <v>31.91</v>
      </c>
      <c r="M24" t="n">
        <v>82.55</v>
      </c>
      <c r="N24" t="n">
        <v>98.34</v>
      </c>
      <c r="O24" t="n">
        <v>17.76</v>
      </c>
      <c r="P24" t="inlineStr">
        <is>
          <t>Silty Clay Loam</t>
        </is>
      </c>
      <c r="Y24" t="inlineStr">
        <is>
          <t>Deep Tillage (25 cm): 1–2 plowings; form raised beds 20–25 cm high to prevent waterlogging</t>
        </is>
      </c>
      <c r="Z24" t="inlineStr">
        <is>
          <t>Furrow irrigation only (not flood); ensure bed drainage; drain excess after rain</t>
        </is>
      </c>
      <c r="AA24" t="inlineStr">
        <is>
          <t>Direct Seeding (Furrow Method on Raised Beds)</t>
        </is>
      </c>
      <c r="AP24" t="n">
        <v>7.44</v>
      </c>
    </row>
    <row r="25">
      <c r="B25" t="inlineStr">
        <is>
          <t>Corn</t>
        </is>
      </c>
      <c r="C25" t="inlineStr">
        <is>
          <t>Bugayong</t>
        </is>
      </c>
      <c r="D25" t="inlineStr">
        <is>
          <t>DS 2021-2022</t>
        </is>
      </c>
      <c r="E25" t="n">
        <v>346.08</v>
      </c>
      <c r="F25" t="n">
        <v>21.39</v>
      </c>
      <c r="I25" t="n">
        <v>3.47</v>
      </c>
      <c r="J25" t="n">
        <v>26.41</v>
      </c>
      <c r="K25" t="n">
        <v>19.95</v>
      </c>
      <c r="L25" t="n">
        <v>31.91</v>
      </c>
      <c r="M25" t="n">
        <v>82.55</v>
      </c>
      <c r="N25" t="n">
        <v>98.34</v>
      </c>
      <c r="O25" t="n">
        <v>17.76</v>
      </c>
      <c r="P25" t="inlineStr">
        <is>
          <t>Sandy Loam / Silty Clay Loam</t>
        </is>
      </c>
      <c r="Y25" t="inlineStr">
        <is>
          <t>Conventional Tillage: 1 deep plow + harrowing; ensure good drainage channels</t>
        </is>
      </c>
      <c r="Z25" t="inlineStr">
        <is>
          <t>Furrow irrigation; avoid waterlogging — clay fraction retains excess moisture</t>
        </is>
      </c>
      <c r="AA25" t="inlineStr">
        <is>
          <t>Direct Seeding (Furrow or Hill Method)</t>
        </is>
      </c>
      <c r="AP25" t="n">
        <v>7.44</v>
      </c>
    </row>
    <row r="26">
      <c r="B26" t="inlineStr">
        <is>
          <t>Corn</t>
        </is>
      </c>
      <c r="C26" t="inlineStr">
        <is>
          <t>Camanggaan</t>
        </is>
      </c>
      <c r="D26" t="inlineStr">
        <is>
          <t>DS 2021-2022</t>
        </is>
      </c>
      <c r="E26" t="n">
        <v>244.44</v>
      </c>
      <c r="F26" t="n">
        <v>24.71</v>
      </c>
      <c r="I26" t="n">
        <v>3.47</v>
      </c>
      <c r="J26" t="n">
        <v>26.41</v>
      </c>
      <c r="K26" t="n">
        <v>19.95</v>
      </c>
      <c r="L26" t="n">
        <v>31.91</v>
      </c>
      <c r="M26" t="n">
        <v>82.55</v>
      </c>
      <c r="N26" t="n">
        <v>98.34</v>
      </c>
      <c r="O26" t="n">
        <v>17.76</v>
      </c>
      <c r="P26" t="inlineStr">
        <is>
          <t>Sandy Loam</t>
        </is>
      </c>
      <c r="Y26" t="inlineStr">
        <is>
          <t>Conventional Tillage: 1 deep plow (20–25 cm) + 1 harrowing; good tilth easily achieved</t>
        </is>
      </c>
      <c r="Z26" t="inlineStr">
        <is>
          <t>Furrow or sprinkler irrigation; AWD or weekly irrigation; good drainage natural</t>
        </is>
      </c>
      <c r="AA26" t="inlineStr">
        <is>
          <t>Direct Seeding (Hill Planting / Furrow Method)</t>
        </is>
      </c>
      <c r="AP26" t="n">
        <v>7.44</v>
      </c>
    </row>
    <row r="27">
      <c r="B27" t="inlineStr">
        <is>
          <t>Corn</t>
        </is>
      </c>
      <c r="C27" t="inlineStr">
        <is>
          <t>Capas</t>
        </is>
      </c>
      <c r="D27" t="inlineStr">
        <is>
          <t>DS 2021-2022</t>
        </is>
      </c>
      <c r="E27" t="n">
        <v>377.16</v>
      </c>
      <c r="F27" t="n">
        <v>103.17</v>
      </c>
      <c r="I27" t="n">
        <v>3.47</v>
      </c>
      <c r="J27" t="n">
        <v>26.41</v>
      </c>
      <c r="K27" t="n">
        <v>19.95</v>
      </c>
      <c r="L27" t="n">
        <v>31.91</v>
      </c>
      <c r="M27" t="n">
        <v>82.55</v>
      </c>
      <c r="N27" t="n">
        <v>98.34</v>
      </c>
      <c r="O27" t="n">
        <v>17.76</v>
      </c>
      <c r="P27" t="inlineStr">
        <is>
          <t>Sandy Loam</t>
        </is>
      </c>
      <c r="Y27" t="inlineStr">
        <is>
          <t>Conventional Tillage: 1 deep plow (20–25 cm) + 1 harrowing; good tilth easily achieved</t>
        </is>
      </c>
      <c r="Z27" t="inlineStr">
        <is>
          <t>Furrow or sprinkler irrigation; AWD or weekly irrigation; good drainage natural</t>
        </is>
      </c>
      <c r="AA27" t="inlineStr">
        <is>
          <t>Direct Seeding (Hill Planting / Furrow Method)</t>
        </is>
      </c>
      <c r="AP27" t="n">
        <v>7.44</v>
      </c>
    </row>
    <row r="28">
      <c r="B28" t="inlineStr">
        <is>
          <t>Corn</t>
        </is>
      </c>
      <c r="C28" t="inlineStr">
        <is>
          <t>Cili</t>
        </is>
      </c>
      <c r="D28" t="inlineStr">
        <is>
          <t>DS 2021-2022</t>
        </is>
      </c>
      <c r="E28" t="n">
        <v>264.6</v>
      </c>
      <c r="F28" t="n">
        <v>54.24</v>
      </c>
      <c r="I28" t="n">
        <v>3.47</v>
      </c>
      <c r="J28" t="n">
        <v>26.41</v>
      </c>
      <c r="K28" t="n">
        <v>19.95</v>
      </c>
      <c r="L28" t="n">
        <v>31.91</v>
      </c>
      <c r="M28" t="n">
        <v>82.55</v>
      </c>
      <c r="N28" t="n">
        <v>98.34</v>
      </c>
      <c r="O28" t="n">
        <v>17.76</v>
      </c>
      <c r="P28" t="inlineStr">
        <is>
          <t>Silty Clay Loam</t>
        </is>
      </c>
      <c r="Y28" t="inlineStr">
        <is>
          <t>Deep Tillage (25 cm): 1–2 plowings; form raised beds 20–25 cm high to prevent waterlogging</t>
        </is>
      </c>
      <c r="Z28" t="inlineStr">
        <is>
          <t>Furrow irrigation only (not flood); ensure bed drainage; drain excess after rain</t>
        </is>
      </c>
      <c r="AA28" t="inlineStr">
        <is>
          <t>Direct Seeding (Furrow Method on Raised Beds)</t>
        </is>
      </c>
      <c r="AP28" t="n">
        <v>7.44</v>
      </c>
    </row>
    <row r="29">
      <c r="B29" t="inlineStr">
        <is>
          <t>Corn</t>
        </is>
      </c>
      <c r="C29" t="inlineStr">
        <is>
          <t>Dumayat</t>
        </is>
      </c>
      <c r="D29" t="inlineStr">
        <is>
          <t>DS 2021-2022</t>
        </is>
      </c>
      <c r="E29" t="n">
        <v>266.28</v>
      </c>
      <c r="F29" t="n">
        <v>33.38</v>
      </c>
      <c r="I29" t="n">
        <v>3.47</v>
      </c>
      <c r="J29" t="n">
        <v>26.41</v>
      </c>
      <c r="K29" t="n">
        <v>19.95</v>
      </c>
      <c r="L29" t="n">
        <v>31.91</v>
      </c>
      <c r="M29" t="n">
        <v>82.55</v>
      </c>
      <c r="N29" t="n">
        <v>98.34</v>
      </c>
      <c r="O29" t="n">
        <v>17.76</v>
      </c>
      <c r="P29" t="inlineStr">
        <is>
          <t>Silty Clay Loam</t>
        </is>
      </c>
      <c r="Y29" t="inlineStr">
        <is>
          <t>Deep Tillage (25 cm): 1–2 plowings; form raised beds 20–25 cm high to prevent waterlogging</t>
        </is>
      </c>
      <c r="Z29" t="inlineStr">
        <is>
          <t>Furrow irrigation only (not flood); ensure bed drainage; drain excess after rain</t>
        </is>
      </c>
      <c r="AA29" t="inlineStr">
        <is>
          <t>Direct Seeding (Furrow Method on Raised Beds)</t>
        </is>
      </c>
      <c r="AP29" t="n">
        <v>7.44</v>
      </c>
    </row>
    <row r="30">
      <c r="B30" t="inlineStr">
        <is>
          <t>Corn</t>
        </is>
      </c>
      <c r="C30" t="inlineStr">
        <is>
          <t>Linmansangan</t>
        </is>
      </c>
      <c r="D30" t="inlineStr">
        <is>
          <t>DS 2021-2022</t>
        </is>
      </c>
      <c r="E30" t="n">
        <v>492.24</v>
      </c>
      <c r="F30" t="n">
        <v>81.47</v>
      </c>
      <c r="I30" t="n">
        <v>3.47</v>
      </c>
      <c r="J30" t="n">
        <v>26.41</v>
      </c>
      <c r="K30" t="n">
        <v>19.95</v>
      </c>
      <c r="L30" t="n">
        <v>31.91</v>
      </c>
      <c r="M30" t="n">
        <v>82.55</v>
      </c>
      <c r="N30" t="n">
        <v>98.34</v>
      </c>
      <c r="O30" t="n">
        <v>17.76</v>
      </c>
      <c r="P30" t="inlineStr">
        <is>
          <t>Silty Clay Loam</t>
        </is>
      </c>
      <c r="Y30" t="inlineStr">
        <is>
          <t>Deep Tillage (25 cm): 1–2 plowings; form raised beds 20–25 cm high to prevent waterlogging</t>
        </is>
      </c>
      <c r="Z30" t="inlineStr">
        <is>
          <t>Furrow irrigation only (not flood); ensure bed drainage; drain excess after rain</t>
        </is>
      </c>
      <c r="AA30" t="inlineStr">
        <is>
          <t>Direct Seeding (Furrow Method on Raised Beds)</t>
        </is>
      </c>
      <c r="AP30" t="n">
        <v>7.44</v>
      </c>
    </row>
    <row r="31">
      <c r="B31" t="inlineStr">
        <is>
          <t>Corn</t>
        </is>
      </c>
      <c r="C31" t="inlineStr">
        <is>
          <t>Mangkasuy</t>
        </is>
      </c>
      <c r="D31" t="inlineStr">
        <is>
          <t>DS 2021-2022</t>
        </is>
      </c>
      <c r="E31" t="n">
        <v>802.2</v>
      </c>
      <c r="F31" t="n">
        <v>92.76000000000001</v>
      </c>
      <c r="I31" t="n">
        <v>3.47</v>
      </c>
      <c r="J31" t="n">
        <v>26.41</v>
      </c>
      <c r="K31" t="n">
        <v>19.95</v>
      </c>
      <c r="L31" t="n">
        <v>31.91</v>
      </c>
      <c r="M31" t="n">
        <v>82.55</v>
      </c>
      <c r="N31" t="n">
        <v>98.34</v>
      </c>
      <c r="O31" t="n">
        <v>17.76</v>
      </c>
      <c r="P31" t="inlineStr">
        <is>
          <t>Sandy Loam</t>
        </is>
      </c>
      <c r="Y31" t="inlineStr">
        <is>
          <t>Conventional Tillage: 1 deep plow (20–25 cm) + 1 harrowing; good tilth easily achieved</t>
        </is>
      </c>
      <c r="Z31" t="inlineStr">
        <is>
          <t>Furrow or sprinkler irrigation; AWD or weekly irrigation; good drainage natural</t>
        </is>
      </c>
      <c r="AA31" t="inlineStr">
        <is>
          <t>Direct Seeding (Hill Planting / Furrow Method)</t>
        </is>
      </c>
      <c r="AP31" t="n">
        <v>7.44</v>
      </c>
    </row>
    <row r="32">
      <c r="B32" t="inlineStr">
        <is>
          <t>Corn</t>
        </is>
      </c>
      <c r="C32" t="inlineStr">
        <is>
          <t>Moreno</t>
        </is>
      </c>
      <c r="D32" t="inlineStr">
        <is>
          <t>DS 2021-2022</t>
        </is>
      </c>
      <c r="E32" t="n">
        <v>641.76</v>
      </c>
      <c r="F32" t="n">
        <v>58.1</v>
      </c>
      <c r="I32" t="n">
        <v>3.47</v>
      </c>
      <c r="J32" t="n">
        <v>26.41</v>
      </c>
      <c r="K32" t="n">
        <v>19.95</v>
      </c>
      <c r="L32" t="n">
        <v>31.91</v>
      </c>
      <c r="M32" t="n">
        <v>82.55</v>
      </c>
      <c r="N32" t="n">
        <v>98.34</v>
      </c>
      <c r="O32" t="n">
        <v>17.76</v>
      </c>
      <c r="P32" t="inlineStr">
        <is>
          <t>Sandy Loam</t>
        </is>
      </c>
      <c r="Y32" t="inlineStr">
        <is>
          <t>Conventional Tillage: 1 deep plow (20–25 cm) + 1 harrowing; good tilth easily achieved</t>
        </is>
      </c>
      <c r="Z32" t="inlineStr">
        <is>
          <t>Furrow or sprinkler irrigation; AWD or weekly irrigation; good drainage natural</t>
        </is>
      </c>
      <c r="AA32" t="inlineStr">
        <is>
          <t>Direct Seeding (Hill Planting / Furrow Method)</t>
        </is>
      </c>
      <c r="AP32" t="n">
        <v>7.44</v>
      </c>
    </row>
    <row r="33">
      <c r="B33" t="inlineStr">
        <is>
          <t>Corn</t>
        </is>
      </c>
      <c r="C33" t="inlineStr">
        <is>
          <t>Pasileng Norte</t>
        </is>
      </c>
      <c r="D33" t="inlineStr">
        <is>
          <t>DS 2021-2022</t>
        </is>
      </c>
      <c r="E33" t="n">
        <v>140.28</v>
      </c>
      <c r="F33" t="n">
        <v>36.55</v>
      </c>
      <c r="I33" t="n">
        <v>3.47</v>
      </c>
      <c r="J33" t="n">
        <v>26.41</v>
      </c>
      <c r="K33" t="n">
        <v>19.95</v>
      </c>
      <c r="L33" t="n">
        <v>31.91</v>
      </c>
      <c r="M33" t="n">
        <v>82.55</v>
      </c>
      <c r="N33" t="n">
        <v>98.34</v>
      </c>
      <c r="O33" t="n">
        <v>17.76</v>
      </c>
      <c r="P33" t="inlineStr">
        <is>
          <t>Sandy Loam</t>
        </is>
      </c>
      <c r="Y33" t="inlineStr">
        <is>
          <t>Conventional Tillage: 1 deep plow (20–25 cm) + 1 harrowing; good tilth easily achieved</t>
        </is>
      </c>
      <c r="Z33" t="inlineStr">
        <is>
          <t>Furrow or sprinkler irrigation; AWD or weekly irrigation; good drainage natural</t>
        </is>
      </c>
      <c r="AA33" t="inlineStr">
        <is>
          <t>Direct Seeding (Hill Planting / Furrow Method)</t>
        </is>
      </c>
      <c r="AP33" t="n">
        <v>7.44</v>
      </c>
    </row>
    <row r="34">
      <c r="B34" t="inlineStr">
        <is>
          <t>Corn</t>
        </is>
      </c>
      <c r="C34" t="inlineStr">
        <is>
          <t>Pasileng Sur</t>
        </is>
      </c>
      <c r="D34" t="inlineStr">
        <is>
          <t>DS 2021-2022</t>
        </is>
      </c>
      <c r="E34" t="n">
        <v>414.96</v>
      </c>
      <c r="F34" t="n">
        <v>70.11</v>
      </c>
      <c r="I34" t="n">
        <v>3.47</v>
      </c>
      <c r="J34" t="n">
        <v>26.41</v>
      </c>
      <c r="K34" t="n">
        <v>19.95</v>
      </c>
      <c r="L34" t="n">
        <v>31.91</v>
      </c>
      <c r="M34" t="n">
        <v>82.55</v>
      </c>
      <c r="N34" t="n">
        <v>98.34</v>
      </c>
      <c r="O34" t="n">
        <v>17.76</v>
      </c>
      <c r="P34" t="inlineStr">
        <is>
          <t>Sandy Loam</t>
        </is>
      </c>
      <c r="Y34" t="inlineStr">
        <is>
          <t>Conventional Tillage: 1 deep plow (20–25 cm) + 1 harrowing; good tilth easily achieved</t>
        </is>
      </c>
      <c r="Z34" t="inlineStr">
        <is>
          <t>Furrow or sprinkler irrigation; AWD or weekly irrigation; good drainage natural</t>
        </is>
      </c>
      <c r="AA34" t="inlineStr">
        <is>
          <t>Direct Seeding (Hill Planting / Furrow Method)</t>
        </is>
      </c>
      <c r="AP34" t="n">
        <v>7.44</v>
      </c>
    </row>
    <row r="35">
      <c r="B35" t="inlineStr">
        <is>
          <t>Corn</t>
        </is>
      </c>
      <c r="C35" t="inlineStr">
        <is>
          <t>San Felipe Central</t>
        </is>
      </c>
      <c r="D35" t="inlineStr">
        <is>
          <t>DS 2021-2022</t>
        </is>
      </c>
      <c r="E35" t="n">
        <v>452.76</v>
      </c>
      <c r="F35" t="n">
        <v>66.67</v>
      </c>
      <c r="I35" t="n">
        <v>3.47</v>
      </c>
      <c r="J35" t="n">
        <v>26.41</v>
      </c>
      <c r="K35" t="n">
        <v>19.95</v>
      </c>
      <c r="L35" t="n">
        <v>31.91</v>
      </c>
      <c r="M35" t="n">
        <v>82.55</v>
      </c>
      <c r="N35" t="n">
        <v>98.34</v>
      </c>
      <c r="O35" t="n">
        <v>17.76</v>
      </c>
      <c r="P35" t="inlineStr">
        <is>
          <t>Sandy Loam</t>
        </is>
      </c>
      <c r="Y35" t="inlineStr">
        <is>
          <t>Conventional Tillage: 1 deep plow (20–25 cm) + 1 harrowing; good tilth easily achieved</t>
        </is>
      </c>
      <c r="Z35" t="inlineStr">
        <is>
          <t>Furrow or sprinkler irrigation; AWD or weekly irrigation; good drainage natural</t>
        </is>
      </c>
      <c r="AA35" t="inlineStr">
        <is>
          <t>Direct Seeding (Hill Planting / Furrow Method)</t>
        </is>
      </c>
      <c r="AP35" t="n">
        <v>7.44</v>
      </c>
    </row>
    <row r="36">
      <c r="B36" t="inlineStr">
        <is>
          <t>Corn</t>
        </is>
      </c>
      <c r="C36" t="inlineStr">
        <is>
          <t>San Felipe Sur</t>
        </is>
      </c>
      <c r="D36" t="inlineStr">
        <is>
          <t>DS 2021-2022</t>
        </is>
      </c>
      <c r="E36" t="n">
        <v>504</v>
      </c>
      <c r="F36" t="n">
        <v>69.12</v>
      </c>
      <c r="I36" t="n">
        <v>3.47</v>
      </c>
      <c r="J36" t="n">
        <v>26.41</v>
      </c>
      <c r="K36" t="n">
        <v>19.95</v>
      </c>
      <c r="L36" t="n">
        <v>31.91</v>
      </c>
      <c r="M36" t="n">
        <v>82.55</v>
      </c>
      <c r="N36" t="n">
        <v>98.34</v>
      </c>
      <c r="O36" t="n">
        <v>17.76</v>
      </c>
      <c r="P36" t="inlineStr">
        <is>
          <t>Sandy Loam</t>
        </is>
      </c>
      <c r="Y36" t="inlineStr">
        <is>
          <t>Conventional Tillage: 1 deep plow (20–25 cm) + 1 harrowing; good tilth easily achieved</t>
        </is>
      </c>
      <c r="Z36" t="inlineStr">
        <is>
          <t>Furrow or sprinkler irrigation; AWD or weekly irrigation; good drainage natural</t>
        </is>
      </c>
      <c r="AA36" t="inlineStr">
        <is>
          <t>Direct Seeding (Hill Planting / Furrow Method)</t>
        </is>
      </c>
      <c r="AP36" t="n">
        <v>7.44</v>
      </c>
    </row>
    <row r="37">
      <c r="B37" t="inlineStr">
        <is>
          <t>Corn</t>
        </is>
      </c>
      <c r="C37" t="inlineStr">
        <is>
          <t>San Pablo</t>
        </is>
      </c>
      <c r="D37" t="inlineStr">
        <is>
          <t>DS 2021-2022</t>
        </is>
      </c>
      <c r="E37" t="n">
        <v>215.04</v>
      </c>
      <c r="F37" t="n">
        <v>53.45</v>
      </c>
      <c r="I37" t="n">
        <v>3.47</v>
      </c>
      <c r="J37" t="n">
        <v>26.41</v>
      </c>
      <c r="K37" t="n">
        <v>19.95</v>
      </c>
      <c r="L37" t="n">
        <v>31.91</v>
      </c>
      <c r="M37" t="n">
        <v>82.55</v>
      </c>
      <c r="N37" t="n">
        <v>98.34</v>
      </c>
      <c r="O37" t="n">
        <v>17.76</v>
      </c>
      <c r="P37" t="inlineStr">
        <is>
          <t>Sandy Loam</t>
        </is>
      </c>
      <c r="Y37" t="inlineStr">
        <is>
          <t>Conventional Tillage: 1 deep plow (20–25 cm) + 1 harrowing; good tilth easily achieved</t>
        </is>
      </c>
      <c r="Z37" t="inlineStr">
        <is>
          <t>Furrow or sprinkler irrigation; AWD or weekly irrigation; good drainage natural</t>
        </is>
      </c>
      <c r="AA37" t="inlineStr">
        <is>
          <t>Direct Seeding (Hill Planting / Furrow Method)</t>
        </is>
      </c>
      <c r="AP37" t="n">
        <v>7.44</v>
      </c>
    </row>
    <row r="38">
      <c r="B38" t="inlineStr">
        <is>
          <t>Corn</t>
        </is>
      </c>
      <c r="C38" t="inlineStr">
        <is>
          <t>Santiago</t>
        </is>
      </c>
      <c r="D38" t="inlineStr">
        <is>
          <t>DS 2021-2022</t>
        </is>
      </c>
      <c r="E38" t="n">
        <v>283.08</v>
      </c>
      <c r="F38" t="n">
        <v>70.93000000000001</v>
      </c>
      <c r="I38" t="n">
        <v>3.47</v>
      </c>
      <c r="J38" t="n">
        <v>26.41</v>
      </c>
      <c r="K38" t="n">
        <v>19.95</v>
      </c>
      <c r="L38" t="n">
        <v>31.91</v>
      </c>
      <c r="M38" t="n">
        <v>82.55</v>
      </c>
      <c r="N38" t="n">
        <v>98.34</v>
      </c>
      <c r="O38" t="n">
        <v>17.76</v>
      </c>
      <c r="P38" t="inlineStr">
        <is>
          <t>Silty Clay Loam</t>
        </is>
      </c>
      <c r="Y38" t="inlineStr">
        <is>
          <t>Deep Tillage (25 cm): 1–2 plowings; form raised beds 20–25 cm high to prevent waterlogging</t>
        </is>
      </c>
      <c r="Z38" t="inlineStr">
        <is>
          <t>Furrow irrigation only (not flood); ensure bed drainage; drain excess after rain</t>
        </is>
      </c>
      <c r="AA38" t="inlineStr">
        <is>
          <t>Direct Seeding (Furrow Method on Raised Beds)</t>
        </is>
      </c>
      <c r="AP38" t="n">
        <v>7.44</v>
      </c>
    </row>
    <row r="39">
      <c r="B39" t="inlineStr">
        <is>
          <t>Corn</t>
        </is>
      </c>
      <c r="C39" t="inlineStr">
        <is>
          <t>Sta. Catalina</t>
        </is>
      </c>
      <c r="D39" t="inlineStr">
        <is>
          <t>DS 2021-2022</t>
        </is>
      </c>
      <c r="E39" t="n">
        <v>709.8</v>
      </c>
      <c r="F39" t="n">
        <v>81.09999999999999</v>
      </c>
      <c r="I39" t="n">
        <v>3.47</v>
      </c>
      <c r="J39" t="n">
        <v>26.41</v>
      </c>
      <c r="K39" t="n">
        <v>19.95</v>
      </c>
      <c r="L39" t="n">
        <v>31.91</v>
      </c>
      <c r="M39" t="n">
        <v>82.55</v>
      </c>
      <c r="N39" t="n">
        <v>98.34</v>
      </c>
      <c r="O39" t="n">
        <v>17.76</v>
      </c>
      <c r="P39" t="inlineStr">
        <is>
          <t>Fine Sand / Sandy Loam</t>
        </is>
      </c>
      <c r="Y39" t="inlineStr">
        <is>
          <t>Minimum Tillage; deep ripping to break hardpan; avoid over-disturbance</t>
        </is>
      </c>
      <c r="Z39" t="inlineStr">
        <is>
          <t>Furrow irrigation; frequent light watering; mulch to retain soil moisture</t>
        </is>
      </c>
      <c r="AA39" t="inlineStr">
        <is>
          <t>Direct Seeding (Hills or Furrow Method)</t>
        </is>
      </c>
      <c r="AP39" t="n">
        <v>7.44</v>
      </c>
    </row>
    <row r="40">
      <c r="B40" t="inlineStr">
        <is>
          <t>Corn</t>
        </is>
      </c>
      <c r="C40" t="inlineStr">
        <is>
          <t>Sta. Maria Norte</t>
        </is>
      </c>
      <c r="D40" t="inlineStr">
        <is>
          <t>DS 2021-2022</t>
        </is>
      </c>
      <c r="E40" t="n">
        <v>157.08</v>
      </c>
      <c r="F40" t="n">
        <v>23.79</v>
      </c>
      <c r="I40" t="n">
        <v>3.47</v>
      </c>
      <c r="J40" t="n">
        <v>26.41</v>
      </c>
      <c r="K40" t="n">
        <v>19.95</v>
      </c>
      <c r="L40" t="n">
        <v>31.91</v>
      </c>
      <c r="M40" t="n">
        <v>82.55</v>
      </c>
      <c r="N40" t="n">
        <v>98.34</v>
      </c>
      <c r="O40" t="n">
        <v>17.76</v>
      </c>
      <c r="P40" t="inlineStr">
        <is>
          <t>Sandy Loam</t>
        </is>
      </c>
      <c r="Y40" t="inlineStr">
        <is>
          <t>Conventional Tillage: 1 deep plow (20–25 cm) + 1 harrowing; good tilth easily achieved</t>
        </is>
      </c>
      <c r="Z40" t="inlineStr">
        <is>
          <t>Furrow or sprinkler irrigation; AWD or weekly irrigation; good drainage natural</t>
        </is>
      </c>
      <c r="AA40" t="inlineStr">
        <is>
          <t>Direct Seeding (Hill Planting / Furrow Method)</t>
        </is>
      </c>
      <c r="AP40" t="n">
        <v>7.44</v>
      </c>
    </row>
    <row r="41">
      <c r="B41" t="inlineStr">
        <is>
          <t>Corn</t>
        </is>
      </c>
      <c r="C41" t="inlineStr">
        <is>
          <t>Sumabnit</t>
        </is>
      </c>
      <c r="D41" t="inlineStr">
        <is>
          <t>DS 2021-2022</t>
        </is>
      </c>
      <c r="E41" t="n">
        <v>406.56</v>
      </c>
      <c r="F41" t="n">
        <v>73.36</v>
      </c>
      <c r="I41" t="n">
        <v>3.47</v>
      </c>
      <c r="J41" t="n">
        <v>26.41</v>
      </c>
      <c r="K41" t="n">
        <v>19.95</v>
      </c>
      <c r="L41" t="n">
        <v>31.91</v>
      </c>
      <c r="M41" t="n">
        <v>82.55</v>
      </c>
      <c r="N41" t="n">
        <v>98.34</v>
      </c>
      <c r="O41" t="n">
        <v>17.76</v>
      </c>
      <c r="P41" t="inlineStr">
        <is>
          <t>Silty Clay Loam / Fine Sandy Loam</t>
        </is>
      </c>
      <c r="Y41" t="inlineStr">
        <is>
          <t>Minimum Tillage; deep ripping to break hardpan; avoid over-disturbance</t>
        </is>
      </c>
      <c r="Z41" t="inlineStr">
        <is>
          <t>Furrow irrigation; frequent light watering; mulch to retain soil moisture</t>
        </is>
      </c>
      <c r="AA41" t="inlineStr">
        <is>
          <t>Direct Seeding (Hills or Furrow Method)</t>
        </is>
      </c>
      <c r="AP41" t="n">
        <v>7.44</v>
      </c>
    </row>
    <row r="42">
      <c r="B42" t="inlineStr">
        <is>
          <t>Corn</t>
        </is>
      </c>
      <c r="C42" t="inlineStr">
        <is>
          <t>Tabuyoc</t>
        </is>
      </c>
      <c r="D42" t="inlineStr">
        <is>
          <t>DS 2021-2022</t>
        </is>
      </c>
      <c r="E42" t="n">
        <v>277.2</v>
      </c>
      <c r="F42" t="n">
        <v>56.61</v>
      </c>
      <c r="I42" t="n">
        <v>3.47</v>
      </c>
      <c r="J42" t="n">
        <v>26.41</v>
      </c>
      <c r="K42" t="n">
        <v>19.95</v>
      </c>
      <c r="L42" t="n">
        <v>31.91</v>
      </c>
      <c r="M42" t="n">
        <v>82.55</v>
      </c>
      <c r="N42" t="n">
        <v>98.34</v>
      </c>
      <c r="O42" t="n">
        <v>17.76</v>
      </c>
      <c r="P42" t="inlineStr">
        <is>
          <t>Silty Clay Loam</t>
        </is>
      </c>
      <c r="Y42" t="inlineStr">
        <is>
          <t>Deep Tillage (25 cm): 1–2 plowings; form raised beds 20–25 cm high to prevent waterlogging</t>
        </is>
      </c>
      <c r="Z42" t="inlineStr">
        <is>
          <t>Furrow irrigation only (not flood); ensure bed drainage; drain excess after rain</t>
        </is>
      </c>
      <c r="AA42" t="inlineStr">
        <is>
          <t>Direct Seeding (Furrow Method on Raised Beds)</t>
        </is>
      </c>
      <c r="AP42" t="n">
        <v>7.44</v>
      </c>
    </row>
    <row r="43">
      <c r="B43" t="inlineStr">
        <is>
          <t>Corn</t>
        </is>
      </c>
      <c r="C43" t="inlineStr">
        <is>
          <t>Vacante</t>
        </is>
      </c>
      <c r="D43" t="inlineStr">
        <is>
          <t>DS 2021-2022</t>
        </is>
      </c>
      <c r="E43" t="n">
        <v>484.68</v>
      </c>
      <c r="F43" t="n">
        <v>47.66</v>
      </c>
      <c r="I43" t="n">
        <v>3.47</v>
      </c>
      <c r="J43" t="n">
        <v>26.41</v>
      </c>
      <c r="K43" t="n">
        <v>19.95</v>
      </c>
      <c r="L43" t="n">
        <v>31.91</v>
      </c>
      <c r="M43" t="n">
        <v>82.55</v>
      </c>
      <c r="N43" t="n">
        <v>98.34</v>
      </c>
      <c r="O43" t="n">
        <v>17.76</v>
      </c>
      <c r="P43" t="inlineStr">
        <is>
          <t>Silty Clay Loam</t>
        </is>
      </c>
      <c r="Y43" t="inlineStr">
        <is>
          <t>Deep Tillage (25 cm): 1–2 plowings; form raised beds 20–25 cm high to prevent waterlogging</t>
        </is>
      </c>
      <c r="Z43" t="inlineStr">
        <is>
          <t>Furrow irrigation only (not flood); ensure bed drainage; drain excess after rain</t>
        </is>
      </c>
      <c r="AA43" t="inlineStr">
        <is>
          <t>Direct Seeding (Furrow Method on Raised Beds)</t>
        </is>
      </c>
      <c r="AP43" t="n">
        <v>7.44</v>
      </c>
    </row>
    <row r="44">
      <c r="B44" t="inlineStr">
        <is>
          <t>Corn</t>
        </is>
      </c>
      <c r="C44" t="inlineStr">
        <is>
          <t>Balangobong</t>
        </is>
      </c>
      <c r="D44" t="inlineStr">
        <is>
          <t>DS 2022-2023</t>
        </is>
      </c>
      <c r="E44" t="n">
        <v>281.4</v>
      </c>
      <c r="F44" t="n">
        <v>53.25</v>
      </c>
      <c r="I44" t="n">
        <v>2.22</v>
      </c>
      <c r="J44" t="n">
        <v>26.38</v>
      </c>
      <c r="K44" t="n">
        <v>19.97</v>
      </c>
      <c r="L44" t="n">
        <v>31.8</v>
      </c>
      <c r="M44" t="n">
        <v>83.62</v>
      </c>
      <c r="N44" t="n">
        <v>98.40000000000001</v>
      </c>
      <c r="O44" t="n">
        <v>17.64</v>
      </c>
      <c r="P44" t="inlineStr">
        <is>
          <t>Silty Clay Loam</t>
        </is>
      </c>
      <c r="Y44" t="inlineStr">
        <is>
          <t>Deep Tillage (25 cm): 1–2 plowings; form raised beds 20–25 cm high to prevent waterlogging</t>
        </is>
      </c>
      <c r="Z44" t="inlineStr">
        <is>
          <t>Furrow irrigation only (not flood); ensure bed drainage; drain excess after rain</t>
        </is>
      </c>
      <c r="AA44" t="inlineStr">
        <is>
          <t>Direct Seeding (Furrow Method on Raised Beds)</t>
        </is>
      </c>
      <c r="AP44" t="n">
        <v>7.53</v>
      </c>
    </row>
    <row r="45">
      <c r="B45" t="inlineStr">
        <is>
          <t>Corn</t>
        </is>
      </c>
      <c r="C45" t="inlineStr">
        <is>
          <t>Bued</t>
        </is>
      </c>
      <c r="D45" t="inlineStr">
        <is>
          <t>DS 2022-2023</t>
        </is>
      </c>
      <c r="E45" t="n">
        <v>210.84</v>
      </c>
      <c r="F45" t="n">
        <v>42.58</v>
      </c>
      <c r="I45" t="n">
        <v>2.22</v>
      </c>
      <c r="J45" t="n">
        <v>26.38</v>
      </c>
      <c r="K45" t="n">
        <v>19.97</v>
      </c>
      <c r="L45" t="n">
        <v>31.8</v>
      </c>
      <c r="M45" t="n">
        <v>83.62</v>
      </c>
      <c r="N45" t="n">
        <v>98.40000000000001</v>
      </c>
      <c r="O45" t="n">
        <v>17.64</v>
      </c>
      <c r="P45" t="inlineStr">
        <is>
          <t>Silty Clay Loam</t>
        </is>
      </c>
      <c r="Y45" t="inlineStr">
        <is>
          <t>Deep Tillage (25 cm): 1–2 plowings; form raised beds 20–25 cm high to prevent waterlogging</t>
        </is>
      </c>
      <c r="Z45" t="inlineStr">
        <is>
          <t>Furrow irrigation only (not flood); ensure bed drainage; drain excess after rain</t>
        </is>
      </c>
      <c r="AA45" t="inlineStr">
        <is>
          <t>Direct Seeding (Furrow Method on Raised Beds)</t>
        </is>
      </c>
      <c r="AP45" t="n">
        <v>7.53</v>
      </c>
    </row>
    <row r="46">
      <c r="B46" t="inlineStr">
        <is>
          <t>Corn</t>
        </is>
      </c>
      <c r="C46" t="inlineStr">
        <is>
          <t>Bugayong</t>
        </is>
      </c>
      <c r="D46" t="inlineStr">
        <is>
          <t>DS 2022-2023</t>
        </is>
      </c>
      <c r="E46" t="n">
        <v>346.08</v>
      </c>
      <c r="F46" t="n">
        <v>21.3</v>
      </c>
      <c r="I46" t="n">
        <v>2.22</v>
      </c>
      <c r="J46" t="n">
        <v>26.38</v>
      </c>
      <c r="K46" t="n">
        <v>19.97</v>
      </c>
      <c r="L46" t="n">
        <v>31.8</v>
      </c>
      <c r="M46" t="n">
        <v>83.62</v>
      </c>
      <c r="N46" t="n">
        <v>98.40000000000001</v>
      </c>
      <c r="O46" t="n">
        <v>17.64</v>
      </c>
      <c r="P46" t="inlineStr">
        <is>
          <t>Sandy Loam / Silty Clay Loam</t>
        </is>
      </c>
      <c r="Y46" t="inlineStr">
        <is>
          <t>Conventional Tillage: 1 deep plow + harrowing; ensure good drainage channels</t>
        </is>
      </c>
      <c r="Z46" t="inlineStr">
        <is>
          <t>Furrow irrigation; avoid waterlogging — clay fraction retains excess moisture</t>
        </is>
      </c>
      <c r="AA46" t="inlineStr">
        <is>
          <t>Direct Seeding (Furrow or Hill Method)</t>
        </is>
      </c>
      <c r="AP46" t="n">
        <v>7.53</v>
      </c>
    </row>
    <row r="47">
      <c r="B47" t="inlineStr">
        <is>
          <t>Corn</t>
        </is>
      </c>
      <c r="C47" t="inlineStr">
        <is>
          <t>Camanggaan</t>
        </is>
      </c>
      <c r="D47" t="inlineStr">
        <is>
          <t>DS 2022-2023</t>
        </is>
      </c>
      <c r="E47" t="n">
        <v>244.44</v>
      </c>
      <c r="F47" t="n">
        <v>24.6</v>
      </c>
      <c r="I47" t="n">
        <v>2.22</v>
      </c>
      <c r="J47" t="n">
        <v>26.38</v>
      </c>
      <c r="K47" t="n">
        <v>19.97</v>
      </c>
      <c r="L47" t="n">
        <v>31.8</v>
      </c>
      <c r="M47" t="n">
        <v>83.62</v>
      </c>
      <c r="N47" t="n">
        <v>98.40000000000001</v>
      </c>
      <c r="O47" t="n">
        <v>17.64</v>
      </c>
      <c r="P47" t="inlineStr">
        <is>
          <t>Sandy Loam</t>
        </is>
      </c>
      <c r="Y47" t="inlineStr">
        <is>
          <t>Conventional Tillage: 1 deep plow (20–25 cm) + 1 harrowing; good tilth easily achieved</t>
        </is>
      </c>
      <c r="Z47" t="inlineStr">
        <is>
          <t>Furrow or sprinkler irrigation; AWD or weekly irrigation; good drainage natural</t>
        </is>
      </c>
      <c r="AA47" t="inlineStr">
        <is>
          <t>Direct Seeding (Hill Planting / Furrow Method)</t>
        </is>
      </c>
      <c r="AP47" t="n">
        <v>7.53</v>
      </c>
    </row>
    <row r="48">
      <c r="B48" t="inlineStr">
        <is>
          <t>Corn</t>
        </is>
      </c>
      <c r="C48" t="inlineStr">
        <is>
          <t>Capas</t>
        </is>
      </c>
      <c r="D48" t="inlineStr">
        <is>
          <t>DS 2022-2023</t>
        </is>
      </c>
      <c r="E48" t="n">
        <v>377.16</v>
      </c>
      <c r="F48" t="n">
        <v>102.74</v>
      </c>
      <c r="I48" t="n">
        <v>2.22</v>
      </c>
      <c r="J48" t="n">
        <v>26.38</v>
      </c>
      <c r="K48" t="n">
        <v>19.97</v>
      </c>
      <c r="L48" t="n">
        <v>31.8</v>
      </c>
      <c r="M48" t="n">
        <v>83.62</v>
      </c>
      <c r="N48" t="n">
        <v>98.40000000000001</v>
      </c>
      <c r="O48" t="n">
        <v>17.64</v>
      </c>
      <c r="P48" t="inlineStr">
        <is>
          <t>Sandy Loam</t>
        </is>
      </c>
      <c r="Y48" t="inlineStr">
        <is>
          <t>Conventional Tillage: 1 deep plow (20–25 cm) + 1 harrowing; good tilth easily achieved</t>
        </is>
      </c>
      <c r="Z48" t="inlineStr">
        <is>
          <t>Furrow or sprinkler irrigation; AWD or weekly irrigation; good drainage natural</t>
        </is>
      </c>
      <c r="AA48" t="inlineStr">
        <is>
          <t>Direct Seeding (Hill Planting / Furrow Method)</t>
        </is>
      </c>
      <c r="AP48" t="n">
        <v>7.53</v>
      </c>
    </row>
    <row r="49">
      <c r="B49" t="inlineStr">
        <is>
          <t>Corn</t>
        </is>
      </c>
      <c r="C49" t="inlineStr">
        <is>
          <t>Cili</t>
        </is>
      </c>
      <c r="D49" t="inlineStr">
        <is>
          <t>DS 2022-2023</t>
        </is>
      </c>
      <c r="E49" t="n">
        <v>264.6</v>
      </c>
      <c r="F49" t="n">
        <v>54.02</v>
      </c>
      <c r="I49" t="n">
        <v>2.22</v>
      </c>
      <c r="J49" t="n">
        <v>26.38</v>
      </c>
      <c r="K49" t="n">
        <v>19.97</v>
      </c>
      <c r="L49" t="n">
        <v>31.8</v>
      </c>
      <c r="M49" t="n">
        <v>83.62</v>
      </c>
      <c r="N49" t="n">
        <v>98.40000000000001</v>
      </c>
      <c r="O49" t="n">
        <v>17.64</v>
      </c>
      <c r="P49" t="inlineStr">
        <is>
          <t>Silty Clay Loam</t>
        </is>
      </c>
      <c r="Y49" t="inlineStr">
        <is>
          <t>Deep Tillage (25 cm): 1–2 plowings; form raised beds 20–25 cm high to prevent waterlogging</t>
        </is>
      </c>
      <c r="Z49" t="inlineStr">
        <is>
          <t>Furrow irrigation only (not flood); ensure bed drainage; drain excess after rain</t>
        </is>
      </c>
      <c r="AA49" t="inlineStr">
        <is>
          <t>Direct Seeding (Furrow Method on Raised Beds)</t>
        </is>
      </c>
      <c r="AP49" t="n">
        <v>7.53</v>
      </c>
    </row>
    <row r="50">
      <c r="B50" t="inlineStr">
        <is>
          <t>Corn</t>
        </is>
      </c>
      <c r="C50" t="inlineStr">
        <is>
          <t>Dumayat</t>
        </is>
      </c>
      <c r="D50" t="inlineStr">
        <is>
          <t>DS 2022-2023</t>
        </is>
      </c>
      <c r="E50" t="n">
        <v>266.28</v>
      </c>
      <c r="F50" t="n">
        <v>33.24</v>
      </c>
      <c r="I50" t="n">
        <v>2.22</v>
      </c>
      <c r="J50" t="n">
        <v>26.38</v>
      </c>
      <c r="K50" t="n">
        <v>19.97</v>
      </c>
      <c r="L50" t="n">
        <v>31.8</v>
      </c>
      <c r="M50" t="n">
        <v>83.62</v>
      </c>
      <c r="N50" t="n">
        <v>98.40000000000001</v>
      </c>
      <c r="O50" t="n">
        <v>17.64</v>
      </c>
      <c r="P50" t="inlineStr">
        <is>
          <t>Silty Clay Loam</t>
        </is>
      </c>
      <c r="Y50" t="inlineStr">
        <is>
          <t>Deep Tillage (25 cm): 1–2 plowings; form raised beds 20–25 cm high to prevent waterlogging</t>
        </is>
      </c>
      <c r="Z50" t="inlineStr">
        <is>
          <t>Furrow irrigation only (not flood); ensure bed drainage; drain excess after rain</t>
        </is>
      </c>
      <c r="AA50" t="inlineStr">
        <is>
          <t>Direct Seeding (Furrow Method on Raised Beds)</t>
        </is>
      </c>
      <c r="AP50" t="n">
        <v>7.53</v>
      </c>
    </row>
    <row r="51">
      <c r="B51" t="inlineStr">
        <is>
          <t>Corn</t>
        </is>
      </c>
      <c r="C51" t="inlineStr">
        <is>
          <t>Linmansangan</t>
        </is>
      </c>
      <c r="D51" t="inlineStr">
        <is>
          <t>DS 2022-2023</t>
        </is>
      </c>
      <c r="E51" t="n">
        <v>492.24</v>
      </c>
      <c r="F51" t="n">
        <v>81.13</v>
      </c>
      <c r="I51" t="n">
        <v>2.22</v>
      </c>
      <c r="J51" t="n">
        <v>26.38</v>
      </c>
      <c r="K51" t="n">
        <v>19.97</v>
      </c>
      <c r="L51" t="n">
        <v>31.8</v>
      </c>
      <c r="M51" t="n">
        <v>83.62</v>
      </c>
      <c r="N51" t="n">
        <v>98.40000000000001</v>
      </c>
      <c r="O51" t="n">
        <v>17.64</v>
      </c>
      <c r="P51" t="inlineStr">
        <is>
          <t>Silty Clay Loam</t>
        </is>
      </c>
      <c r="Y51" t="inlineStr">
        <is>
          <t>Deep Tillage (25 cm): 1–2 plowings; form raised beds 20–25 cm high to prevent waterlogging</t>
        </is>
      </c>
      <c r="Z51" t="inlineStr">
        <is>
          <t>Furrow irrigation only (not flood); ensure bed drainage; drain excess after rain</t>
        </is>
      </c>
      <c r="AA51" t="inlineStr">
        <is>
          <t>Direct Seeding (Furrow Method on Raised Beds)</t>
        </is>
      </c>
      <c r="AP51" t="n">
        <v>7.53</v>
      </c>
    </row>
    <row r="52">
      <c r="B52" t="inlineStr">
        <is>
          <t>Corn</t>
        </is>
      </c>
      <c r="C52" t="inlineStr">
        <is>
          <t>Mangkasuy</t>
        </is>
      </c>
      <c r="D52" t="inlineStr">
        <is>
          <t>DS 2022-2023</t>
        </is>
      </c>
      <c r="E52" t="n">
        <v>802.2</v>
      </c>
      <c r="F52" t="n">
        <v>92.38</v>
      </c>
      <c r="I52" t="n">
        <v>2.22</v>
      </c>
      <c r="J52" t="n">
        <v>26.38</v>
      </c>
      <c r="K52" t="n">
        <v>19.97</v>
      </c>
      <c r="L52" t="n">
        <v>31.8</v>
      </c>
      <c r="M52" t="n">
        <v>83.62</v>
      </c>
      <c r="N52" t="n">
        <v>98.40000000000001</v>
      </c>
      <c r="O52" t="n">
        <v>17.64</v>
      </c>
      <c r="P52" t="inlineStr">
        <is>
          <t>Sandy Loam</t>
        </is>
      </c>
      <c r="Y52" t="inlineStr">
        <is>
          <t>Conventional Tillage: 1 deep plow (20–25 cm) + 1 harrowing; good tilth easily achieved</t>
        </is>
      </c>
      <c r="Z52" t="inlineStr">
        <is>
          <t>Furrow or sprinkler irrigation; AWD or weekly irrigation; good drainage natural</t>
        </is>
      </c>
      <c r="AA52" t="inlineStr">
        <is>
          <t>Direct Seeding (Hill Planting / Furrow Method)</t>
        </is>
      </c>
      <c r="AP52" t="n">
        <v>7.53</v>
      </c>
    </row>
    <row r="53">
      <c r="B53" t="inlineStr">
        <is>
          <t>Corn</t>
        </is>
      </c>
      <c r="C53" t="inlineStr">
        <is>
          <t>Moreno</t>
        </is>
      </c>
      <c r="D53" t="inlineStr">
        <is>
          <t>DS 2022-2023</t>
        </is>
      </c>
      <c r="E53" t="n">
        <v>641.76</v>
      </c>
      <c r="F53" t="n">
        <v>57.86</v>
      </c>
      <c r="I53" t="n">
        <v>2.22</v>
      </c>
      <c r="J53" t="n">
        <v>26.38</v>
      </c>
      <c r="K53" t="n">
        <v>19.97</v>
      </c>
      <c r="L53" t="n">
        <v>31.8</v>
      </c>
      <c r="M53" t="n">
        <v>83.62</v>
      </c>
      <c r="N53" t="n">
        <v>98.40000000000001</v>
      </c>
      <c r="O53" t="n">
        <v>17.64</v>
      </c>
      <c r="P53" t="inlineStr">
        <is>
          <t>Sandy Loam</t>
        </is>
      </c>
      <c r="Y53" t="inlineStr">
        <is>
          <t>Conventional Tillage: 1 deep plow (20–25 cm) + 1 harrowing; good tilth easily achieved</t>
        </is>
      </c>
      <c r="Z53" t="inlineStr">
        <is>
          <t>Furrow or sprinkler irrigation; AWD or weekly irrigation; good drainage natural</t>
        </is>
      </c>
      <c r="AA53" t="inlineStr">
        <is>
          <t>Direct Seeding (Hill Planting / Furrow Method)</t>
        </is>
      </c>
      <c r="AP53" t="n">
        <v>7.53</v>
      </c>
    </row>
    <row r="54">
      <c r="B54" t="inlineStr">
        <is>
          <t>Corn</t>
        </is>
      </c>
      <c r="C54" t="inlineStr">
        <is>
          <t>Pasileng Norte</t>
        </is>
      </c>
      <c r="D54" t="inlineStr">
        <is>
          <t>DS 2022-2023</t>
        </is>
      </c>
      <c r="E54" t="n">
        <v>140.28</v>
      </c>
      <c r="F54" t="n">
        <v>36.4</v>
      </c>
      <c r="I54" t="n">
        <v>2.22</v>
      </c>
      <c r="J54" t="n">
        <v>26.38</v>
      </c>
      <c r="K54" t="n">
        <v>19.97</v>
      </c>
      <c r="L54" t="n">
        <v>31.8</v>
      </c>
      <c r="M54" t="n">
        <v>83.62</v>
      </c>
      <c r="N54" t="n">
        <v>98.40000000000001</v>
      </c>
      <c r="O54" t="n">
        <v>17.64</v>
      </c>
      <c r="P54" t="inlineStr">
        <is>
          <t>Sandy Loam</t>
        </is>
      </c>
      <c r="Y54" t="inlineStr">
        <is>
          <t>Conventional Tillage: 1 deep plow (20–25 cm) + 1 harrowing; good tilth easily achieved</t>
        </is>
      </c>
      <c r="Z54" t="inlineStr">
        <is>
          <t>Furrow or sprinkler irrigation; AWD or weekly irrigation; good drainage natural</t>
        </is>
      </c>
      <c r="AA54" t="inlineStr">
        <is>
          <t>Direct Seeding (Hill Planting / Furrow Method)</t>
        </is>
      </c>
      <c r="AP54" t="n">
        <v>7.53</v>
      </c>
    </row>
    <row r="55">
      <c r="B55" t="inlineStr">
        <is>
          <t>Corn</t>
        </is>
      </c>
      <c r="C55" t="inlineStr">
        <is>
          <t>Pasileng Sur</t>
        </is>
      </c>
      <c r="D55" t="inlineStr">
        <is>
          <t>DS 2022-2023</t>
        </is>
      </c>
      <c r="E55" t="n">
        <v>414.96</v>
      </c>
      <c r="F55" t="n">
        <v>69.81999999999999</v>
      </c>
      <c r="I55" t="n">
        <v>2.22</v>
      </c>
      <c r="J55" t="n">
        <v>26.38</v>
      </c>
      <c r="K55" t="n">
        <v>19.97</v>
      </c>
      <c r="L55" t="n">
        <v>31.8</v>
      </c>
      <c r="M55" t="n">
        <v>83.62</v>
      </c>
      <c r="N55" t="n">
        <v>98.40000000000001</v>
      </c>
      <c r="O55" t="n">
        <v>17.64</v>
      </c>
      <c r="P55" t="inlineStr">
        <is>
          <t>Sandy Loam</t>
        </is>
      </c>
      <c r="Y55" t="inlineStr">
        <is>
          <t>Conventional Tillage: 1 deep plow (20–25 cm) + 1 harrowing; good tilth easily achieved</t>
        </is>
      </c>
      <c r="Z55" t="inlineStr">
        <is>
          <t>Furrow or sprinkler irrigation; AWD or weekly irrigation; good drainage natural</t>
        </is>
      </c>
      <c r="AA55" t="inlineStr">
        <is>
          <t>Direct Seeding (Hill Planting / Furrow Method)</t>
        </is>
      </c>
      <c r="AP55" t="n">
        <v>7.53</v>
      </c>
    </row>
    <row r="56">
      <c r="B56" t="inlineStr">
        <is>
          <t>Corn</t>
        </is>
      </c>
      <c r="C56" t="inlineStr">
        <is>
          <t>San Felipe Central</t>
        </is>
      </c>
      <c r="D56" t="inlineStr">
        <is>
          <t>DS 2022-2023</t>
        </is>
      </c>
      <c r="E56" t="n">
        <v>452.76</v>
      </c>
      <c r="F56" t="n">
        <v>66.39</v>
      </c>
      <c r="I56" t="n">
        <v>2.22</v>
      </c>
      <c r="J56" t="n">
        <v>26.38</v>
      </c>
      <c r="K56" t="n">
        <v>19.97</v>
      </c>
      <c r="L56" t="n">
        <v>31.8</v>
      </c>
      <c r="M56" t="n">
        <v>83.62</v>
      </c>
      <c r="N56" t="n">
        <v>98.40000000000001</v>
      </c>
      <c r="O56" t="n">
        <v>17.64</v>
      </c>
      <c r="P56" t="inlineStr">
        <is>
          <t>Sandy Loam</t>
        </is>
      </c>
      <c r="Y56" t="inlineStr">
        <is>
          <t>Conventional Tillage: 1 deep plow (20–25 cm) + 1 harrowing; good tilth easily achieved</t>
        </is>
      </c>
      <c r="Z56" t="inlineStr">
        <is>
          <t>Furrow or sprinkler irrigation; AWD or weekly irrigation; good drainage natural</t>
        </is>
      </c>
      <c r="AA56" t="inlineStr">
        <is>
          <t>Direct Seeding (Hill Planting / Furrow Method)</t>
        </is>
      </c>
      <c r="AP56" t="n">
        <v>7.53</v>
      </c>
    </row>
    <row r="57">
      <c r="B57" t="inlineStr">
        <is>
          <t>Corn</t>
        </is>
      </c>
      <c r="C57" t="inlineStr">
        <is>
          <t>San Felipe Sur</t>
        </is>
      </c>
      <c r="D57" t="inlineStr">
        <is>
          <t>DS 2022-2023</t>
        </is>
      </c>
      <c r="E57" t="n">
        <v>504</v>
      </c>
      <c r="F57" t="n">
        <v>68.83</v>
      </c>
      <c r="I57" t="n">
        <v>2.22</v>
      </c>
      <c r="J57" t="n">
        <v>26.38</v>
      </c>
      <c r="K57" t="n">
        <v>19.97</v>
      </c>
      <c r="L57" t="n">
        <v>31.8</v>
      </c>
      <c r="M57" t="n">
        <v>83.62</v>
      </c>
      <c r="N57" t="n">
        <v>98.40000000000001</v>
      </c>
      <c r="O57" t="n">
        <v>17.64</v>
      </c>
      <c r="P57" t="inlineStr">
        <is>
          <t>Sandy Loam</t>
        </is>
      </c>
      <c r="Y57" t="inlineStr">
        <is>
          <t>Conventional Tillage: 1 deep plow (20–25 cm) + 1 harrowing; good tilth easily achieved</t>
        </is>
      </c>
      <c r="Z57" t="inlineStr">
        <is>
          <t>Furrow or sprinkler irrigation; AWD or weekly irrigation; good drainage natural</t>
        </is>
      </c>
      <c r="AA57" t="inlineStr">
        <is>
          <t>Direct Seeding (Hill Planting / Furrow Method)</t>
        </is>
      </c>
      <c r="AP57" t="n">
        <v>7.53</v>
      </c>
    </row>
    <row r="58">
      <c r="B58" t="inlineStr">
        <is>
          <t>Corn</t>
        </is>
      </c>
      <c r="C58" t="inlineStr">
        <is>
          <t>San Pablo</t>
        </is>
      </c>
      <c r="D58" t="inlineStr">
        <is>
          <t>DS 2022-2023</t>
        </is>
      </c>
      <c r="E58" t="n">
        <v>215.04</v>
      </c>
      <c r="F58" t="n">
        <v>53.23</v>
      </c>
      <c r="I58" t="n">
        <v>2.22</v>
      </c>
      <c r="J58" t="n">
        <v>26.38</v>
      </c>
      <c r="K58" t="n">
        <v>19.97</v>
      </c>
      <c r="L58" t="n">
        <v>31.8</v>
      </c>
      <c r="M58" t="n">
        <v>83.62</v>
      </c>
      <c r="N58" t="n">
        <v>98.40000000000001</v>
      </c>
      <c r="O58" t="n">
        <v>17.64</v>
      </c>
      <c r="P58" t="inlineStr">
        <is>
          <t>Sandy Loam</t>
        </is>
      </c>
      <c r="Y58" t="inlineStr">
        <is>
          <t>Conventional Tillage: 1 deep plow (20–25 cm) + 1 harrowing; good tilth easily achieved</t>
        </is>
      </c>
      <c r="Z58" t="inlineStr">
        <is>
          <t>Furrow or sprinkler irrigation; AWD or weekly irrigation; good drainage natural</t>
        </is>
      </c>
      <c r="AA58" t="inlineStr">
        <is>
          <t>Direct Seeding (Hill Planting / Furrow Method)</t>
        </is>
      </c>
      <c r="AP58" t="n">
        <v>7.53</v>
      </c>
    </row>
    <row r="59">
      <c r="B59" t="inlineStr">
        <is>
          <t>Corn</t>
        </is>
      </c>
      <c r="C59" t="inlineStr">
        <is>
          <t>Santiago</t>
        </is>
      </c>
      <c r="D59" t="inlineStr">
        <is>
          <t>DS 2022-2023</t>
        </is>
      </c>
      <c r="E59" t="n">
        <v>283.08</v>
      </c>
      <c r="F59" t="n">
        <v>70.65000000000001</v>
      </c>
      <c r="I59" t="n">
        <v>2.22</v>
      </c>
      <c r="J59" t="n">
        <v>26.38</v>
      </c>
      <c r="K59" t="n">
        <v>19.97</v>
      </c>
      <c r="L59" t="n">
        <v>31.8</v>
      </c>
      <c r="M59" t="n">
        <v>83.62</v>
      </c>
      <c r="N59" t="n">
        <v>98.40000000000001</v>
      </c>
      <c r="O59" t="n">
        <v>17.64</v>
      </c>
      <c r="P59" t="inlineStr">
        <is>
          <t>Silty Clay Loam</t>
        </is>
      </c>
      <c r="Y59" t="inlineStr">
        <is>
          <t>Deep Tillage (25 cm): 1–2 plowings; form raised beds 20–25 cm high to prevent waterlogging</t>
        </is>
      </c>
      <c r="Z59" t="inlineStr">
        <is>
          <t>Furrow irrigation only (not flood); ensure bed drainage; drain excess after rain</t>
        </is>
      </c>
      <c r="AA59" t="inlineStr">
        <is>
          <t>Direct Seeding (Furrow Method on Raised Beds)</t>
        </is>
      </c>
      <c r="AP59" t="n">
        <v>7.53</v>
      </c>
    </row>
    <row r="60">
      <c r="B60" t="inlineStr">
        <is>
          <t>Corn</t>
        </is>
      </c>
      <c r="C60" t="inlineStr">
        <is>
          <t>Sta. Catalina</t>
        </is>
      </c>
      <c r="D60" t="inlineStr">
        <is>
          <t>DS 2022-2023</t>
        </is>
      </c>
      <c r="E60" t="n">
        <v>709.8</v>
      </c>
      <c r="F60" t="n">
        <v>80.76000000000001</v>
      </c>
      <c r="I60" t="n">
        <v>2.22</v>
      </c>
      <c r="J60" t="n">
        <v>26.38</v>
      </c>
      <c r="K60" t="n">
        <v>19.97</v>
      </c>
      <c r="L60" t="n">
        <v>31.8</v>
      </c>
      <c r="M60" t="n">
        <v>83.62</v>
      </c>
      <c r="N60" t="n">
        <v>98.40000000000001</v>
      </c>
      <c r="O60" t="n">
        <v>17.64</v>
      </c>
      <c r="P60" t="inlineStr">
        <is>
          <t>Fine Sand / Sandy Loam</t>
        </is>
      </c>
      <c r="Y60" t="inlineStr">
        <is>
          <t>Minimum Tillage; deep ripping to break hardpan; avoid over-disturbance</t>
        </is>
      </c>
      <c r="Z60" t="inlineStr">
        <is>
          <t>Furrow irrigation; frequent light watering; mulch to retain soil moisture</t>
        </is>
      </c>
      <c r="AA60" t="inlineStr">
        <is>
          <t>Direct Seeding (Hills or Furrow Method)</t>
        </is>
      </c>
      <c r="AP60" t="n">
        <v>7.53</v>
      </c>
    </row>
    <row r="61">
      <c r="B61" t="inlineStr">
        <is>
          <t>Corn</t>
        </is>
      </c>
      <c r="C61" t="inlineStr">
        <is>
          <t>Sta. Maria Norte</t>
        </is>
      </c>
      <c r="D61" t="inlineStr">
        <is>
          <t>DS 2022-2023</t>
        </is>
      </c>
      <c r="E61" t="n">
        <v>157.08</v>
      </c>
      <c r="F61" t="n">
        <v>23.69</v>
      </c>
      <c r="I61" t="n">
        <v>2.22</v>
      </c>
      <c r="J61" t="n">
        <v>26.38</v>
      </c>
      <c r="K61" t="n">
        <v>19.97</v>
      </c>
      <c r="L61" t="n">
        <v>31.8</v>
      </c>
      <c r="M61" t="n">
        <v>83.62</v>
      </c>
      <c r="N61" t="n">
        <v>98.40000000000001</v>
      </c>
      <c r="O61" t="n">
        <v>17.64</v>
      </c>
      <c r="P61" t="inlineStr">
        <is>
          <t>Sandy Loam</t>
        </is>
      </c>
      <c r="Y61" t="inlineStr">
        <is>
          <t>Conventional Tillage: 1 deep plow (20–25 cm) + 1 harrowing; good tilth easily achieved</t>
        </is>
      </c>
      <c r="Z61" t="inlineStr">
        <is>
          <t>Furrow or sprinkler irrigation; AWD or weekly irrigation; good drainage natural</t>
        </is>
      </c>
      <c r="AA61" t="inlineStr">
        <is>
          <t>Direct Seeding (Hill Planting / Furrow Method)</t>
        </is>
      </c>
      <c r="AP61" t="n">
        <v>7.53</v>
      </c>
    </row>
    <row r="62">
      <c r="B62" t="inlineStr">
        <is>
          <t>Corn</t>
        </is>
      </c>
      <c r="C62" t="inlineStr">
        <is>
          <t>Sumabnit</t>
        </is>
      </c>
      <c r="D62" t="inlineStr">
        <is>
          <t>DS 2022-2023</t>
        </is>
      </c>
      <c r="E62" t="n">
        <v>406.56</v>
      </c>
      <c r="F62" t="n">
        <v>73.05</v>
      </c>
      <c r="I62" t="n">
        <v>2.22</v>
      </c>
      <c r="J62" t="n">
        <v>26.38</v>
      </c>
      <c r="K62" t="n">
        <v>19.97</v>
      </c>
      <c r="L62" t="n">
        <v>31.8</v>
      </c>
      <c r="M62" t="n">
        <v>83.62</v>
      </c>
      <c r="N62" t="n">
        <v>98.40000000000001</v>
      </c>
      <c r="O62" t="n">
        <v>17.64</v>
      </c>
      <c r="P62" t="inlineStr">
        <is>
          <t>Silty Clay Loam / Fine Sandy Loam</t>
        </is>
      </c>
      <c r="Y62" t="inlineStr">
        <is>
          <t>Minimum Tillage; deep ripping to break hardpan; avoid over-disturbance</t>
        </is>
      </c>
      <c r="Z62" t="inlineStr">
        <is>
          <t>Furrow irrigation; frequent light watering; mulch to retain soil moisture</t>
        </is>
      </c>
      <c r="AA62" t="inlineStr">
        <is>
          <t>Direct Seeding (Hills or Furrow Method)</t>
        </is>
      </c>
      <c r="AP62" t="n">
        <v>7.53</v>
      </c>
    </row>
    <row r="63">
      <c r="B63" t="inlineStr">
        <is>
          <t>Corn</t>
        </is>
      </c>
      <c r="C63" t="inlineStr">
        <is>
          <t>Tabuyoc</t>
        </is>
      </c>
      <c r="D63" t="inlineStr">
        <is>
          <t>DS 2022-2023</t>
        </is>
      </c>
      <c r="E63" t="n">
        <v>277.2</v>
      </c>
      <c r="F63" t="n">
        <v>56.37</v>
      </c>
      <c r="I63" t="n">
        <v>2.22</v>
      </c>
      <c r="J63" t="n">
        <v>26.38</v>
      </c>
      <c r="K63" t="n">
        <v>19.97</v>
      </c>
      <c r="L63" t="n">
        <v>31.8</v>
      </c>
      <c r="M63" t="n">
        <v>83.62</v>
      </c>
      <c r="N63" t="n">
        <v>98.40000000000001</v>
      </c>
      <c r="O63" t="n">
        <v>17.64</v>
      </c>
      <c r="P63" t="inlineStr">
        <is>
          <t>Silty Clay Loam</t>
        </is>
      </c>
      <c r="Y63" t="inlineStr">
        <is>
          <t>Deep Tillage (25 cm): 1–2 plowings; form raised beds 20–25 cm high to prevent waterlogging</t>
        </is>
      </c>
      <c r="Z63" t="inlineStr">
        <is>
          <t>Furrow irrigation only (not flood); ensure bed drainage; drain excess after rain</t>
        </is>
      </c>
      <c r="AA63" t="inlineStr">
        <is>
          <t>Direct Seeding (Furrow Method on Raised Beds)</t>
        </is>
      </c>
      <c r="AP63" t="n">
        <v>7.53</v>
      </c>
    </row>
    <row r="64">
      <c r="B64" t="inlineStr">
        <is>
          <t>Corn</t>
        </is>
      </c>
      <c r="C64" t="inlineStr">
        <is>
          <t>Vacante</t>
        </is>
      </c>
      <c r="D64" t="inlineStr">
        <is>
          <t>DS 2022-2023</t>
        </is>
      </c>
      <c r="E64" t="n">
        <v>484.68</v>
      </c>
      <c r="F64" t="n">
        <v>47.47</v>
      </c>
      <c r="I64" t="n">
        <v>2.22</v>
      </c>
      <c r="J64" t="n">
        <v>26.38</v>
      </c>
      <c r="K64" t="n">
        <v>19.97</v>
      </c>
      <c r="L64" t="n">
        <v>31.8</v>
      </c>
      <c r="M64" t="n">
        <v>83.62</v>
      </c>
      <c r="N64" t="n">
        <v>98.40000000000001</v>
      </c>
      <c r="O64" t="n">
        <v>17.64</v>
      </c>
      <c r="P64" t="inlineStr">
        <is>
          <t>Silty Clay Loam</t>
        </is>
      </c>
      <c r="Y64" t="inlineStr">
        <is>
          <t>Deep Tillage (25 cm): 1–2 plowings; form raised beds 20–25 cm high to prevent waterlogging</t>
        </is>
      </c>
      <c r="Z64" t="inlineStr">
        <is>
          <t>Furrow irrigation only (not flood); ensure bed drainage; drain excess after rain</t>
        </is>
      </c>
      <c r="AA64" t="inlineStr">
        <is>
          <t>Direct Seeding (Furrow Method on Raised Beds)</t>
        </is>
      </c>
      <c r="AP64" t="n">
        <v>7.53</v>
      </c>
    </row>
    <row r="65">
      <c r="B65" t="inlineStr">
        <is>
          <t>Corn</t>
        </is>
      </c>
      <c r="C65" t="inlineStr">
        <is>
          <t>Balangobong</t>
        </is>
      </c>
      <c r="D65" t="inlineStr">
        <is>
          <t>DS 2023-2024</t>
        </is>
      </c>
      <c r="E65" t="n">
        <v>281.4</v>
      </c>
      <c r="F65" t="n">
        <v>62.46</v>
      </c>
      <c r="I65" t="n">
        <v>1.34</v>
      </c>
      <c r="J65" t="n">
        <v>26.5</v>
      </c>
      <c r="K65" t="n">
        <v>19.59</v>
      </c>
      <c r="L65" t="n">
        <v>32.04</v>
      </c>
      <c r="M65" t="n">
        <v>81.69</v>
      </c>
      <c r="N65" t="n">
        <v>98.48999999999999</v>
      </c>
      <c r="O65" t="n">
        <v>17.2</v>
      </c>
      <c r="P65" t="inlineStr">
        <is>
          <t>Silty Clay Loam</t>
        </is>
      </c>
      <c r="Y65" t="inlineStr">
        <is>
          <t>Deep Tillage (25 cm): 1–2 plowings; form raised beds 20–25 cm high to prevent waterlogging</t>
        </is>
      </c>
      <c r="Z65" t="inlineStr">
        <is>
          <t>Furrow irrigation only (not flood); ensure bed drainage; drain excess after rain</t>
        </is>
      </c>
      <c r="AA65" t="inlineStr">
        <is>
          <t>Direct Seeding (Furrow Method on Raised Beds)</t>
        </is>
      </c>
      <c r="AP65" t="n">
        <v>7.22</v>
      </c>
    </row>
    <row r="66">
      <c r="B66" t="inlineStr">
        <is>
          <t>Corn</t>
        </is>
      </c>
      <c r="C66" t="inlineStr">
        <is>
          <t>Bued</t>
        </is>
      </c>
      <c r="D66" t="inlineStr">
        <is>
          <t>DS 2023-2024</t>
        </is>
      </c>
      <c r="E66" t="n">
        <v>210.84</v>
      </c>
      <c r="F66" t="n">
        <v>49.95</v>
      </c>
      <c r="I66" t="n">
        <v>1.34</v>
      </c>
      <c r="J66" t="n">
        <v>26.5</v>
      </c>
      <c r="K66" t="n">
        <v>19.59</v>
      </c>
      <c r="L66" t="n">
        <v>32.04</v>
      </c>
      <c r="M66" t="n">
        <v>81.69</v>
      </c>
      <c r="N66" t="n">
        <v>98.48999999999999</v>
      </c>
      <c r="O66" t="n">
        <v>17.2</v>
      </c>
      <c r="P66" t="inlineStr">
        <is>
          <t>Silty Clay Loam</t>
        </is>
      </c>
      <c r="Y66" t="inlineStr">
        <is>
          <t>Deep Tillage (25 cm): 1–2 plowings; form raised beds 20–25 cm high to prevent waterlogging</t>
        </is>
      </c>
      <c r="Z66" t="inlineStr">
        <is>
          <t>Furrow irrigation only (not flood); ensure bed drainage; drain excess after rain</t>
        </is>
      </c>
      <c r="AA66" t="inlineStr">
        <is>
          <t>Direct Seeding (Furrow Method on Raised Beds)</t>
        </is>
      </c>
      <c r="AP66" t="n">
        <v>7.22</v>
      </c>
    </row>
    <row r="67">
      <c r="B67" t="inlineStr">
        <is>
          <t>Corn</t>
        </is>
      </c>
      <c r="C67" t="inlineStr">
        <is>
          <t>Bugayong</t>
        </is>
      </c>
      <c r="D67" t="inlineStr">
        <is>
          <t>DS 2023-2024</t>
        </is>
      </c>
      <c r="E67" t="n">
        <v>346.08</v>
      </c>
      <c r="F67" t="n">
        <v>24.98</v>
      </c>
      <c r="I67" t="n">
        <v>1.34</v>
      </c>
      <c r="J67" t="n">
        <v>26.5</v>
      </c>
      <c r="K67" t="n">
        <v>19.59</v>
      </c>
      <c r="L67" t="n">
        <v>32.04</v>
      </c>
      <c r="M67" t="n">
        <v>81.69</v>
      </c>
      <c r="N67" t="n">
        <v>98.48999999999999</v>
      </c>
      <c r="O67" t="n">
        <v>17.2</v>
      </c>
      <c r="P67" t="inlineStr">
        <is>
          <t>Sandy Loam / Silty Clay Loam</t>
        </is>
      </c>
      <c r="Y67" t="inlineStr">
        <is>
          <t>Conventional Tillage: 1 deep plow + harrowing; ensure good drainage channels</t>
        </is>
      </c>
      <c r="Z67" t="inlineStr">
        <is>
          <t>Furrow irrigation; avoid waterlogging — clay fraction retains excess moisture</t>
        </is>
      </c>
      <c r="AA67" t="inlineStr">
        <is>
          <t>Direct Seeding (Furrow or Hill Method)</t>
        </is>
      </c>
      <c r="AP67" t="n">
        <v>7.22</v>
      </c>
    </row>
    <row r="68">
      <c r="B68" t="inlineStr">
        <is>
          <t>Corn</t>
        </is>
      </c>
      <c r="C68" t="inlineStr">
        <is>
          <t>Camanggaan</t>
        </is>
      </c>
      <c r="D68" t="inlineStr">
        <is>
          <t>DS 2023-2024</t>
        </is>
      </c>
      <c r="E68" t="n">
        <v>244.44</v>
      </c>
      <c r="F68" t="n">
        <v>28.86</v>
      </c>
      <c r="I68" t="n">
        <v>1.34</v>
      </c>
      <c r="J68" t="n">
        <v>26.5</v>
      </c>
      <c r="K68" t="n">
        <v>19.59</v>
      </c>
      <c r="L68" t="n">
        <v>32.04</v>
      </c>
      <c r="M68" t="n">
        <v>81.69</v>
      </c>
      <c r="N68" t="n">
        <v>98.48999999999999</v>
      </c>
      <c r="O68" t="n">
        <v>17.2</v>
      </c>
      <c r="P68" t="inlineStr">
        <is>
          <t>Sandy Loam</t>
        </is>
      </c>
      <c r="Y68" t="inlineStr">
        <is>
          <t>Conventional Tillage: 1 deep plow (20–25 cm) + 1 harrowing; good tilth easily achieved</t>
        </is>
      </c>
      <c r="Z68" t="inlineStr">
        <is>
          <t>Furrow or sprinkler irrigation; AWD or weekly irrigation; good drainage natural</t>
        </is>
      </c>
      <c r="AA68" t="inlineStr">
        <is>
          <t>Direct Seeding (Hill Planting / Furrow Method)</t>
        </is>
      </c>
      <c r="AP68" t="n">
        <v>7.22</v>
      </c>
    </row>
    <row r="69">
      <c r="B69" t="inlineStr">
        <is>
          <t>Corn</t>
        </is>
      </c>
      <c r="C69" t="inlineStr">
        <is>
          <t>Capas</t>
        </is>
      </c>
      <c r="D69" t="inlineStr">
        <is>
          <t>DS 2023-2024</t>
        </is>
      </c>
      <c r="E69" t="n">
        <v>377.16</v>
      </c>
      <c r="F69" t="n">
        <v>120.51</v>
      </c>
      <c r="I69" t="n">
        <v>1.34</v>
      </c>
      <c r="J69" t="n">
        <v>26.5</v>
      </c>
      <c r="K69" t="n">
        <v>19.59</v>
      </c>
      <c r="L69" t="n">
        <v>32.04</v>
      </c>
      <c r="M69" t="n">
        <v>81.69</v>
      </c>
      <c r="N69" t="n">
        <v>98.48999999999999</v>
      </c>
      <c r="O69" t="n">
        <v>17.2</v>
      </c>
      <c r="P69" t="inlineStr">
        <is>
          <t>Sandy Loam</t>
        </is>
      </c>
      <c r="Y69" t="inlineStr">
        <is>
          <t>Conventional Tillage: 1 deep plow (20–25 cm) + 1 harrowing; good tilth easily achieved</t>
        </is>
      </c>
      <c r="Z69" t="inlineStr">
        <is>
          <t>Furrow or sprinkler irrigation; AWD or weekly irrigation; good drainage natural</t>
        </is>
      </c>
      <c r="AA69" t="inlineStr">
        <is>
          <t>Direct Seeding (Hill Planting / Furrow Method)</t>
        </is>
      </c>
      <c r="AP69" t="n">
        <v>7.22</v>
      </c>
    </row>
    <row r="70">
      <c r="B70" t="inlineStr">
        <is>
          <t>Corn</t>
        </is>
      </c>
      <c r="C70" t="inlineStr">
        <is>
          <t>Cili</t>
        </is>
      </c>
      <c r="D70" t="inlineStr">
        <is>
          <t>DS 2023-2024</t>
        </is>
      </c>
      <c r="E70" t="n">
        <v>264.6</v>
      </c>
      <c r="F70" t="n">
        <v>63.36</v>
      </c>
      <c r="I70" t="n">
        <v>1.34</v>
      </c>
      <c r="J70" t="n">
        <v>26.5</v>
      </c>
      <c r="K70" t="n">
        <v>19.59</v>
      </c>
      <c r="L70" t="n">
        <v>32.04</v>
      </c>
      <c r="M70" t="n">
        <v>81.69</v>
      </c>
      <c r="N70" t="n">
        <v>98.48999999999999</v>
      </c>
      <c r="O70" t="n">
        <v>17.2</v>
      </c>
      <c r="P70" t="inlineStr">
        <is>
          <t>Silty Clay Loam</t>
        </is>
      </c>
      <c r="Y70" t="inlineStr">
        <is>
          <t>Deep Tillage (25 cm): 1–2 plowings; form raised beds 20–25 cm high to prevent waterlogging</t>
        </is>
      </c>
      <c r="Z70" t="inlineStr">
        <is>
          <t>Furrow irrigation only (not flood); ensure bed drainage; drain excess after rain</t>
        </is>
      </c>
      <c r="AA70" t="inlineStr">
        <is>
          <t>Direct Seeding (Furrow Method on Raised Beds)</t>
        </is>
      </c>
      <c r="AP70" t="n">
        <v>7.22</v>
      </c>
    </row>
    <row r="71">
      <c r="B71" t="inlineStr">
        <is>
          <t>Corn</t>
        </is>
      </c>
      <c r="C71" t="inlineStr">
        <is>
          <t>Dumayat</t>
        </is>
      </c>
      <c r="D71" t="inlineStr">
        <is>
          <t>DS 2023-2024</t>
        </is>
      </c>
      <c r="E71" t="n">
        <v>266.28</v>
      </c>
      <c r="F71" t="n">
        <v>38.99</v>
      </c>
      <c r="I71" t="n">
        <v>1.34</v>
      </c>
      <c r="J71" t="n">
        <v>26.5</v>
      </c>
      <c r="K71" t="n">
        <v>19.59</v>
      </c>
      <c r="L71" t="n">
        <v>32.04</v>
      </c>
      <c r="M71" t="n">
        <v>81.69</v>
      </c>
      <c r="N71" t="n">
        <v>98.48999999999999</v>
      </c>
      <c r="O71" t="n">
        <v>17.2</v>
      </c>
      <c r="P71" t="inlineStr">
        <is>
          <t>Silty Clay Loam</t>
        </is>
      </c>
      <c r="Y71" t="inlineStr">
        <is>
          <t>Deep Tillage (25 cm): 1–2 plowings; form raised beds 20–25 cm high to prevent waterlogging</t>
        </is>
      </c>
      <c r="Z71" t="inlineStr">
        <is>
          <t>Furrow irrigation only (not flood); ensure bed drainage; drain excess after rain</t>
        </is>
      </c>
      <c r="AA71" t="inlineStr">
        <is>
          <t>Direct Seeding (Furrow Method on Raised Beds)</t>
        </is>
      </c>
      <c r="AP71" t="n">
        <v>7.22</v>
      </c>
    </row>
    <row r="72">
      <c r="B72" t="inlineStr">
        <is>
          <t>Corn</t>
        </is>
      </c>
      <c r="C72" t="inlineStr">
        <is>
          <t>Linmansangan</t>
        </is>
      </c>
      <c r="D72" t="inlineStr">
        <is>
          <t>DS 2023-2024</t>
        </is>
      </c>
      <c r="E72" t="n">
        <v>492.24</v>
      </c>
      <c r="F72" t="n">
        <v>95.16</v>
      </c>
      <c r="I72" t="n">
        <v>1.34</v>
      </c>
      <c r="J72" t="n">
        <v>26.5</v>
      </c>
      <c r="K72" t="n">
        <v>19.59</v>
      </c>
      <c r="L72" t="n">
        <v>32.04</v>
      </c>
      <c r="M72" t="n">
        <v>81.69</v>
      </c>
      <c r="N72" t="n">
        <v>98.48999999999999</v>
      </c>
      <c r="O72" t="n">
        <v>17.2</v>
      </c>
      <c r="P72" t="inlineStr">
        <is>
          <t>Silty Clay Loam</t>
        </is>
      </c>
      <c r="Y72" t="inlineStr">
        <is>
          <t>Deep Tillage (25 cm): 1–2 plowings; form raised beds 20–25 cm high to prevent waterlogging</t>
        </is>
      </c>
      <c r="Z72" t="inlineStr">
        <is>
          <t>Furrow irrigation only (not flood); ensure bed drainage; drain excess after rain</t>
        </is>
      </c>
      <c r="AA72" t="inlineStr">
        <is>
          <t>Direct Seeding (Furrow Method on Raised Beds)</t>
        </is>
      </c>
      <c r="AP72" t="n">
        <v>7.22</v>
      </c>
    </row>
    <row r="73">
      <c r="B73" t="inlineStr">
        <is>
          <t>Corn</t>
        </is>
      </c>
      <c r="C73" t="inlineStr">
        <is>
          <t>Mangkasuy</t>
        </is>
      </c>
      <c r="D73" t="inlineStr">
        <is>
          <t>DS 2023-2024</t>
        </is>
      </c>
      <c r="E73" t="n">
        <v>802.2</v>
      </c>
      <c r="F73" t="n">
        <v>108.36</v>
      </c>
      <c r="I73" t="n">
        <v>1.34</v>
      </c>
      <c r="J73" t="n">
        <v>26.5</v>
      </c>
      <c r="K73" t="n">
        <v>19.59</v>
      </c>
      <c r="L73" t="n">
        <v>32.04</v>
      </c>
      <c r="M73" t="n">
        <v>81.69</v>
      </c>
      <c r="N73" t="n">
        <v>98.48999999999999</v>
      </c>
      <c r="O73" t="n">
        <v>17.2</v>
      </c>
      <c r="P73" t="inlineStr">
        <is>
          <t>Sandy Loam</t>
        </is>
      </c>
      <c r="Y73" t="inlineStr">
        <is>
          <t>Conventional Tillage: 1 deep plow (20–25 cm) + 1 harrowing; good tilth easily achieved</t>
        </is>
      </c>
      <c r="Z73" t="inlineStr">
        <is>
          <t>Furrow or sprinkler irrigation; AWD or weekly irrigation; good drainage natural</t>
        </is>
      </c>
      <c r="AA73" t="inlineStr">
        <is>
          <t>Direct Seeding (Hill Planting / Furrow Method)</t>
        </is>
      </c>
      <c r="AP73" t="n">
        <v>7.22</v>
      </c>
    </row>
    <row r="74">
      <c r="B74" t="inlineStr">
        <is>
          <t>Corn</t>
        </is>
      </c>
      <c r="C74" t="inlineStr">
        <is>
          <t>Moreno</t>
        </is>
      </c>
      <c r="D74" t="inlineStr">
        <is>
          <t>DS 2023-2024</t>
        </is>
      </c>
      <c r="E74" t="n">
        <v>641.76</v>
      </c>
      <c r="F74" t="n">
        <v>67.87</v>
      </c>
      <c r="I74" t="n">
        <v>1.34</v>
      </c>
      <c r="J74" t="n">
        <v>26.5</v>
      </c>
      <c r="K74" t="n">
        <v>19.59</v>
      </c>
      <c r="L74" t="n">
        <v>32.04</v>
      </c>
      <c r="M74" t="n">
        <v>81.69</v>
      </c>
      <c r="N74" t="n">
        <v>98.48999999999999</v>
      </c>
      <c r="O74" t="n">
        <v>17.2</v>
      </c>
      <c r="P74" t="inlineStr">
        <is>
          <t>Sandy Loam</t>
        </is>
      </c>
      <c r="Y74" t="inlineStr">
        <is>
          <t>Conventional Tillage: 1 deep plow (20–25 cm) + 1 harrowing; good tilth easily achieved</t>
        </is>
      </c>
      <c r="Z74" t="inlineStr">
        <is>
          <t>Furrow or sprinkler irrigation; AWD or weekly irrigation; good drainage natural</t>
        </is>
      </c>
      <c r="AA74" t="inlineStr">
        <is>
          <t>Direct Seeding (Hill Planting / Furrow Method)</t>
        </is>
      </c>
      <c r="AP74" t="n">
        <v>7.22</v>
      </c>
    </row>
    <row r="75">
      <c r="B75" t="inlineStr">
        <is>
          <t>Corn</t>
        </is>
      </c>
      <c r="C75" t="inlineStr">
        <is>
          <t>Pasileng Norte</t>
        </is>
      </c>
      <c r="D75" t="inlineStr">
        <is>
          <t>DS 2023-2024</t>
        </is>
      </c>
      <c r="E75" t="n">
        <v>140.28</v>
      </c>
      <c r="F75" t="n">
        <v>42.7</v>
      </c>
      <c r="I75" t="n">
        <v>1.34</v>
      </c>
      <c r="J75" t="n">
        <v>26.5</v>
      </c>
      <c r="K75" t="n">
        <v>19.59</v>
      </c>
      <c r="L75" t="n">
        <v>32.04</v>
      </c>
      <c r="M75" t="n">
        <v>81.69</v>
      </c>
      <c r="N75" t="n">
        <v>98.48999999999999</v>
      </c>
      <c r="O75" t="n">
        <v>17.2</v>
      </c>
      <c r="P75" t="inlineStr">
        <is>
          <t>Sandy Loam</t>
        </is>
      </c>
      <c r="Y75" t="inlineStr">
        <is>
          <t>Conventional Tillage: 1 deep plow (20–25 cm) + 1 harrowing; good tilth easily achieved</t>
        </is>
      </c>
      <c r="Z75" t="inlineStr">
        <is>
          <t>Furrow or sprinkler irrigation; AWD or weekly irrigation; good drainage natural</t>
        </is>
      </c>
      <c r="AA75" t="inlineStr">
        <is>
          <t>Direct Seeding (Hill Planting / Furrow Method)</t>
        </is>
      </c>
      <c r="AP75" t="n">
        <v>7.22</v>
      </c>
    </row>
    <row r="76">
      <c r="B76" t="inlineStr">
        <is>
          <t>Corn</t>
        </is>
      </c>
      <c r="C76" t="inlineStr">
        <is>
          <t>Pasileng Sur</t>
        </is>
      </c>
      <c r="D76" t="inlineStr">
        <is>
          <t>DS 2023-2024</t>
        </is>
      </c>
      <c r="E76" t="n">
        <v>414.96</v>
      </c>
      <c r="F76" t="n">
        <v>81.90000000000001</v>
      </c>
      <c r="I76" t="n">
        <v>1.34</v>
      </c>
      <c r="J76" t="n">
        <v>26.5</v>
      </c>
      <c r="K76" t="n">
        <v>19.59</v>
      </c>
      <c r="L76" t="n">
        <v>32.04</v>
      </c>
      <c r="M76" t="n">
        <v>81.69</v>
      </c>
      <c r="N76" t="n">
        <v>98.48999999999999</v>
      </c>
      <c r="O76" t="n">
        <v>17.2</v>
      </c>
      <c r="P76" t="inlineStr">
        <is>
          <t>Sandy Loam</t>
        </is>
      </c>
      <c r="Y76" t="inlineStr">
        <is>
          <t>Conventional Tillage: 1 deep plow (20–25 cm) + 1 harrowing; good tilth easily achieved</t>
        </is>
      </c>
      <c r="Z76" t="inlineStr">
        <is>
          <t>Furrow or sprinkler irrigation; AWD or weekly irrigation; good drainage natural</t>
        </is>
      </c>
      <c r="AA76" t="inlineStr">
        <is>
          <t>Direct Seeding (Hill Planting / Furrow Method)</t>
        </is>
      </c>
      <c r="AP76" t="n">
        <v>7.22</v>
      </c>
    </row>
    <row r="77">
      <c r="B77" t="inlineStr">
        <is>
          <t>Corn</t>
        </is>
      </c>
      <c r="C77" t="inlineStr">
        <is>
          <t>San Felipe Central</t>
        </is>
      </c>
      <c r="D77" t="inlineStr">
        <is>
          <t>DS 2023-2024</t>
        </is>
      </c>
      <c r="E77" t="n">
        <v>452.76</v>
      </c>
      <c r="F77" t="n">
        <v>77.88</v>
      </c>
      <c r="I77" t="n">
        <v>1.34</v>
      </c>
      <c r="J77" t="n">
        <v>26.5</v>
      </c>
      <c r="K77" t="n">
        <v>19.59</v>
      </c>
      <c r="L77" t="n">
        <v>32.04</v>
      </c>
      <c r="M77" t="n">
        <v>81.69</v>
      </c>
      <c r="N77" t="n">
        <v>98.48999999999999</v>
      </c>
      <c r="O77" t="n">
        <v>17.2</v>
      </c>
      <c r="P77" t="inlineStr">
        <is>
          <t>Sandy Loam</t>
        </is>
      </c>
      <c r="Y77" t="inlineStr">
        <is>
          <t>Conventional Tillage: 1 deep plow (20–25 cm) + 1 harrowing; good tilth easily achieved</t>
        </is>
      </c>
      <c r="Z77" t="inlineStr">
        <is>
          <t>Furrow or sprinkler irrigation; AWD or weekly irrigation; good drainage natural</t>
        </is>
      </c>
      <c r="AA77" t="inlineStr">
        <is>
          <t>Direct Seeding (Hill Planting / Furrow Method)</t>
        </is>
      </c>
      <c r="AP77" t="n">
        <v>7.22</v>
      </c>
    </row>
    <row r="78">
      <c r="B78" t="inlineStr">
        <is>
          <t>Corn</t>
        </is>
      </c>
      <c r="C78" t="inlineStr">
        <is>
          <t>San Felipe Sur</t>
        </is>
      </c>
      <c r="D78" t="inlineStr">
        <is>
          <t>DS 2023-2024</t>
        </is>
      </c>
      <c r="E78" t="n">
        <v>504</v>
      </c>
      <c r="F78" t="n">
        <v>80.73999999999999</v>
      </c>
      <c r="I78" t="n">
        <v>1.34</v>
      </c>
      <c r="J78" t="n">
        <v>26.5</v>
      </c>
      <c r="K78" t="n">
        <v>19.59</v>
      </c>
      <c r="L78" t="n">
        <v>32.04</v>
      </c>
      <c r="M78" t="n">
        <v>81.69</v>
      </c>
      <c r="N78" t="n">
        <v>98.48999999999999</v>
      </c>
      <c r="O78" t="n">
        <v>17.2</v>
      </c>
      <c r="P78" t="inlineStr">
        <is>
          <t>Sandy Loam</t>
        </is>
      </c>
      <c r="Y78" t="inlineStr">
        <is>
          <t>Conventional Tillage: 1 deep plow (20–25 cm) + 1 harrowing; good tilth easily achieved</t>
        </is>
      </c>
      <c r="Z78" t="inlineStr">
        <is>
          <t>Furrow or sprinkler irrigation; AWD or weekly irrigation; good drainage natural</t>
        </is>
      </c>
      <c r="AA78" t="inlineStr">
        <is>
          <t>Direct Seeding (Hill Planting / Furrow Method)</t>
        </is>
      </c>
      <c r="AP78" t="n">
        <v>7.22</v>
      </c>
    </row>
    <row r="79">
      <c r="B79" t="inlineStr">
        <is>
          <t>Corn</t>
        </is>
      </c>
      <c r="C79" t="inlineStr">
        <is>
          <t>San Pablo</t>
        </is>
      </c>
      <c r="D79" t="inlineStr">
        <is>
          <t>DS 2023-2024</t>
        </is>
      </c>
      <c r="E79" t="n">
        <v>215.04</v>
      </c>
      <c r="F79" t="n">
        <v>62.43</v>
      </c>
      <c r="I79" t="n">
        <v>1.34</v>
      </c>
      <c r="J79" t="n">
        <v>26.5</v>
      </c>
      <c r="K79" t="n">
        <v>19.59</v>
      </c>
      <c r="L79" t="n">
        <v>32.04</v>
      </c>
      <c r="M79" t="n">
        <v>81.69</v>
      </c>
      <c r="N79" t="n">
        <v>98.48999999999999</v>
      </c>
      <c r="O79" t="n">
        <v>17.2</v>
      </c>
      <c r="P79" t="inlineStr">
        <is>
          <t>Sandy Loam</t>
        </is>
      </c>
      <c r="Y79" t="inlineStr">
        <is>
          <t>Conventional Tillage: 1 deep plow (20–25 cm) + 1 harrowing; good tilth easily achieved</t>
        </is>
      </c>
      <c r="Z79" t="inlineStr">
        <is>
          <t>Furrow or sprinkler irrigation; AWD or weekly irrigation; good drainage natural</t>
        </is>
      </c>
      <c r="AA79" t="inlineStr">
        <is>
          <t>Direct Seeding (Hill Planting / Furrow Method)</t>
        </is>
      </c>
      <c r="AP79" t="n">
        <v>7.22</v>
      </c>
    </row>
    <row r="80">
      <c r="B80" t="inlineStr">
        <is>
          <t>Corn</t>
        </is>
      </c>
      <c r="C80" t="inlineStr">
        <is>
          <t>Santiago</t>
        </is>
      </c>
      <c r="D80" t="inlineStr">
        <is>
          <t>DS 2023-2024</t>
        </is>
      </c>
      <c r="E80" t="n">
        <v>283.08</v>
      </c>
      <c r="F80" t="n">
        <v>82.84</v>
      </c>
      <c r="I80" t="n">
        <v>1.34</v>
      </c>
      <c r="J80" t="n">
        <v>26.5</v>
      </c>
      <c r="K80" t="n">
        <v>19.59</v>
      </c>
      <c r="L80" t="n">
        <v>32.04</v>
      </c>
      <c r="M80" t="n">
        <v>81.69</v>
      </c>
      <c r="N80" t="n">
        <v>98.48999999999999</v>
      </c>
      <c r="O80" t="n">
        <v>17.2</v>
      </c>
      <c r="P80" t="inlineStr">
        <is>
          <t>Silty Clay Loam</t>
        </is>
      </c>
      <c r="Y80" t="inlineStr">
        <is>
          <t>Deep Tillage (25 cm): 1–2 plowings; form raised beds 20–25 cm high to prevent waterlogging</t>
        </is>
      </c>
      <c r="Z80" t="inlineStr">
        <is>
          <t>Furrow irrigation only (not flood); ensure bed drainage; drain excess after rain</t>
        </is>
      </c>
      <c r="AA80" t="inlineStr">
        <is>
          <t>Direct Seeding (Furrow Method on Raised Beds)</t>
        </is>
      </c>
      <c r="AP80" t="n">
        <v>7.22</v>
      </c>
    </row>
    <row r="81">
      <c r="B81" t="inlineStr">
        <is>
          <t>Corn</t>
        </is>
      </c>
      <c r="C81" t="inlineStr">
        <is>
          <t>Sta. Catalina</t>
        </is>
      </c>
      <c r="D81" t="inlineStr">
        <is>
          <t>DS 2023-2024</t>
        </is>
      </c>
      <c r="E81" t="n">
        <v>709.8</v>
      </c>
      <c r="F81" t="n">
        <v>94.73</v>
      </c>
      <c r="I81" t="n">
        <v>1.34</v>
      </c>
      <c r="J81" t="n">
        <v>26.5</v>
      </c>
      <c r="K81" t="n">
        <v>19.59</v>
      </c>
      <c r="L81" t="n">
        <v>32.04</v>
      </c>
      <c r="M81" t="n">
        <v>81.69</v>
      </c>
      <c r="N81" t="n">
        <v>98.48999999999999</v>
      </c>
      <c r="O81" t="n">
        <v>17.2</v>
      </c>
      <c r="P81" t="inlineStr">
        <is>
          <t>Fine Sand / Sandy Loam</t>
        </is>
      </c>
      <c r="Y81" t="inlineStr">
        <is>
          <t>Minimum Tillage; deep ripping to break hardpan; avoid over-disturbance</t>
        </is>
      </c>
      <c r="Z81" t="inlineStr">
        <is>
          <t>Furrow irrigation; frequent light watering; mulch to retain soil moisture</t>
        </is>
      </c>
      <c r="AA81" t="inlineStr">
        <is>
          <t>Direct Seeding (Hills or Furrow Method)</t>
        </is>
      </c>
      <c r="AP81" t="n">
        <v>7.22</v>
      </c>
    </row>
    <row r="82">
      <c r="B82" t="inlineStr">
        <is>
          <t>Corn</t>
        </is>
      </c>
      <c r="C82" t="inlineStr">
        <is>
          <t>Sta. Maria Norte</t>
        </is>
      </c>
      <c r="D82" t="inlineStr">
        <is>
          <t>DS 2023-2024</t>
        </is>
      </c>
      <c r="E82" t="n">
        <v>157.08</v>
      </c>
      <c r="F82" t="n">
        <v>27.79</v>
      </c>
      <c r="I82" t="n">
        <v>1.34</v>
      </c>
      <c r="J82" t="n">
        <v>26.5</v>
      </c>
      <c r="K82" t="n">
        <v>19.59</v>
      </c>
      <c r="L82" t="n">
        <v>32.04</v>
      </c>
      <c r="M82" t="n">
        <v>81.69</v>
      </c>
      <c r="N82" t="n">
        <v>98.48999999999999</v>
      </c>
      <c r="O82" t="n">
        <v>17.2</v>
      </c>
      <c r="P82" t="inlineStr">
        <is>
          <t>Sandy Loam</t>
        </is>
      </c>
      <c r="Y82" t="inlineStr">
        <is>
          <t>Conventional Tillage: 1 deep plow (20–25 cm) + 1 harrowing; good tilth easily achieved</t>
        </is>
      </c>
      <c r="Z82" t="inlineStr">
        <is>
          <t>Furrow or sprinkler irrigation; AWD or weekly irrigation; good drainage natural</t>
        </is>
      </c>
      <c r="AA82" t="inlineStr">
        <is>
          <t>Direct Seeding (Hill Planting / Furrow Method)</t>
        </is>
      </c>
      <c r="AP82" t="n">
        <v>7.22</v>
      </c>
    </row>
    <row r="83">
      <c r="B83" t="inlineStr">
        <is>
          <t>Corn</t>
        </is>
      </c>
      <c r="C83" t="inlineStr">
        <is>
          <t>Sumabnit</t>
        </is>
      </c>
      <c r="D83" t="inlineStr">
        <is>
          <t>DS 2023-2024</t>
        </is>
      </c>
      <c r="E83" t="n">
        <v>406.56</v>
      </c>
      <c r="F83" t="n">
        <v>85.69</v>
      </c>
      <c r="I83" t="n">
        <v>1.34</v>
      </c>
      <c r="J83" t="n">
        <v>26.5</v>
      </c>
      <c r="K83" t="n">
        <v>19.59</v>
      </c>
      <c r="L83" t="n">
        <v>32.04</v>
      </c>
      <c r="M83" t="n">
        <v>81.69</v>
      </c>
      <c r="N83" t="n">
        <v>98.48999999999999</v>
      </c>
      <c r="O83" t="n">
        <v>17.2</v>
      </c>
      <c r="P83" t="inlineStr">
        <is>
          <t>Silty Clay Loam / Fine Sandy Loam</t>
        </is>
      </c>
      <c r="Y83" t="inlineStr">
        <is>
          <t>Minimum Tillage; deep ripping to break hardpan; avoid over-disturbance</t>
        </is>
      </c>
      <c r="Z83" t="inlineStr">
        <is>
          <t>Furrow irrigation; frequent light watering; mulch to retain soil moisture</t>
        </is>
      </c>
      <c r="AA83" t="inlineStr">
        <is>
          <t>Direct Seeding (Hills or Furrow Method)</t>
        </is>
      </c>
      <c r="AP83" t="n">
        <v>7.22</v>
      </c>
    </row>
    <row r="84">
      <c r="B84" t="inlineStr">
        <is>
          <t>Corn</t>
        </is>
      </c>
      <c r="C84" t="inlineStr">
        <is>
          <t>Tabuyoc</t>
        </is>
      </c>
      <c r="D84" t="inlineStr">
        <is>
          <t>DS 2023-2024</t>
        </is>
      </c>
      <c r="E84" t="n">
        <v>277.2</v>
      </c>
      <c r="F84" t="n">
        <v>66.12</v>
      </c>
      <c r="I84" t="n">
        <v>1.34</v>
      </c>
      <c r="J84" t="n">
        <v>26.5</v>
      </c>
      <c r="K84" t="n">
        <v>19.59</v>
      </c>
      <c r="L84" t="n">
        <v>32.04</v>
      </c>
      <c r="M84" t="n">
        <v>81.69</v>
      </c>
      <c r="N84" t="n">
        <v>98.48999999999999</v>
      </c>
      <c r="O84" t="n">
        <v>17.2</v>
      </c>
      <c r="P84" t="inlineStr">
        <is>
          <t>Silty Clay Loam</t>
        </is>
      </c>
      <c r="Y84" t="inlineStr">
        <is>
          <t>Deep Tillage (25 cm): 1–2 plowings; form raised beds 20–25 cm high to prevent waterlogging</t>
        </is>
      </c>
      <c r="Z84" t="inlineStr">
        <is>
          <t>Furrow irrigation only (not flood); ensure bed drainage; drain excess after rain</t>
        </is>
      </c>
      <c r="AA84" t="inlineStr">
        <is>
          <t>Direct Seeding (Furrow Method on Raised Beds)</t>
        </is>
      </c>
      <c r="AP84" t="n">
        <v>7.22</v>
      </c>
    </row>
    <row r="85">
      <c r="B85" t="inlineStr">
        <is>
          <t>Corn</t>
        </is>
      </c>
      <c r="C85" t="inlineStr">
        <is>
          <t>Vacante</t>
        </is>
      </c>
      <c r="D85" t="inlineStr">
        <is>
          <t>DS 2023-2024</t>
        </is>
      </c>
      <c r="E85" t="n">
        <v>484.68</v>
      </c>
      <c r="F85" t="n">
        <v>55.68</v>
      </c>
      <c r="I85" t="n">
        <v>1.34</v>
      </c>
      <c r="J85" t="n">
        <v>26.5</v>
      </c>
      <c r="K85" t="n">
        <v>19.59</v>
      </c>
      <c r="L85" t="n">
        <v>32.04</v>
      </c>
      <c r="M85" t="n">
        <v>81.69</v>
      </c>
      <c r="N85" t="n">
        <v>98.48999999999999</v>
      </c>
      <c r="O85" t="n">
        <v>17.2</v>
      </c>
      <c r="P85" t="inlineStr">
        <is>
          <t>Silty Clay Loam</t>
        </is>
      </c>
      <c r="Y85" t="inlineStr">
        <is>
          <t>Deep Tillage (25 cm): 1–2 plowings; form raised beds 20–25 cm high to prevent waterlogging</t>
        </is>
      </c>
      <c r="Z85" t="inlineStr">
        <is>
          <t>Furrow irrigation only (not flood); ensure bed drainage; drain excess after rain</t>
        </is>
      </c>
      <c r="AA85" t="inlineStr">
        <is>
          <t>Direct Seeding (Furrow Method on Raised Beds)</t>
        </is>
      </c>
      <c r="AP85" t="n">
        <v>7.22</v>
      </c>
    </row>
    <row r="86">
      <c r="B86" t="inlineStr">
        <is>
          <t>Corn</t>
        </is>
      </c>
      <c r="C86" t="inlineStr">
        <is>
          <t>Balangobong</t>
        </is>
      </c>
      <c r="D86" t="inlineStr">
        <is>
          <t>DS 2024-2025</t>
        </is>
      </c>
      <c r="E86" t="n">
        <v>281.4</v>
      </c>
      <c r="F86" t="n">
        <v>65.12</v>
      </c>
      <c r="I86" t="n">
        <v>88</v>
      </c>
      <c r="J86" t="n">
        <v>25.8</v>
      </c>
      <c r="K86" t="n">
        <v>22.2</v>
      </c>
      <c r="L86" t="n">
        <v>30.2</v>
      </c>
      <c r="M86" t="n">
        <v>79</v>
      </c>
      <c r="P86" t="inlineStr">
        <is>
          <t>Silty Clay Loam</t>
        </is>
      </c>
      <c r="Y86" t="inlineStr">
        <is>
          <t>Deep Tillage (25 cm): 1–2 plowings; form raised beds 20–25 cm high to prevent waterlogging</t>
        </is>
      </c>
      <c r="Z86" t="inlineStr">
        <is>
          <t>Furrow irrigation only (not flood); ensure bed drainage; drain excess after rain</t>
        </is>
      </c>
      <c r="AA86" t="inlineStr">
        <is>
          <t>Direct Seeding (Furrow Method on Raised Beds)</t>
        </is>
      </c>
      <c r="AP86" t="n">
        <v>7.8</v>
      </c>
    </row>
    <row r="87">
      <c r="B87" t="inlineStr">
        <is>
          <t>Corn</t>
        </is>
      </c>
      <c r="C87" t="inlineStr">
        <is>
          <t>Bued</t>
        </is>
      </c>
      <c r="D87" t="inlineStr">
        <is>
          <t>DS 2024-2025</t>
        </is>
      </c>
      <c r="E87" t="n">
        <v>210.84</v>
      </c>
      <c r="F87" t="n">
        <v>52.07</v>
      </c>
      <c r="I87" t="n">
        <v>88</v>
      </c>
      <c r="J87" t="n">
        <v>25.8</v>
      </c>
      <c r="K87" t="n">
        <v>22.2</v>
      </c>
      <c r="L87" t="n">
        <v>30.2</v>
      </c>
      <c r="M87" t="n">
        <v>79</v>
      </c>
      <c r="P87" t="inlineStr">
        <is>
          <t>Silty Clay Loam</t>
        </is>
      </c>
      <c r="Y87" t="inlineStr">
        <is>
          <t>Deep Tillage (25 cm): 1–2 plowings; form raised beds 20–25 cm high to prevent waterlogging</t>
        </is>
      </c>
      <c r="Z87" t="inlineStr">
        <is>
          <t>Furrow irrigation only (not flood); ensure bed drainage; drain excess after rain</t>
        </is>
      </c>
      <c r="AA87" t="inlineStr">
        <is>
          <t>Direct Seeding (Furrow Method on Raised Beds)</t>
        </is>
      </c>
      <c r="AP87" t="n">
        <v>7.8</v>
      </c>
    </row>
    <row r="88">
      <c r="B88" t="inlineStr">
        <is>
          <t>Corn</t>
        </is>
      </c>
      <c r="C88" t="inlineStr">
        <is>
          <t>Bugayong</t>
        </is>
      </c>
      <c r="D88" t="inlineStr">
        <is>
          <t>DS 2024-2025</t>
        </is>
      </c>
      <c r="E88" t="n">
        <v>346.08</v>
      </c>
      <c r="F88" t="n">
        <v>26.04</v>
      </c>
      <c r="I88" t="n">
        <v>88</v>
      </c>
      <c r="J88" t="n">
        <v>25.8</v>
      </c>
      <c r="K88" t="n">
        <v>22.2</v>
      </c>
      <c r="L88" t="n">
        <v>30.2</v>
      </c>
      <c r="M88" t="n">
        <v>79</v>
      </c>
      <c r="P88" t="inlineStr">
        <is>
          <t>Sandy Loam / Silty Clay Loam</t>
        </is>
      </c>
      <c r="Y88" t="inlineStr">
        <is>
          <t>Conventional Tillage: 1 deep plow + harrowing; ensure good drainage channels</t>
        </is>
      </c>
      <c r="Z88" t="inlineStr">
        <is>
          <t>Furrow irrigation; avoid waterlogging — clay fraction retains excess moisture</t>
        </is>
      </c>
      <c r="AA88" t="inlineStr">
        <is>
          <t>Direct Seeding (Furrow or Hill Method)</t>
        </is>
      </c>
      <c r="AP88" t="n">
        <v>7.8</v>
      </c>
    </row>
    <row r="89">
      <c r="B89" t="inlineStr">
        <is>
          <t>Corn</t>
        </is>
      </c>
      <c r="C89" t="inlineStr">
        <is>
          <t>Camanggaan</t>
        </is>
      </c>
      <c r="D89" t="inlineStr">
        <is>
          <t>DS 2024-2025</t>
        </is>
      </c>
      <c r="E89" t="n">
        <v>244.44</v>
      </c>
      <c r="F89" t="n">
        <v>30.09</v>
      </c>
      <c r="I89" t="n">
        <v>88</v>
      </c>
      <c r="J89" t="n">
        <v>25.8</v>
      </c>
      <c r="K89" t="n">
        <v>22.2</v>
      </c>
      <c r="L89" t="n">
        <v>30.2</v>
      </c>
      <c r="M89" t="n">
        <v>79</v>
      </c>
      <c r="P89" t="inlineStr">
        <is>
          <t>Sandy Loam</t>
        </is>
      </c>
      <c r="Y89" t="inlineStr">
        <is>
          <t>Conventional Tillage: 1 deep plow (20–25 cm) + 1 harrowing; good tilth easily achieved</t>
        </is>
      </c>
      <c r="Z89" t="inlineStr">
        <is>
          <t>Furrow or sprinkler irrigation; AWD or weekly irrigation; good drainage natural</t>
        </is>
      </c>
      <c r="AA89" t="inlineStr">
        <is>
          <t>Direct Seeding (Hill Planting / Furrow Method)</t>
        </is>
      </c>
      <c r="AP89" t="n">
        <v>7.8</v>
      </c>
    </row>
    <row r="90">
      <c r="B90" t="inlineStr">
        <is>
          <t>Corn</t>
        </is>
      </c>
      <c r="C90" t="inlineStr">
        <is>
          <t>Capas</t>
        </is>
      </c>
      <c r="D90" t="inlineStr">
        <is>
          <t>DS 2024-2025</t>
        </is>
      </c>
      <c r="E90" t="n">
        <v>377.16</v>
      </c>
      <c r="F90" t="n">
        <v>125.63</v>
      </c>
      <c r="I90" t="n">
        <v>88</v>
      </c>
      <c r="J90" t="n">
        <v>25.8</v>
      </c>
      <c r="K90" t="n">
        <v>22.2</v>
      </c>
      <c r="L90" t="n">
        <v>30.2</v>
      </c>
      <c r="M90" t="n">
        <v>79</v>
      </c>
      <c r="P90" t="inlineStr">
        <is>
          <t>Sandy Loam</t>
        </is>
      </c>
      <c r="Y90" t="inlineStr">
        <is>
          <t>Conventional Tillage: 1 deep plow (20–25 cm) + 1 harrowing; good tilth easily achieved</t>
        </is>
      </c>
      <c r="Z90" t="inlineStr">
        <is>
          <t>Furrow or sprinkler irrigation; AWD or weekly irrigation; good drainage natural</t>
        </is>
      </c>
      <c r="AA90" t="inlineStr">
        <is>
          <t>Direct Seeding (Hill Planting / Furrow Method)</t>
        </is>
      </c>
      <c r="AP90" t="n">
        <v>7.8</v>
      </c>
    </row>
    <row r="91">
      <c r="B91" t="inlineStr">
        <is>
          <t>Corn</t>
        </is>
      </c>
      <c r="C91" t="inlineStr">
        <is>
          <t>Cili</t>
        </is>
      </c>
      <c r="D91" t="inlineStr">
        <is>
          <t>DS 2024-2025</t>
        </is>
      </c>
      <c r="E91" t="n">
        <v>264.6</v>
      </c>
      <c r="F91" t="n">
        <v>66.05</v>
      </c>
      <c r="I91" t="n">
        <v>88</v>
      </c>
      <c r="J91" t="n">
        <v>25.8</v>
      </c>
      <c r="K91" t="n">
        <v>22.2</v>
      </c>
      <c r="L91" t="n">
        <v>30.2</v>
      </c>
      <c r="M91" t="n">
        <v>79</v>
      </c>
      <c r="P91" t="inlineStr">
        <is>
          <t>Silty Clay Loam</t>
        </is>
      </c>
      <c r="Y91" t="inlineStr">
        <is>
          <t>Deep Tillage (25 cm): 1–2 plowings; form raised beds 20–25 cm high to prevent waterlogging</t>
        </is>
      </c>
      <c r="Z91" t="inlineStr">
        <is>
          <t>Furrow irrigation only (not flood); ensure bed drainage; drain excess after rain</t>
        </is>
      </c>
      <c r="AA91" t="inlineStr">
        <is>
          <t>Direct Seeding (Furrow Method on Raised Beds)</t>
        </is>
      </c>
      <c r="AP91" t="n">
        <v>7.8</v>
      </c>
    </row>
    <row r="92">
      <c r="B92" t="inlineStr">
        <is>
          <t>Corn</t>
        </is>
      </c>
      <c r="C92" t="inlineStr">
        <is>
          <t>Dumayat</t>
        </is>
      </c>
      <c r="D92" t="inlineStr">
        <is>
          <t>DS 2024-2025</t>
        </is>
      </c>
      <c r="E92" t="n">
        <v>266.28</v>
      </c>
      <c r="F92" t="n">
        <v>40.64</v>
      </c>
      <c r="I92" t="n">
        <v>88</v>
      </c>
      <c r="J92" t="n">
        <v>25.8</v>
      </c>
      <c r="K92" t="n">
        <v>22.2</v>
      </c>
      <c r="L92" t="n">
        <v>30.2</v>
      </c>
      <c r="M92" t="n">
        <v>79</v>
      </c>
      <c r="P92" t="inlineStr">
        <is>
          <t>Silty Clay Loam</t>
        </is>
      </c>
      <c r="Y92" t="inlineStr">
        <is>
          <t>Deep Tillage (25 cm): 1–2 plowings; form raised beds 20–25 cm high to prevent waterlogging</t>
        </is>
      </c>
      <c r="Z92" t="inlineStr">
        <is>
          <t>Furrow irrigation only (not flood); ensure bed drainage; drain excess after rain</t>
        </is>
      </c>
      <c r="AA92" t="inlineStr">
        <is>
          <t>Direct Seeding (Furrow Method on Raised Beds)</t>
        </is>
      </c>
      <c r="AP92" t="n">
        <v>7.8</v>
      </c>
    </row>
    <row r="93">
      <c r="B93" t="inlineStr">
        <is>
          <t>Corn</t>
        </is>
      </c>
      <c r="C93" t="inlineStr">
        <is>
          <t>Linmansangan</t>
        </is>
      </c>
      <c r="D93" t="inlineStr">
        <is>
          <t>DS 2024-2025</t>
        </is>
      </c>
      <c r="E93" t="n">
        <v>492.24</v>
      </c>
      <c r="F93" t="n">
        <v>99.20999999999999</v>
      </c>
      <c r="I93" t="n">
        <v>88</v>
      </c>
      <c r="J93" t="n">
        <v>25.8</v>
      </c>
      <c r="K93" t="n">
        <v>22.2</v>
      </c>
      <c r="L93" t="n">
        <v>30.2</v>
      </c>
      <c r="M93" t="n">
        <v>79</v>
      </c>
      <c r="P93" t="inlineStr">
        <is>
          <t>Silty Clay Loam</t>
        </is>
      </c>
      <c r="Y93" t="inlineStr">
        <is>
          <t>Deep Tillage (25 cm): 1–2 plowings; form raised beds 20–25 cm high to prevent waterlogging</t>
        </is>
      </c>
      <c r="Z93" t="inlineStr">
        <is>
          <t>Furrow irrigation only (not flood); ensure bed drainage; drain excess after rain</t>
        </is>
      </c>
      <c r="AA93" t="inlineStr">
        <is>
          <t>Direct Seeding (Furrow Method on Raised Beds)</t>
        </is>
      </c>
      <c r="AP93" t="n">
        <v>7.8</v>
      </c>
    </row>
    <row r="94">
      <c r="B94" t="inlineStr">
        <is>
          <t>Corn</t>
        </is>
      </c>
      <c r="C94" t="inlineStr">
        <is>
          <t>Mangkasuy</t>
        </is>
      </c>
      <c r="D94" t="inlineStr">
        <is>
          <t>DS 2024-2025</t>
        </is>
      </c>
      <c r="E94" t="n">
        <v>802.2</v>
      </c>
      <c r="F94" t="n">
        <v>112.96</v>
      </c>
      <c r="I94" t="n">
        <v>88</v>
      </c>
      <c r="J94" t="n">
        <v>25.8</v>
      </c>
      <c r="K94" t="n">
        <v>22.2</v>
      </c>
      <c r="L94" t="n">
        <v>30.2</v>
      </c>
      <c r="M94" t="n">
        <v>79</v>
      </c>
      <c r="P94" t="inlineStr">
        <is>
          <t>Sandy Loam</t>
        </is>
      </c>
      <c r="Y94" t="inlineStr">
        <is>
          <t>Conventional Tillage: 1 deep plow (20–25 cm) + 1 harrowing; good tilth easily achieved</t>
        </is>
      </c>
      <c r="Z94" t="inlineStr">
        <is>
          <t>Furrow or sprinkler irrigation; AWD or weekly irrigation; good drainage natural</t>
        </is>
      </c>
      <c r="AA94" t="inlineStr">
        <is>
          <t>Direct Seeding (Hill Planting / Furrow Method)</t>
        </is>
      </c>
      <c r="AP94" t="n">
        <v>7.8</v>
      </c>
    </row>
    <row r="95">
      <c r="B95" t="inlineStr">
        <is>
          <t>Corn</t>
        </is>
      </c>
      <c r="C95" t="inlineStr">
        <is>
          <t>Moreno</t>
        </is>
      </c>
      <c r="D95" t="inlineStr">
        <is>
          <t>DS 2024-2025</t>
        </is>
      </c>
      <c r="E95" t="n">
        <v>641.76</v>
      </c>
      <c r="F95" t="n">
        <v>70.75</v>
      </c>
      <c r="I95" t="n">
        <v>88</v>
      </c>
      <c r="J95" t="n">
        <v>25.8</v>
      </c>
      <c r="K95" t="n">
        <v>22.2</v>
      </c>
      <c r="L95" t="n">
        <v>30.2</v>
      </c>
      <c r="M95" t="n">
        <v>79</v>
      </c>
      <c r="P95" t="inlineStr">
        <is>
          <t>Sandy Loam</t>
        </is>
      </c>
      <c r="Y95" t="inlineStr">
        <is>
          <t>Conventional Tillage: 1 deep plow (20–25 cm) + 1 harrowing; good tilth easily achieved</t>
        </is>
      </c>
      <c r="Z95" t="inlineStr">
        <is>
          <t>Furrow or sprinkler irrigation; AWD or weekly irrigation; good drainage natural</t>
        </is>
      </c>
      <c r="AA95" t="inlineStr">
        <is>
          <t>Direct Seeding (Hill Planting / Furrow Method)</t>
        </is>
      </c>
      <c r="AP95" t="n">
        <v>7.8</v>
      </c>
    </row>
    <row r="96">
      <c r="B96" t="inlineStr">
        <is>
          <t>Corn</t>
        </is>
      </c>
      <c r="C96" t="inlineStr">
        <is>
          <t>Pasileng Norte</t>
        </is>
      </c>
      <c r="D96" t="inlineStr">
        <is>
          <t>DS 2024-2025</t>
        </is>
      </c>
      <c r="E96" t="n">
        <v>140.28</v>
      </c>
      <c r="F96" t="n">
        <v>44.51</v>
      </c>
      <c r="I96" t="n">
        <v>88</v>
      </c>
      <c r="J96" t="n">
        <v>25.8</v>
      </c>
      <c r="K96" t="n">
        <v>22.2</v>
      </c>
      <c r="L96" t="n">
        <v>30.2</v>
      </c>
      <c r="M96" t="n">
        <v>79</v>
      </c>
      <c r="P96" t="inlineStr">
        <is>
          <t>Sandy Loam</t>
        </is>
      </c>
      <c r="Y96" t="inlineStr">
        <is>
          <t>Conventional Tillage: 1 deep plow (20–25 cm) + 1 harrowing; good tilth easily achieved</t>
        </is>
      </c>
      <c r="Z96" t="inlineStr">
        <is>
          <t>Furrow or sprinkler irrigation; AWD or weekly irrigation; good drainage natural</t>
        </is>
      </c>
      <c r="AA96" t="inlineStr">
        <is>
          <t>Direct Seeding (Hill Planting / Furrow Method)</t>
        </is>
      </c>
      <c r="AP96" t="n">
        <v>7.8</v>
      </c>
    </row>
    <row r="97">
      <c r="B97" t="inlineStr">
        <is>
          <t>Corn</t>
        </is>
      </c>
      <c r="C97" t="inlineStr">
        <is>
          <t>Pasileng Sur</t>
        </is>
      </c>
      <c r="D97" t="inlineStr">
        <is>
          <t>DS 2024-2025</t>
        </is>
      </c>
      <c r="E97" t="n">
        <v>414.96</v>
      </c>
      <c r="F97" t="n">
        <v>85.38</v>
      </c>
      <c r="I97" t="n">
        <v>88</v>
      </c>
      <c r="J97" t="n">
        <v>25.8</v>
      </c>
      <c r="K97" t="n">
        <v>22.2</v>
      </c>
      <c r="L97" t="n">
        <v>30.2</v>
      </c>
      <c r="M97" t="n">
        <v>79</v>
      </c>
      <c r="P97" t="inlineStr">
        <is>
          <t>Sandy Loam</t>
        </is>
      </c>
      <c r="Y97" t="inlineStr">
        <is>
          <t>Conventional Tillage: 1 deep plow (20–25 cm) + 1 harrowing; good tilth easily achieved</t>
        </is>
      </c>
      <c r="Z97" t="inlineStr">
        <is>
          <t>Furrow or sprinkler irrigation; AWD or weekly irrigation; good drainage natural</t>
        </is>
      </c>
      <c r="AA97" t="inlineStr">
        <is>
          <t>Direct Seeding (Hill Planting / Furrow Method)</t>
        </is>
      </c>
      <c r="AP97" t="n">
        <v>7.8</v>
      </c>
    </row>
    <row r="98">
      <c r="B98" t="inlineStr">
        <is>
          <t>Corn</t>
        </is>
      </c>
      <c r="C98" t="inlineStr">
        <is>
          <t>San Felipe Central</t>
        </is>
      </c>
      <c r="D98" t="inlineStr">
        <is>
          <t>DS 2024-2025</t>
        </is>
      </c>
      <c r="E98" t="n">
        <v>452.76</v>
      </c>
      <c r="F98" t="n">
        <v>81.19</v>
      </c>
      <c r="I98" t="n">
        <v>88</v>
      </c>
      <c r="J98" t="n">
        <v>25.8</v>
      </c>
      <c r="K98" t="n">
        <v>22.2</v>
      </c>
      <c r="L98" t="n">
        <v>30.2</v>
      </c>
      <c r="M98" t="n">
        <v>79</v>
      </c>
      <c r="P98" t="inlineStr">
        <is>
          <t>Sandy Loam</t>
        </is>
      </c>
      <c r="Y98" t="inlineStr">
        <is>
          <t>Conventional Tillage: 1 deep plow (20–25 cm) + 1 harrowing; good tilth easily achieved</t>
        </is>
      </c>
      <c r="Z98" t="inlineStr">
        <is>
          <t>Furrow or sprinkler irrigation; AWD or weekly irrigation; good drainage natural</t>
        </is>
      </c>
      <c r="AA98" t="inlineStr">
        <is>
          <t>Direct Seeding (Hill Planting / Furrow Method)</t>
        </is>
      </c>
      <c r="AP98" t="n">
        <v>7.8</v>
      </c>
    </row>
    <row r="99">
      <c r="B99" t="inlineStr">
        <is>
          <t>Corn</t>
        </is>
      </c>
      <c r="C99" t="inlineStr">
        <is>
          <t>San Felipe Sur</t>
        </is>
      </c>
      <c r="D99" t="inlineStr">
        <is>
          <t>DS 2024-2025</t>
        </is>
      </c>
      <c r="E99" t="n">
        <v>504</v>
      </c>
      <c r="F99" t="n">
        <v>84.17</v>
      </c>
      <c r="I99" t="n">
        <v>88</v>
      </c>
      <c r="J99" t="n">
        <v>25.8</v>
      </c>
      <c r="K99" t="n">
        <v>22.2</v>
      </c>
      <c r="L99" t="n">
        <v>30.2</v>
      </c>
      <c r="M99" t="n">
        <v>79</v>
      </c>
      <c r="P99" t="inlineStr">
        <is>
          <t>Sandy Loam</t>
        </is>
      </c>
      <c r="Y99" t="inlineStr">
        <is>
          <t>Conventional Tillage: 1 deep plow (20–25 cm) + 1 harrowing; good tilth easily achieved</t>
        </is>
      </c>
      <c r="Z99" t="inlineStr">
        <is>
          <t>Furrow or sprinkler irrigation; AWD or weekly irrigation; good drainage natural</t>
        </is>
      </c>
      <c r="AA99" t="inlineStr">
        <is>
          <t>Direct Seeding (Hill Planting / Furrow Method)</t>
        </is>
      </c>
      <c r="AP99" t="n">
        <v>7.8</v>
      </c>
    </row>
    <row r="100">
      <c r="B100" t="inlineStr">
        <is>
          <t>Corn</t>
        </is>
      </c>
      <c r="C100" t="inlineStr">
        <is>
          <t>San Pablo</t>
        </is>
      </c>
      <c r="D100" t="inlineStr">
        <is>
          <t>DS 2024-2025</t>
        </is>
      </c>
      <c r="E100" t="n">
        <v>215.04</v>
      </c>
      <c r="F100" t="n">
        <v>65.08</v>
      </c>
      <c r="I100" t="n">
        <v>88</v>
      </c>
      <c r="J100" t="n">
        <v>25.8</v>
      </c>
      <c r="K100" t="n">
        <v>22.2</v>
      </c>
      <c r="L100" t="n">
        <v>30.2</v>
      </c>
      <c r="M100" t="n">
        <v>79</v>
      </c>
      <c r="P100" t="inlineStr">
        <is>
          <t>Sandy Loam</t>
        </is>
      </c>
      <c r="Y100" t="inlineStr">
        <is>
          <t>Conventional Tillage: 1 deep plow (20–25 cm) + 1 harrowing; good tilth easily achieved</t>
        </is>
      </c>
      <c r="Z100" t="inlineStr">
        <is>
          <t>Furrow or sprinkler irrigation; AWD or weekly irrigation; good drainage natural</t>
        </is>
      </c>
      <c r="AA100" t="inlineStr">
        <is>
          <t>Direct Seeding (Hill Planting / Furrow Method)</t>
        </is>
      </c>
      <c r="AP100" t="n">
        <v>7.8</v>
      </c>
    </row>
    <row r="101">
      <c r="B101" t="inlineStr">
        <is>
          <t>Corn</t>
        </is>
      </c>
      <c r="C101" t="inlineStr">
        <is>
          <t>Santiago</t>
        </is>
      </c>
      <c r="D101" t="inlineStr">
        <is>
          <t>DS 2024-2025</t>
        </is>
      </c>
      <c r="E101" t="n">
        <v>283.08</v>
      </c>
      <c r="F101" t="n">
        <v>86.38</v>
      </c>
      <c r="I101" t="n">
        <v>88</v>
      </c>
      <c r="J101" t="n">
        <v>25.8</v>
      </c>
      <c r="K101" t="n">
        <v>22.2</v>
      </c>
      <c r="L101" t="n">
        <v>30.2</v>
      </c>
      <c r="M101" t="n">
        <v>79</v>
      </c>
      <c r="P101" t="inlineStr">
        <is>
          <t>Silty Clay Loam</t>
        </is>
      </c>
      <c r="Y101" t="inlineStr">
        <is>
          <t>Deep Tillage (25 cm): 1–2 plowings; form raised beds 20–25 cm high to prevent waterlogging</t>
        </is>
      </c>
      <c r="Z101" t="inlineStr">
        <is>
          <t>Furrow irrigation only (not flood); ensure bed drainage; drain excess after rain</t>
        </is>
      </c>
      <c r="AA101" t="inlineStr">
        <is>
          <t>Direct Seeding (Furrow Method on Raised Beds)</t>
        </is>
      </c>
      <c r="AP101" t="n">
        <v>7.8</v>
      </c>
    </row>
    <row r="102">
      <c r="B102" t="inlineStr">
        <is>
          <t>Corn</t>
        </is>
      </c>
      <c r="C102" t="inlineStr">
        <is>
          <t>Sta. Catalina</t>
        </is>
      </c>
      <c r="D102" t="inlineStr">
        <is>
          <t>DS 2024-2025</t>
        </is>
      </c>
      <c r="E102" t="n">
        <v>709.8</v>
      </c>
      <c r="F102" t="n">
        <v>98.76000000000001</v>
      </c>
      <c r="I102" t="n">
        <v>88</v>
      </c>
      <c r="J102" t="n">
        <v>25.8</v>
      </c>
      <c r="K102" t="n">
        <v>22.2</v>
      </c>
      <c r="L102" t="n">
        <v>30.2</v>
      </c>
      <c r="M102" t="n">
        <v>79</v>
      </c>
      <c r="P102" t="inlineStr">
        <is>
          <t>Fine Sand / Sandy Loam</t>
        </is>
      </c>
      <c r="Y102" t="inlineStr">
        <is>
          <t>Minimum Tillage; deep ripping to break hardpan; avoid over-disturbance</t>
        </is>
      </c>
      <c r="Z102" t="inlineStr">
        <is>
          <t>Furrow irrigation; frequent light watering; mulch to retain soil moisture</t>
        </is>
      </c>
      <c r="AA102" t="inlineStr">
        <is>
          <t>Direct Seeding (Hills or Furrow Method)</t>
        </is>
      </c>
      <c r="AP102" t="n">
        <v>7.8</v>
      </c>
    </row>
    <row r="103">
      <c r="B103" t="inlineStr">
        <is>
          <t>Corn</t>
        </is>
      </c>
      <c r="C103" t="inlineStr">
        <is>
          <t>Sta. Maria Norte</t>
        </is>
      </c>
      <c r="D103" t="inlineStr">
        <is>
          <t>DS 2024-2025</t>
        </is>
      </c>
      <c r="E103" t="n">
        <v>157.08</v>
      </c>
      <c r="F103" t="n">
        <v>28.97</v>
      </c>
      <c r="I103" t="n">
        <v>88</v>
      </c>
      <c r="J103" t="n">
        <v>25.8</v>
      </c>
      <c r="K103" t="n">
        <v>22.2</v>
      </c>
      <c r="L103" t="n">
        <v>30.2</v>
      </c>
      <c r="M103" t="n">
        <v>79</v>
      </c>
      <c r="P103" t="inlineStr">
        <is>
          <t>Sandy Loam</t>
        </is>
      </c>
      <c r="Y103" t="inlineStr">
        <is>
          <t>Conventional Tillage: 1 deep plow (20–25 cm) + 1 harrowing; good tilth easily achieved</t>
        </is>
      </c>
      <c r="Z103" t="inlineStr">
        <is>
          <t>Furrow or sprinkler irrigation; AWD or weekly irrigation; good drainage natural</t>
        </is>
      </c>
      <c r="AA103" t="inlineStr">
        <is>
          <t>Direct Seeding (Hill Planting / Furrow Method)</t>
        </is>
      </c>
      <c r="AP103" t="n">
        <v>7.8</v>
      </c>
    </row>
    <row r="104">
      <c r="B104" t="inlineStr">
        <is>
          <t>Corn</t>
        </is>
      </c>
      <c r="C104" t="inlineStr">
        <is>
          <t>Sumabnit</t>
        </is>
      </c>
      <c r="D104" t="inlineStr">
        <is>
          <t>DS 2024-2025</t>
        </is>
      </c>
      <c r="E104" t="n">
        <v>406.56</v>
      </c>
      <c r="F104" t="n">
        <v>89.33</v>
      </c>
      <c r="I104" t="n">
        <v>88</v>
      </c>
      <c r="J104" t="n">
        <v>25.8</v>
      </c>
      <c r="K104" t="n">
        <v>22.2</v>
      </c>
      <c r="L104" t="n">
        <v>30.2</v>
      </c>
      <c r="M104" t="n">
        <v>79</v>
      </c>
      <c r="P104" t="inlineStr">
        <is>
          <t>Silty Clay Loam / Fine Sandy Loam</t>
        </is>
      </c>
      <c r="Y104" t="inlineStr">
        <is>
          <t>Minimum Tillage; deep ripping to break hardpan; avoid over-disturbance</t>
        </is>
      </c>
      <c r="Z104" t="inlineStr">
        <is>
          <t>Furrow irrigation; frequent light watering; mulch to retain soil moisture</t>
        </is>
      </c>
      <c r="AA104" t="inlineStr">
        <is>
          <t>Direct Seeding (Hills or Furrow Method)</t>
        </is>
      </c>
      <c r="AP104" t="n">
        <v>7.8</v>
      </c>
    </row>
    <row r="105">
      <c r="B105" t="inlineStr">
        <is>
          <t>Corn</t>
        </is>
      </c>
      <c r="C105" t="inlineStr">
        <is>
          <t>Tabuyoc</t>
        </is>
      </c>
      <c r="D105" t="inlineStr">
        <is>
          <t>DS 2024-2025</t>
        </is>
      </c>
      <c r="E105" t="n">
        <v>277.2</v>
      </c>
      <c r="F105" t="n">
        <v>68.93000000000001</v>
      </c>
      <c r="I105" t="n">
        <v>88</v>
      </c>
      <c r="J105" t="n">
        <v>25.8</v>
      </c>
      <c r="K105" t="n">
        <v>22.2</v>
      </c>
      <c r="L105" t="n">
        <v>30.2</v>
      </c>
      <c r="M105" t="n">
        <v>79</v>
      </c>
      <c r="P105" t="inlineStr">
        <is>
          <t>Silty Clay Loam</t>
        </is>
      </c>
      <c r="Y105" t="inlineStr">
        <is>
          <t>Deep Tillage (25 cm): 1–2 plowings; form raised beds 20–25 cm high to prevent waterlogging</t>
        </is>
      </c>
      <c r="Z105" t="inlineStr">
        <is>
          <t>Furrow irrigation only (not flood); ensure bed drainage; drain excess after rain</t>
        </is>
      </c>
      <c r="AA105" t="inlineStr">
        <is>
          <t>Direct Seeding (Furrow Method on Raised Beds)</t>
        </is>
      </c>
      <c r="AP105" t="n">
        <v>7.8</v>
      </c>
    </row>
    <row r="106">
      <c r="B106" t="inlineStr">
        <is>
          <t>Corn</t>
        </is>
      </c>
      <c r="C106" t="inlineStr">
        <is>
          <t>Vacante</t>
        </is>
      </c>
      <c r="D106" t="inlineStr">
        <is>
          <t>DS 2024-2025</t>
        </is>
      </c>
      <c r="E106" t="n">
        <v>484.68</v>
      </c>
      <c r="F106" t="n">
        <v>58.04</v>
      </c>
      <c r="I106" t="n">
        <v>88</v>
      </c>
      <c r="J106" t="n">
        <v>25.8</v>
      </c>
      <c r="K106" t="n">
        <v>22.2</v>
      </c>
      <c r="L106" t="n">
        <v>30.2</v>
      </c>
      <c r="M106" t="n">
        <v>79</v>
      </c>
      <c r="P106" t="inlineStr">
        <is>
          <t>Silty Clay Loam</t>
        </is>
      </c>
      <c r="Y106" t="inlineStr">
        <is>
          <t>Deep Tillage (25 cm): 1–2 plowings; form raised beds 20–25 cm high to prevent waterlogging</t>
        </is>
      </c>
      <c r="Z106" t="inlineStr">
        <is>
          <t>Furrow irrigation only (not flood); ensure bed drainage; drain excess after rain</t>
        </is>
      </c>
      <c r="AA106" t="inlineStr">
        <is>
          <t>Direct Seeding (Furrow Method on Raised Beds)</t>
        </is>
      </c>
      <c r="AP106" t="n">
        <v>7.8</v>
      </c>
    </row>
    <row r="107">
      <c r="B107" t="inlineStr">
        <is>
          <t>Palay</t>
        </is>
      </c>
      <c r="C107" t="inlineStr">
        <is>
          <t>Balangobong</t>
        </is>
      </c>
      <c r="D107" t="inlineStr">
        <is>
          <t>DS 2007</t>
        </is>
      </c>
      <c r="E107" t="n">
        <v>281.4</v>
      </c>
      <c r="F107" t="n">
        <v>24</v>
      </c>
      <c r="G107" t="n">
        <v>4</v>
      </c>
      <c r="H107" t="n">
        <v>35.32</v>
      </c>
      <c r="I107" t="n">
        <v>0.4</v>
      </c>
      <c r="J107" t="n">
        <v>24.24</v>
      </c>
      <c r="K107" t="n">
        <v>16.82</v>
      </c>
      <c r="L107" t="n">
        <v>31.18</v>
      </c>
      <c r="M107" t="n">
        <v>79.65000000000001</v>
      </c>
      <c r="N107" t="n">
        <v>98.68000000000001</v>
      </c>
      <c r="O107" t="n">
        <v>16.49</v>
      </c>
      <c r="P107" t="inlineStr">
        <is>
          <t>Silty Clay Loam</t>
        </is>
      </c>
      <c r="Y107" t="inlineStr">
        <is>
          <t>Wet Tillage (Puddling): 2 plowings + thorough harrowing under flooded condition</t>
        </is>
      </c>
      <c r="Z107" t="inlineStr">
        <is>
          <t>Continuous flooding 2–5 cm depth during vegetative stage; drain 2 weeks before harvest</t>
        </is>
      </c>
      <c r="AA107" t="inlineStr">
        <is>
          <t>Transplanting (Pindot) — optimal for clay-loam paddy fields</t>
        </is>
      </c>
      <c r="AP107" t="n">
        <v>6.5</v>
      </c>
    </row>
    <row r="108">
      <c r="B108" t="inlineStr">
        <is>
          <t>Palay</t>
        </is>
      </c>
      <c r="C108" t="inlineStr">
        <is>
          <t>Bued</t>
        </is>
      </c>
      <c r="D108" t="inlineStr">
        <is>
          <t>DS 2007</t>
        </is>
      </c>
      <c r="E108" t="n">
        <v>210.84</v>
      </c>
      <c r="F108" t="n">
        <v>34.1</v>
      </c>
      <c r="G108" t="n">
        <v>2</v>
      </c>
      <c r="H108" t="n">
        <v>35.32</v>
      </c>
      <c r="I108" t="n">
        <v>0.4</v>
      </c>
      <c r="J108" t="n">
        <v>24.24</v>
      </c>
      <c r="K108" t="n">
        <v>16.82</v>
      </c>
      <c r="L108" t="n">
        <v>31.18</v>
      </c>
      <c r="M108" t="n">
        <v>79.65000000000001</v>
      </c>
      <c r="N108" t="n">
        <v>98.68000000000001</v>
      </c>
      <c r="O108" t="n">
        <v>16.49</v>
      </c>
      <c r="P108" t="inlineStr">
        <is>
          <t>Silty Clay Loam</t>
        </is>
      </c>
      <c r="Y108" t="inlineStr">
        <is>
          <t>Wet Tillage (Puddling): 2 plowings + thorough harrowing under flooded condition</t>
        </is>
      </c>
      <c r="Z108" t="inlineStr">
        <is>
          <t>Continuous flooding 2–5 cm depth during vegetative stage; drain 2 weeks before harvest</t>
        </is>
      </c>
      <c r="AA108" t="inlineStr">
        <is>
          <t>Transplanting (Pindot) — optimal for clay-loam paddy fields</t>
        </is>
      </c>
      <c r="AP108" t="n">
        <v>8</v>
      </c>
    </row>
    <row r="109">
      <c r="B109" t="inlineStr">
        <is>
          <t>Palay</t>
        </is>
      </c>
      <c r="C109" t="inlineStr">
        <is>
          <t>Bugayong</t>
        </is>
      </c>
      <c r="D109" t="inlineStr">
        <is>
          <t>DS 2007</t>
        </is>
      </c>
      <c r="E109" t="n">
        <v>346.08</v>
      </c>
      <c r="F109" t="n">
        <v>20</v>
      </c>
      <c r="G109" t="n">
        <v>2</v>
      </c>
      <c r="H109" t="n">
        <v>41.02</v>
      </c>
      <c r="I109" t="n">
        <v>0.4</v>
      </c>
      <c r="J109" t="n">
        <v>24.24</v>
      </c>
      <c r="K109" t="n">
        <v>16.82</v>
      </c>
      <c r="L109" t="n">
        <v>31.18</v>
      </c>
      <c r="M109" t="n">
        <v>79.65000000000001</v>
      </c>
      <c r="N109" t="n">
        <v>98.68000000000001</v>
      </c>
      <c r="O109" t="n">
        <v>16.49</v>
      </c>
      <c r="P109" t="inlineStr">
        <is>
          <t>Sandy Loam / Silty Clay Loam</t>
        </is>
      </c>
      <c r="Y109" t="inlineStr">
        <is>
          <t>Conventional Tillage: 2 plowings + harrowing; puddle thoroughly for transplanting</t>
        </is>
      </c>
      <c r="Z109" t="inlineStr">
        <is>
          <t>Intermittent to continuous flooding; manage according to drainage section present</t>
        </is>
      </c>
      <c r="AA109" t="inlineStr">
        <is>
          <t>Transplanting (Pindot) — recommended; Direct Seeding possible in dry season</t>
        </is>
      </c>
      <c r="AP109" t="n">
        <v>5.75</v>
      </c>
    </row>
    <row r="110">
      <c r="B110" t="inlineStr">
        <is>
          <t>Palay</t>
        </is>
      </c>
      <c r="C110" t="inlineStr">
        <is>
          <t>Camanggaan</t>
        </is>
      </c>
      <c r="D110" t="inlineStr">
        <is>
          <t>DS 2007</t>
        </is>
      </c>
      <c r="E110" t="n">
        <v>244.44</v>
      </c>
      <c r="F110" t="n">
        <v>38.83</v>
      </c>
      <c r="G110" t="n">
        <v>5.43</v>
      </c>
      <c r="H110" t="n">
        <v>52.42</v>
      </c>
      <c r="I110" t="n">
        <v>0.4</v>
      </c>
      <c r="J110" t="n">
        <v>24.24</v>
      </c>
      <c r="K110" t="n">
        <v>16.82</v>
      </c>
      <c r="L110" t="n">
        <v>31.18</v>
      </c>
      <c r="M110" t="n">
        <v>79.65000000000001</v>
      </c>
      <c r="N110" t="n">
        <v>98.68000000000001</v>
      </c>
      <c r="O110" t="n">
        <v>16.49</v>
      </c>
      <c r="P110" t="inlineStr">
        <is>
          <t>Sandy Loam</t>
        </is>
      </c>
      <c r="Y110" t="inlineStr">
        <is>
          <t>Conventional Tillage: 2 plowings + 2 harrowings; soil workable when moist</t>
        </is>
      </c>
      <c r="Z110" t="inlineStr">
        <is>
          <t>Intermittent irrigation (Alternate Wetting and Drying — AWD); moderate retention</t>
        </is>
      </c>
      <c r="AA110" t="inlineStr">
        <is>
          <t>Transplanting (Pindot) or Direct Seeding (Pinaghandaan)</t>
        </is>
      </c>
      <c r="AP110" t="n">
        <v>8</v>
      </c>
    </row>
    <row r="111">
      <c r="B111" t="inlineStr">
        <is>
          <t>Palay</t>
        </is>
      </c>
      <c r="C111" t="inlineStr">
        <is>
          <t>Capas</t>
        </is>
      </c>
      <c r="D111" t="inlineStr">
        <is>
          <t>DS 2007</t>
        </is>
      </c>
      <c r="E111" t="n">
        <v>377.16</v>
      </c>
      <c r="F111" t="n">
        <v>58</v>
      </c>
      <c r="G111" t="n">
        <v>4</v>
      </c>
      <c r="H111" t="n">
        <v>52.42</v>
      </c>
      <c r="I111" t="n">
        <v>0.4</v>
      </c>
      <c r="J111" t="n">
        <v>24.24</v>
      </c>
      <c r="K111" t="n">
        <v>16.82</v>
      </c>
      <c r="L111" t="n">
        <v>31.18</v>
      </c>
      <c r="M111" t="n">
        <v>79.65000000000001</v>
      </c>
      <c r="N111" t="n">
        <v>98.68000000000001</v>
      </c>
      <c r="O111" t="n">
        <v>16.49</v>
      </c>
      <c r="P111" t="inlineStr">
        <is>
          <t>Sandy Loam</t>
        </is>
      </c>
      <c r="Y111" t="inlineStr">
        <is>
          <t>Conventional Tillage: 2 plowings + 2 harrowings; soil workable when moist</t>
        </is>
      </c>
      <c r="Z111" t="inlineStr">
        <is>
          <t>Intermittent irrigation (Alternate Wetting and Drying — AWD); moderate retention</t>
        </is>
      </c>
      <c r="AA111" t="inlineStr">
        <is>
          <t>Transplanting (Pindot) or Direct Seeding (Pinaghandaan)</t>
        </is>
      </c>
      <c r="AP111" t="n">
        <v>5.5</v>
      </c>
    </row>
    <row r="112">
      <c r="B112" t="inlineStr">
        <is>
          <t>Palay</t>
        </is>
      </c>
      <c r="C112" t="inlineStr">
        <is>
          <t>Cili</t>
        </is>
      </c>
      <c r="D112" t="inlineStr">
        <is>
          <t>DS 2007</t>
        </is>
      </c>
      <c r="E112" t="n">
        <v>264.6</v>
      </c>
      <c r="F112" t="n">
        <v>14</v>
      </c>
      <c r="G112" t="n">
        <v>2</v>
      </c>
      <c r="H112" t="n">
        <v>35.32</v>
      </c>
      <c r="I112" t="n">
        <v>0.4</v>
      </c>
      <c r="J112" t="n">
        <v>24.24</v>
      </c>
      <c r="K112" t="n">
        <v>16.82</v>
      </c>
      <c r="L112" t="n">
        <v>31.18</v>
      </c>
      <c r="M112" t="n">
        <v>79.65000000000001</v>
      </c>
      <c r="N112" t="n">
        <v>98.68000000000001</v>
      </c>
      <c r="O112" t="n">
        <v>16.49</v>
      </c>
      <c r="P112" t="inlineStr">
        <is>
          <t>Silty Clay Loam</t>
        </is>
      </c>
      <c r="Y112" t="inlineStr">
        <is>
          <t>Wet Tillage (Puddling): 2 plowings + thorough harrowing under flooded condition</t>
        </is>
      </c>
      <c r="Z112" t="inlineStr">
        <is>
          <t>Continuous flooding 2–5 cm depth during vegetative stage; drain 2 weeks before harvest</t>
        </is>
      </c>
      <c r="AA112" t="inlineStr">
        <is>
          <t>Transplanting (Pindot) — optimal for clay-loam paddy fields</t>
        </is>
      </c>
      <c r="AP112" t="n">
        <v>8</v>
      </c>
    </row>
    <row r="113">
      <c r="B113" t="inlineStr">
        <is>
          <t>Palay</t>
        </is>
      </c>
      <c r="C113" t="inlineStr">
        <is>
          <t>Dumayat</t>
        </is>
      </c>
      <c r="D113" t="inlineStr">
        <is>
          <t>DS 2007</t>
        </is>
      </c>
      <c r="E113" t="n">
        <v>266.28</v>
      </c>
      <c r="F113" t="n">
        <v>12.25</v>
      </c>
      <c r="G113" t="n">
        <v>2</v>
      </c>
      <c r="H113" t="n">
        <v>35.32</v>
      </c>
      <c r="I113" t="n">
        <v>0.4</v>
      </c>
      <c r="J113" t="n">
        <v>24.24</v>
      </c>
      <c r="K113" t="n">
        <v>16.82</v>
      </c>
      <c r="L113" t="n">
        <v>31.18</v>
      </c>
      <c r="M113" t="n">
        <v>79.65000000000001</v>
      </c>
      <c r="N113" t="n">
        <v>98.68000000000001</v>
      </c>
      <c r="O113" t="n">
        <v>16.49</v>
      </c>
      <c r="P113" t="inlineStr">
        <is>
          <t>Silty Clay Loam</t>
        </is>
      </c>
      <c r="Y113" t="inlineStr">
        <is>
          <t>Wet Tillage (Puddling): 2 plowings + thorough harrowing under flooded condition</t>
        </is>
      </c>
      <c r="Z113" t="inlineStr">
        <is>
          <t>Continuous flooding 2–5 cm depth during vegetative stage; drain 2 weeks before harvest</t>
        </is>
      </c>
      <c r="AA113" t="inlineStr">
        <is>
          <t>Transplanting (Pindot) — optimal for clay-loam paddy fields</t>
        </is>
      </c>
      <c r="AP113" t="n">
        <v>8</v>
      </c>
    </row>
    <row r="114">
      <c r="B114" t="inlineStr">
        <is>
          <t>Palay</t>
        </is>
      </c>
      <c r="C114" t="inlineStr">
        <is>
          <t>Linmansangan</t>
        </is>
      </c>
      <c r="D114" t="inlineStr">
        <is>
          <t>DS 2007</t>
        </is>
      </c>
      <c r="E114" t="n">
        <v>492.24</v>
      </c>
      <c r="F114" t="n">
        <v>12.25</v>
      </c>
      <c r="G114" t="n">
        <v>2</v>
      </c>
      <c r="H114" t="n">
        <v>81.66</v>
      </c>
      <c r="I114" t="n">
        <v>0.4</v>
      </c>
      <c r="J114" t="n">
        <v>24.24</v>
      </c>
      <c r="K114" t="n">
        <v>16.82</v>
      </c>
      <c r="L114" t="n">
        <v>31.18</v>
      </c>
      <c r="M114" t="n">
        <v>79.65000000000001</v>
      </c>
      <c r="N114" t="n">
        <v>98.68000000000001</v>
      </c>
      <c r="O114" t="n">
        <v>16.49</v>
      </c>
      <c r="P114" t="inlineStr">
        <is>
          <t>Silty Clay Loam</t>
        </is>
      </c>
      <c r="Y114" t="inlineStr">
        <is>
          <t>Wet Tillage (Puddling): 2 plowings + thorough harrowing under flooded condition</t>
        </is>
      </c>
      <c r="Z114" t="inlineStr">
        <is>
          <t>Continuous flooding 2–5 cm depth during vegetative stage; drain 2 weeks before harvest</t>
        </is>
      </c>
      <c r="AA114" t="inlineStr">
        <is>
          <t>Transplanting (Pindot) — optimal for clay-loam paddy fields</t>
        </is>
      </c>
      <c r="AP114" t="n">
        <v>5.5</v>
      </c>
    </row>
    <row r="115">
      <c r="B115" t="inlineStr">
        <is>
          <t>Palay</t>
        </is>
      </c>
      <c r="C115" t="inlineStr">
        <is>
          <t>Mangkasuy</t>
        </is>
      </c>
      <c r="D115" t="inlineStr">
        <is>
          <t>DS 2007</t>
        </is>
      </c>
      <c r="E115" t="n">
        <v>802.2</v>
      </c>
      <c r="F115" t="n">
        <v>12.25</v>
      </c>
      <c r="G115" t="n">
        <v>2</v>
      </c>
      <c r="H115" t="n">
        <v>70.81999999999999</v>
      </c>
      <c r="I115" t="n">
        <v>0.4</v>
      </c>
      <c r="J115" t="n">
        <v>24.24</v>
      </c>
      <c r="K115" t="n">
        <v>16.82</v>
      </c>
      <c r="L115" t="n">
        <v>31.18</v>
      </c>
      <c r="M115" t="n">
        <v>79.65000000000001</v>
      </c>
      <c r="N115" t="n">
        <v>98.68000000000001</v>
      </c>
      <c r="O115" t="n">
        <v>16.49</v>
      </c>
      <c r="P115" t="inlineStr">
        <is>
          <t>Sandy Loam</t>
        </is>
      </c>
      <c r="Y115" t="inlineStr">
        <is>
          <t>Conventional Tillage: 2 plowings + 2 harrowings; soil workable when moist</t>
        </is>
      </c>
      <c r="Z115" t="inlineStr">
        <is>
          <t>Intermittent irrigation (Alternate Wetting and Drying — AWD); moderate retention</t>
        </is>
      </c>
      <c r="AA115" t="inlineStr">
        <is>
          <t>Transplanting (Pindot) or Direct Seeding (Pinaghandaan)</t>
        </is>
      </c>
      <c r="AP115" t="n">
        <v>5.86</v>
      </c>
    </row>
    <row r="116">
      <c r="B116" t="inlineStr">
        <is>
          <t>Palay</t>
        </is>
      </c>
      <c r="C116" t="inlineStr">
        <is>
          <t>Moreno</t>
        </is>
      </c>
      <c r="D116" t="inlineStr">
        <is>
          <t>DS 2007</t>
        </is>
      </c>
      <c r="E116" t="n">
        <v>641.76</v>
      </c>
      <c r="F116" t="n">
        <v>28.92</v>
      </c>
      <c r="G116" t="n">
        <v>2</v>
      </c>
      <c r="H116" t="n">
        <v>135.56</v>
      </c>
      <c r="I116" t="n">
        <v>0.4</v>
      </c>
      <c r="J116" t="n">
        <v>24.24</v>
      </c>
      <c r="K116" t="n">
        <v>16.82</v>
      </c>
      <c r="L116" t="n">
        <v>31.18</v>
      </c>
      <c r="M116" t="n">
        <v>79.65000000000001</v>
      </c>
      <c r="N116" t="n">
        <v>98.68000000000001</v>
      </c>
      <c r="O116" t="n">
        <v>16.49</v>
      </c>
      <c r="P116" t="inlineStr">
        <is>
          <t>Sandy Loam</t>
        </is>
      </c>
      <c r="Y116" t="inlineStr">
        <is>
          <t>Conventional Tillage: 2 plowings + 2 harrowings; soil workable when moist</t>
        </is>
      </c>
      <c r="Z116" t="inlineStr">
        <is>
          <t>Intermittent irrigation (Alternate Wetting and Drying — AWD); moderate retention; terrace or bund-assisted water retention essential on slopes</t>
        </is>
      </c>
      <c r="AA116" t="inlineStr">
        <is>
          <t>Transplanting (Pindot) or Direct Seeding (Pinaghandaan)</t>
        </is>
      </c>
      <c r="AP116" t="n">
        <v>8</v>
      </c>
    </row>
    <row r="117">
      <c r="B117" t="inlineStr">
        <is>
          <t>Palay</t>
        </is>
      </c>
      <c r="C117" t="inlineStr">
        <is>
          <t>Pasileng Norte</t>
        </is>
      </c>
      <c r="D117" t="inlineStr">
        <is>
          <t>DS 2007</t>
        </is>
      </c>
      <c r="E117" t="n">
        <v>140.28</v>
      </c>
      <c r="F117" t="n">
        <v>69</v>
      </c>
      <c r="G117" t="n">
        <v>6</v>
      </c>
      <c r="H117" t="n">
        <v>26.4</v>
      </c>
      <c r="I117" t="n">
        <v>0.4</v>
      </c>
      <c r="J117" t="n">
        <v>24.24</v>
      </c>
      <c r="K117" t="n">
        <v>16.82</v>
      </c>
      <c r="L117" t="n">
        <v>31.18</v>
      </c>
      <c r="M117" t="n">
        <v>79.65000000000001</v>
      </c>
      <c r="N117" t="n">
        <v>98.68000000000001</v>
      </c>
      <c r="O117" t="n">
        <v>16.49</v>
      </c>
      <c r="P117" t="inlineStr">
        <is>
          <t>Sandy Loam</t>
        </is>
      </c>
      <c r="Y117" t="inlineStr">
        <is>
          <t>Conventional Tillage: 2 plowings + 2 harrowings; soil workable when moist</t>
        </is>
      </c>
      <c r="Z117" t="inlineStr">
        <is>
          <t>Intermittent irrigation (Alternate Wetting and Drying — AWD); moderate retention</t>
        </is>
      </c>
      <c r="AA117" t="inlineStr">
        <is>
          <t>Transplanting (Pindot) or Direct Seeding (Pinaghandaan)</t>
        </is>
      </c>
      <c r="AP117" t="n">
        <v>6</v>
      </c>
    </row>
    <row r="118">
      <c r="B118" t="inlineStr">
        <is>
          <t>Palay</t>
        </is>
      </c>
      <c r="C118" t="inlineStr">
        <is>
          <t>Pasileng Sur</t>
        </is>
      </c>
      <c r="D118" t="inlineStr">
        <is>
          <t>DS 2007</t>
        </is>
      </c>
      <c r="E118" t="n">
        <v>414.96</v>
      </c>
      <c r="F118" t="n">
        <v>95</v>
      </c>
      <c r="G118" t="n">
        <v>41</v>
      </c>
      <c r="H118" t="n">
        <v>41.02</v>
      </c>
      <c r="I118" t="n">
        <v>0.4</v>
      </c>
      <c r="J118" t="n">
        <v>24.24</v>
      </c>
      <c r="K118" t="n">
        <v>16.82</v>
      </c>
      <c r="L118" t="n">
        <v>31.18</v>
      </c>
      <c r="M118" t="n">
        <v>79.65000000000001</v>
      </c>
      <c r="N118" t="n">
        <v>98.68000000000001</v>
      </c>
      <c r="O118" t="n">
        <v>16.49</v>
      </c>
      <c r="P118" t="inlineStr">
        <is>
          <t>Sandy Loam</t>
        </is>
      </c>
      <c r="Y118" t="inlineStr">
        <is>
          <t>Conventional Tillage: 2 plowings + 2 harrowings; soil workable when moist</t>
        </is>
      </c>
      <c r="Z118" t="inlineStr">
        <is>
          <t>Intermittent irrigation (Alternate Wetting and Drying — AWD); moderate retention</t>
        </is>
      </c>
      <c r="AA118" t="inlineStr">
        <is>
          <t>Transplanting (Pindot) or Direct Seeding (Pinaghandaan)</t>
        </is>
      </c>
      <c r="AP118" t="n">
        <v>7.5</v>
      </c>
    </row>
    <row r="119">
      <c r="B119" t="inlineStr">
        <is>
          <t>Palay</t>
        </is>
      </c>
      <c r="C119" t="inlineStr">
        <is>
          <t>San Felipe Central</t>
        </is>
      </c>
      <c r="D119" t="inlineStr">
        <is>
          <t>DS 2007</t>
        </is>
      </c>
      <c r="E119" t="n">
        <v>452.76</v>
      </c>
      <c r="F119" t="n">
        <v>36</v>
      </c>
      <c r="G119" t="n">
        <v>12</v>
      </c>
      <c r="H119" t="n">
        <v>41.02</v>
      </c>
      <c r="I119" t="n">
        <v>0.4</v>
      </c>
      <c r="J119" t="n">
        <v>24.24</v>
      </c>
      <c r="K119" t="n">
        <v>16.82</v>
      </c>
      <c r="L119" t="n">
        <v>31.18</v>
      </c>
      <c r="M119" t="n">
        <v>79.65000000000001</v>
      </c>
      <c r="N119" t="n">
        <v>98.68000000000001</v>
      </c>
      <c r="O119" t="n">
        <v>16.49</v>
      </c>
      <c r="P119" t="inlineStr">
        <is>
          <t>Sandy Loam</t>
        </is>
      </c>
      <c r="Y119" t="inlineStr">
        <is>
          <t>Conventional Tillage: 2 plowings + 2 harrowings; soil workable when moist</t>
        </is>
      </c>
      <c r="Z119" t="inlineStr">
        <is>
          <t>Intermittent irrigation (Alternate Wetting and Drying — AWD); moderate retention</t>
        </is>
      </c>
      <c r="AA119" t="inlineStr">
        <is>
          <t>Transplanting (Pindot) or Direct Seeding (Pinaghandaan)</t>
        </is>
      </c>
      <c r="AP119" t="n">
        <v>6</v>
      </c>
    </row>
    <row r="120">
      <c r="B120" t="inlineStr">
        <is>
          <t>Palay</t>
        </is>
      </c>
      <c r="C120" t="inlineStr">
        <is>
          <t>San Felipe Sur</t>
        </is>
      </c>
      <c r="D120" t="inlineStr">
        <is>
          <t>DS 2007</t>
        </is>
      </c>
      <c r="E120" t="n">
        <v>504</v>
      </c>
      <c r="F120" t="n">
        <v>56</v>
      </c>
      <c r="G120" t="n">
        <v>2</v>
      </c>
      <c r="H120" t="n">
        <v>26.4</v>
      </c>
      <c r="I120" t="n">
        <v>0.4</v>
      </c>
      <c r="J120" t="n">
        <v>24.24</v>
      </c>
      <c r="K120" t="n">
        <v>16.82</v>
      </c>
      <c r="L120" t="n">
        <v>31.18</v>
      </c>
      <c r="M120" t="n">
        <v>79.65000000000001</v>
      </c>
      <c r="N120" t="n">
        <v>98.68000000000001</v>
      </c>
      <c r="O120" t="n">
        <v>16.49</v>
      </c>
      <c r="P120" t="inlineStr">
        <is>
          <t>Sandy Loam</t>
        </is>
      </c>
      <c r="Y120" t="inlineStr">
        <is>
          <t>Conventional Tillage: 2 plowings + 2 harrowings; soil workable when moist</t>
        </is>
      </c>
      <c r="Z120" t="inlineStr">
        <is>
          <t>Intermittent irrigation (Alternate Wetting and Drying — AWD); moderate retention</t>
        </is>
      </c>
      <c r="AA120" t="inlineStr">
        <is>
          <t>Transplanting (Pindot) or Direct Seeding (Pinaghandaan)</t>
        </is>
      </c>
      <c r="AP120" t="n">
        <v>6</v>
      </c>
    </row>
    <row r="121">
      <c r="B121" t="inlineStr">
        <is>
          <t>Palay</t>
        </is>
      </c>
      <c r="C121" t="inlineStr">
        <is>
          <t>San Pablo</t>
        </is>
      </c>
      <c r="D121" t="inlineStr">
        <is>
          <t>DS 2007</t>
        </is>
      </c>
      <c r="E121" t="n">
        <v>215.04</v>
      </c>
      <c r="F121" t="n">
        <v>39</v>
      </c>
      <c r="G121" t="n">
        <v>5</v>
      </c>
      <c r="H121" t="n">
        <v>20.7</v>
      </c>
      <c r="I121" t="n">
        <v>0.4</v>
      </c>
      <c r="J121" t="n">
        <v>24.24</v>
      </c>
      <c r="K121" t="n">
        <v>16.82</v>
      </c>
      <c r="L121" t="n">
        <v>31.18</v>
      </c>
      <c r="M121" t="n">
        <v>79.65000000000001</v>
      </c>
      <c r="N121" t="n">
        <v>98.68000000000001</v>
      </c>
      <c r="O121" t="n">
        <v>16.49</v>
      </c>
      <c r="P121" t="inlineStr">
        <is>
          <t>Sandy Loam</t>
        </is>
      </c>
      <c r="Y121" t="inlineStr">
        <is>
          <t>Conventional Tillage: 2 plowings + 2 harrowings; soil workable when moist</t>
        </is>
      </c>
      <c r="Z121" t="inlineStr">
        <is>
          <t>Intermittent irrigation (Alternate Wetting and Drying — AWD); moderate retention</t>
        </is>
      </c>
      <c r="AA121" t="inlineStr">
        <is>
          <t>Transplanting (Pindot) or Direct Seeding (Pinaghandaan)</t>
        </is>
      </c>
      <c r="AP121" t="n">
        <v>6.5</v>
      </c>
    </row>
    <row r="122">
      <c r="B122" t="inlineStr">
        <is>
          <t>Palay</t>
        </is>
      </c>
      <c r="C122" t="inlineStr">
        <is>
          <t>Santiago</t>
        </is>
      </c>
      <c r="D122" t="inlineStr">
        <is>
          <t>DS 2007</t>
        </is>
      </c>
      <c r="E122" t="n">
        <v>283.08</v>
      </c>
      <c r="F122" t="n">
        <v>81.13</v>
      </c>
      <c r="G122" t="n">
        <v>20.16</v>
      </c>
      <c r="H122" t="n">
        <v>81.66</v>
      </c>
      <c r="I122" t="n">
        <v>0.4</v>
      </c>
      <c r="J122" t="n">
        <v>24.24</v>
      </c>
      <c r="K122" t="n">
        <v>16.82</v>
      </c>
      <c r="L122" t="n">
        <v>31.18</v>
      </c>
      <c r="M122" t="n">
        <v>79.65000000000001</v>
      </c>
      <c r="N122" t="n">
        <v>98.68000000000001</v>
      </c>
      <c r="O122" t="n">
        <v>16.49</v>
      </c>
      <c r="P122" t="inlineStr">
        <is>
          <t>Silty Clay Loam</t>
        </is>
      </c>
      <c r="Y122" t="inlineStr">
        <is>
          <t>Wet Tillage (Puddling): 2 plowings + thorough harrowing under flooded condition</t>
        </is>
      </c>
      <c r="Z122" t="inlineStr">
        <is>
          <t>Continuous flooding 2–5 cm depth during vegetative stage; drain 2 weeks before harvest</t>
        </is>
      </c>
      <c r="AA122" t="inlineStr">
        <is>
          <t>Transplanting (Pindot) — optimal for clay-loam paddy fields</t>
        </is>
      </c>
      <c r="AP122" t="n">
        <v>8</v>
      </c>
    </row>
    <row r="123">
      <c r="B123" t="inlineStr">
        <is>
          <t>Palay</t>
        </is>
      </c>
      <c r="C123" t="inlineStr">
        <is>
          <t>Sta. Catalina</t>
        </is>
      </c>
      <c r="D123" t="inlineStr">
        <is>
          <t>DS 2007</t>
        </is>
      </c>
      <c r="E123" t="n">
        <v>709.8</v>
      </c>
      <c r="F123" t="n">
        <v>41.37</v>
      </c>
      <c r="G123" t="n">
        <v>2</v>
      </c>
      <c r="H123" t="n">
        <v>145.04</v>
      </c>
      <c r="I123" t="n">
        <v>0.4</v>
      </c>
      <c r="J123" t="n">
        <v>24.24</v>
      </c>
      <c r="K123" t="n">
        <v>16.82</v>
      </c>
      <c r="L123" t="n">
        <v>31.18</v>
      </c>
      <c r="M123" t="n">
        <v>79.65000000000001</v>
      </c>
      <c r="N123" t="n">
        <v>98.68000000000001</v>
      </c>
      <c r="O123" t="n">
        <v>16.49</v>
      </c>
      <c r="P123" t="inlineStr">
        <is>
          <t>Fine Sand / Sandy Loam</t>
        </is>
      </c>
      <c r="Y123" t="inlineStr">
        <is>
          <t>Minimum Tillage (avoid compaction; sandy structure fragile)</t>
        </is>
      </c>
      <c r="Z123" t="inlineStr">
        <is>
          <t>Continuous flooding or frequent irrigation; high percolation risk; terrace or bund-assisted water retention essential on slopes</t>
        </is>
      </c>
      <c r="AA123" t="inlineStr">
        <is>
          <t>Transplanting (Pindot)</t>
        </is>
      </c>
      <c r="AP123" t="n">
        <v>8</v>
      </c>
    </row>
    <row r="124">
      <c r="B124" t="inlineStr">
        <is>
          <t>Palay</t>
        </is>
      </c>
      <c r="C124" t="inlineStr">
        <is>
          <t>Sta. Maria Norte</t>
        </is>
      </c>
      <c r="D124" t="inlineStr">
        <is>
          <t>DS 2007</t>
        </is>
      </c>
      <c r="E124" t="n">
        <v>157.08</v>
      </c>
      <c r="F124" t="n">
        <v>30.73</v>
      </c>
      <c r="G124" t="n">
        <v>5.61</v>
      </c>
      <c r="H124" t="n">
        <v>20.7</v>
      </c>
      <c r="I124" t="n">
        <v>0.4</v>
      </c>
      <c r="J124" t="n">
        <v>24.24</v>
      </c>
      <c r="K124" t="n">
        <v>16.82</v>
      </c>
      <c r="L124" t="n">
        <v>31.18</v>
      </c>
      <c r="M124" t="n">
        <v>79.65000000000001</v>
      </c>
      <c r="N124" t="n">
        <v>98.68000000000001</v>
      </c>
      <c r="O124" t="n">
        <v>16.49</v>
      </c>
      <c r="P124" t="inlineStr">
        <is>
          <t>Sandy Loam</t>
        </is>
      </c>
      <c r="Y124" t="inlineStr">
        <is>
          <t>Conventional Tillage: 2 plowings + 2 harrowings; soil workable when moist</t>
        </is>
      </c>
      <c r="Z124" t="inlineStr">
        <is>
          <t>Intermittent irrigation (Alternate Wetting and Drying — AWD); moderate retention</t>
        </is>
      </c>
      <c r="AA124" t="inlineStr">
        <is>
          <t>Transplanting (Pindot) or Direct Seeding (Pinaghandaan)</t>
        </is>
      </c>
      <c r="AP124" t="n">
        <v>3.68</v>
      </c>
    </row>
    <row r="125">
      <c r="B125" t="inlineStr">
        <is>
          <t>Palay</t>
        </is>
      </c>
      <c r="C125" t="inlineStr">
        <is>
          <t>Sumabnit</t>
        </is>
      </c>
      <c r="D125" t="inlineStr">
        <is>
          <t>DS 2007</t>
        </is>
      </c>
      <c r="E125" t="n">
        <v>406.56</v>
      </c>
      <c r="F125" t="n">
        <v>21.13</v>
      </c>
      <c r="G125" t="n">
        <v>15.72</v>
      </c>
      <c r="H125" t="n">
        <v>81.66</v>
      </c>
      <c r="I125" t="n">
        <v>0.4</v>
      </c>
      <c r="J125" t="n">
        <v>24.24</v>
      </c>
      <c r="K125" t="n">
        <v>16.82</v>
      </c>
      <c r="L125" t="n">
        <v>31.18</v>
      </c>
      <c r="M125" t="n">
        <v>79.65000000000001</v>
      </c>
      <c r="N125" t="n">
        <v>98.68000000000001</v>
      </c>
      <c r="O125" t="n">
        <v>16.49</v>
      </c>
      <c r="P125" t="inlineStr">
        <is>
          <t>Silty Clay Loam / Fine Sandy Loam</t>
        </is>
      </c>
      <c r="Y125" t="inlineStr">
        <is>
          <t>Minimum Tillage (avoid compaction; sandy structure fragile)</t>
        </is>
      </c>
      <c r="Z125" t="inlineStr">
        <is>
          <t>Continuous flooding or frequent irrigation; high percolation risk</t>
        </is>
      </c>
      <c r="AA125" t="inlineStr">
        <is>
          <t>Transplanting (Pindot)</t>
        </is>
      </c>
      <c r="AP125" t="n">
        <v>8</v>
      </c>
    </row>
    <row r="126">
      <c r="B126" t="inlineStr">
        <is>
          <t>Palay</t>
        </is>
      </c>
      <c r="C126" t="inlineStr">
        <is>
          <t>Tabuyoc</t>
        </is>
      </c>
      <c r="D126" t="inlineStr">
        <is>
          <t>DS 2007</t>
        </is>
      </c>
      <c r="E126" t="n">
        <v>277.2</v>
      </c>
      <c r="F126" t="n">
        <v>59</v>
      </c>
      <c r="G126" t="n">
        <v>10</v>
      </c>
      <c r="H126" t="n">
        <v>81.66</v>
      </c>
      <c r="I126" t="n">
        <v>0.4</v>
      </c>
      <c r="J126" t="n">
        <v>24.24</v>
      </c>
      <c r="K126" t="n">
        <v>16.82</v>
      </c>
      <c r="L126" t="n">
        <v>31.18</v>
      </c>
      <c r="M126" t="n">
        <v>79.65000000000001</v>
      </c>
      <c r="N126" t="n">
        <v>98.68000000000001</v>
      </c>
      <c r="O126" t="n">
        <v>16.49</v>
      </c>
      <c r="P126" t="inlineStr">
        <is>
          <t>Silty Clay Loam</t>
        </is>
      </c>
      <c r="Y126" t="inlineStr">
        <is>
          <t>Wet Tillage (Puddling): 2 plowings + thorough harrowing under flooded condition</t>
        </is>
      </c>
      <c r="Z126" t="inlineStr">
        <is>
          <t>Continuous flooding 2–5 cm depth during vegetative stage; drain 2 weeks before harvest</t>
        </is>
      </c>
      <c r="AA126" t="inlineStr">
        <is>
          <t>Transplanting (Pindot) — optimal for clay-loam paddy fields</t>
        </is>
      </c>
      <c r="AP126" t="n">
        <v>6.1</v>
      </c>
    </row>
    <row r="127">
      <c r="B127" t="inlineStr">
        <is>
          <t>Palay</t>
        </is>
      </c>
      <c r="C127" t="inlineStr">
        <is>
          <t>Vacante</t>
        </is>
      </c>
      <c r="D127" t="inlineStr">
        <is>
          <t>DS 2007</t>
        </is>
      </c>
      <c r="E127" t="n">
        <v>484.68</v>
      </c>
      <c r="F127" t="n">
        <v>33.83</v>
      </c>
      <c r="G127" t="n">
        <v>20.06</v>
      </c>
      <c r="H127" t="n">
        <v>81.66</v>
      </c>
      <c r="I127" t="n">
        <v>0.4</v>
      </c>
      <c r="J127" t="n">
        <v>24.24</v>
      </c>
      <c r="K127" t="n">
        <v>16.82</v>
      </c>
      <c r="L127" t="n">
        <v>31.18</v>
      </c>
      <c r="M127" t="n">
        <v>79.65000000000001</v>
      </c>
      <c r="N127" t="n">
        <v>98.68000000000001</v>
      </c>
      <c r="O127" t="n">
        <v>16.49</v>
      </c>
      <c r="P127" t="inlineStr">
        <is>
          <t>Silty Clay Loam</t>
        </is>
      </c>
      <c r="Y127" t="inlineStr">
        <is>
          <t>Wet Tillage (Puddling): 2 plowings + thorough harrowing under flooded condition</t>
        </is>
      </c>
      <c r="Z127" t="inlineStr">
        <is>
          <t>Continuous flooding 2–5 cm depth during vegetative stage; drain 2 weeks before harvest</t>
        </is>
      </c>
      <c r="AA127" t="inlineStr">
        <is>
          <t>Transplanting (Pindot) — optimal for clay-loam paddy fields</t>
        </is>
      </c>
      <c r="AP127" t="n">
        <v>8</v>
      </c>
    </row>
    <row r="128">
      <c r="B128" t="inlineStr">
        <is>
          <t>Palay</t>
        </is>
      </c>
      <c r="C128" t="inlineStr">
        <is>
          <t>Balangobong</t>
        </is>
      </c>
      <c r="D128" t="inlineStr">
        <is>
          <t>DS 2008</t>
        </is>
      </c>
      <c r="E128" t="n">
        <v>281.4</v>
      </c>
      <c r="F128" t="n">
        <v>122</v>
      </c>
      <c r="G128" t="n">
        <v>1</v>
      </c>
      <c r="H128" t="n">
        <v>35.32</v>
      </c>
      <c r="I128" t="n">
        <v>1.45</v>
      </c>
      <c r="J128" t="n">
        <v>23.94</v>
      </c>
      <c r="K128" t="n">
        <v>17.59</v>
      </c>
      <c r="L128" t="n">
        <v>30.5</v>
      </c>
      <c r="M128" t="n">
        <v>81.62</v>
      </c>
      <c r="N128" t="n">
        <v>98.54000000000001</v>
      </c>
      <c r="O128" t="n">
        <v>16.06</v>
      </c>
      <c r="P128" t="inlineStr">
        <is>
          <t>Silty Clay Loam</t>
        </is>
      </c>
      <c r="Y128" t="inlineStr">
        <is>
          <t>Wet Tillage (Puddling): 2 plowings + thorough harrowing under flooded condition</t>
        </is>
      </c>
      <c r="Z128" t="inlineStr">
        <is>
          <t>Continuous flooding 2–5 cm depth during vegetative stage; drain 2 weeks before harvest</t>
        </is>
      </c>
      <c r="AA128" t="inlineStr">
        <is>
          <t>Transplanting (Pindot) — optimal for clay-loam paddy fields</t>
        </is>
      </c>
      <c r="AP128" t="n">
        <v>8</v>
      </c>
    </row>
    <row r="129">
      <c r="B129" t="inlineStr">
        <is>
          <t>Palay</t>
        </is>
      </c>
      <c r="C129" t="inlineStr">
        <is>
          <t>Bued</t>
        </is>
      </c>
      <c r="D129" t="inlineStr">
        <is>
          <t>DS 2008</t>
        </is>
      </c>
      <c r="E129" t="n">
        <v>210.84</v>
      </c>
      <c r="F129" t="n">
        <v>37.89</v>
      </c>
      <c r="G129" t="n">
        <v>2</v>
      </c>
      <c r="H129" t="n">
        <v>35.32</v>
      </c>
      <c r="I129" t="n">
        <v>1.45</v>
      </c>
      <c r="J129" t="n">
        <v>23.94</v>
      </c>
      <c r="K129" t="n">
        <v>17.59</v>
      </c>
      <c r="L129" t="n">
        <v>30.5</v>
      </c>
      <c r="M129" t="n">
        <v>81.62</v>
      </c>
      <c r="N129" t="n">
        <v>98.54000000000001</v>
      </c>
      <c r="O129" t="n">
        <v>16.06</v>
      </c>
      <c r="P129" t="inlineStr">
        <is>
          <t>Silty Clay Loam</t>
        </is>
      </c>
      <c r="Y129" t="inlineStr">
        <is>
          <t>Wet Tillage (Puddling): 2 plowings + thorough harrowing under flooded condition</t>
        </is>
      </c>
      <c r="Z129" t="inlineStr">
        <is>
          <t>Continuous flooding 2–5 cm depth during vegetative stage; drain 2 weeks before harvest</t>
        </is>
      </c>
      <c r="AA129" t="inlineStr">
        <is>
          <t>Transplanting (Pindot) — optimal for clay-loam paddy fields</t>
        </is>
      </c>
      <c r="AP129" t="n">
        <v>8</v>
      </c>
    </row>
    <row r="130">
      <c r="B130" t="inlineStr">
        <is>
          <t>Palay</t>
        </is>
      </c>
      <c r="C130" t="inlineStr">
        <is>
          <t>Bugayong</t>
        </is>
      </c>
      <c r="D130" t="inlineStr">
        <is>
          <t>DS 2008</t>
        </is>
      </c>
      <c r="E130" t="n">
        <v>346.08</v>
      </c>
      <c r="F130" t="n">
        <v>10.5</v>
      </c>
      <c r="G130" t="n">
        <v>2</v>
      </c>
      <c r="H130" t="n">
        <v>41.02</v>
      </c>
      <c r="I130" t="n">
        <v>1.45</v>
      </c>
      <c r="J130" t="n">
        <v>23.94</v>
      </c>
      <c r="K130" t="n">
        <v>17.59</v>
      </c>
      <c r="L130" t="n">
        <v>30.5</v>
      </c>
      <c r="M130" t="n">
        <v>81.62</v>
      </c>
      <c r="N130" t="n">
        <v>98.54000000000001</v>
      </c>
      <c r="O130" t="n">
        <v>16.06</v>
      </c>
      <c r="P130" t="inlineStr">
        <is>
          <t>Sandy Loam / Silty Clay Loam</t>
        </is>
      </c>
      <c r="Y130" t="inlineStr">
        <is>
          <t>Conventional Tillage: 2 plowings + harrowing; puddle thoroughly for transplanting</t>
        </is>
      </c>
      <c r="Z130" t="inlineStr">
        <is>
          <t>Intermittent to continuous flooding; manage according to drainage section present</t>
        </is>
      </c>
      <c r="AA130" t="inlineStr">
        <is>
          <t>Transplanting (Pindot) — recommended; Direct Seeding possible in dry season</t>
        </is>
      </c>
      <c r="AP130" t="n">
        <v>8</v>
      </c>
    </row>
    <row r="131">
      <c r="B131" t="inlineStr">
        <is>
          <t>Palay</t>
        </is>
      </c>
      <c r="C131" t="inlineStr">
        <is>
          <t>Camanggaan</t>
        </is>
      </c>
      <c r="D131" t="inlineStr">
        <is>
          <t>DS 2008</t>
        </is>
      </c>
      <c r="E131" t="n">
        <v>244.44</v>
      </c>
      <c r="F131" t="n">
        <v>13</v>
      </c>
      <c r="G131" t="n">
        <v>2</v>
      </c>
      <c r="H131" t="n">
        <v>52.42</v>
      </c>
      <c r="I131" t="n">
        <v>1.45</v>
      </c>
      <c r="J131" t="n">
        <v>23.94</v>
      </c>
      <c r="K131" t="n">
        <v>17.59</v>
      </c>
      <c r="L131" t="n">
        <v>30.5</v>
      </c>
      <c r="M131" t="n">
        <v>81.62</v>
      </c>
      <c r="N131" t="n">
        <v>98.54000000000001</v>
      </c>
      <c r="O131" t="n">
        <v>16.06</v>
      </c>
      <c r="P131" t="inlineStr">
        <is>
          <t>Sandy Loam</t>
        </is>
      </c>
      <c r="Y131" t="inlineStr">
        <is>
          <t>Conventional Tillage: 2 plowings + 2 harrowings; soil workable when moist</t>
        </is>
      </c>
      <c r="Z131" t="inlineStr">
        <is>
          <t>Intermittent irrigation (Alternate Wetting and Drying — AWD); moderate retention</t>
        </is>
      </c>
      <c r="AA131" t="inlineStr">
        <is>
          <t>Transplanting (Pindot) or Direct Seeding (Pinaghandaan)</t>
        </is>
      </c>
      <c r="AP131" t="n">
        <v>8</v>
      </c>
    </row>
    <row r="132">
      <c r="B132" t="inlineStr">
        <is>
          <t>Palay</t>
        </is>
      </c>
      <c r="C132" t="inlineStr">
        <is>
          <t>Capas</t>
        </is>
      </c>
      <c r="D132" t="inlineStr">
        <is>
          <t>DS 2008</t>
        </is>
      </c>
      <c r="E132" t="n">
        <v>377.16</v>
      </c>
      <c r="F132" t="n">
        <v>179</v>
      </c>
      <c r="G132" t="n">
        <v>3.47</v>
      </c>
      <c r="H132" t="n">
        <v>52.42</v>
      </c>
      <c r="I132" t="n">
        <v>1.45</v>
      </c>
      <c r="J132" t="n">
        <v>23.94</v>
      </c>
      <c r="K132" t="n">
        <v>17.59</v>
      </c>
      <c r="L132" t="n">
        <v>30.5</v>
      </c>
      <c r="M132" t="n">
        <v>81.62</v>
      </c>
      <c r="N132" t="n">
        <v>98.54000000000001</v>
      </c>
      <c r="O132" t="n">
        <v>16.06</v>
      </c>
      <c r="P132" t="inlineStr">
        <is>
          <t>Sandy Loam</t>
        </is>
      </c>
      <c r="Y132" t="inlineStr">
        <is>
          <t>Conventional Tillage: 2 plowings + 2 harrowings; soil workable when moist</t>
        </is>
      </c>
      <c r="Z132" t="inlineStr">
        <is>
          <t>Intermittent irrigation (Alternate Wetting and Drying — AWD); moderate retention</t>
        </is>
      </c>
      <c r="AA132" t="inlineStr">
        <is>
          <t>Transplanting (Pindot) or Direct Seeding (Pinaghandaan)</t>
        </is>
      </c>
      <c r="AP132" t="n">
        <v>7.88</v>
      </c>
    </row>
    <row r="133">
      <c r="B133" t="inlineStr">
        <is>
          <t>Palay</t>
        </is>
      </c>
      <c r="C133" t="inlineStr">
        <is>
          <t>Cili</t>
        </is>
      </c>
      <c r="D133" t="inlineStr">
        <is>
          <t>DS 2008</t>
        </is>
      </c>
      <c r="E133" t="n">
        <v>264.6</v>
      </c>
      <c r="F133" t="n">
        <v>12.5</v>
      </c>
      <c r="G133" t="n">
        <v>2</v>
      </c>
      <c r="H133" t="n">
        <v>35.32</v>
      </c>
      <c r="I133" t="n">
        <v>1.45</v>
      </c>
      <c r="J133" t="n">
        <v>23.94</v>
      </c>
      <c r="K133" t="n">
        <v>17.59</v>
      </c>
      <c r="L133" t="n">
        <v>30.5</v>
      </c>
      <c r="M133" t="n">
        <v>81.62</v>
      </c>
      <c r="N133" t="n">
        <v>98.54000000000001</v>
      </c>
      <c r="O133" t="n">
        <v>16.06</v>
      </c>
      <c r="P133" t="inlineStr">
        <is>
          <t>Silty Clay Loam</t>
        </is>
      </c>
      <c r="Y133" t="inlineStr">
        <is>
          <t>Wet Tillage (Puddling): 2 plowings + thorough harrowing under flooded condition</t>
        </is>
      </c>
      <c r="Z133" t="inlineStr">
        <is>
          <t>Continuous flooding 2–5 cm depth during vegetative stage; drain 2 weeks before harvest</t>
        </is>
      </c>
      <c r="AA133" t="inlineStr">
        <is>
          <t>Transplanting (Pindot) — optimal for clay-loam paddy fields</t>
        </is>
      </c>
      <c r="AP133" t="n">
        <v>8</v>
      </c>
    </row>
    <row r="134">
      <c r="B134" t="inlineStr">
        <is>
          <t>Palay</t>
        </is>
      </c>
      <c r="C134" t="inlineStr">
        <is>
          <t>Dumayat</t>
        </is>
      </c>
      <c r="D134" t="inlineStr">
        <is>
          <t>DS 2008</t>
        </is>
      </c>
      <c r="E134" t="n">
        <v>266.28</v>
      </c>
      <c r="F134" t="n">
        <v>12.25</v>
      </c>
      <c r="G134" t="n">
        <v>2</v>
      </c>
      <c r="H134" t="n">
        <v>35.32</v>
      </c>
      <c r="I134" t="n">
        <v>1.45</v>
      </c>
      <c r="J134" t="n">
        <v>23.94</v>
      </c>
      <c r="K134" t="n">
        <v>17.59</v>
      </c>
      <c r="L134" t="n">
        <v>30.5</v>
      </c>
      <c r="M134" t="n">
        <v>81.62</v>
      </c>
      <c r="N134" t="n">
        <v>98.54000000000001</v>
      </c>
      <c r="O134" t="n">
        <v>16.06</v>
      </c>
      <c r="P134" t="inlineStr">
        <is>
          <t>Silty Clay Loam</t>
        </is>
      </c>
      <c r="Y134" t="inlineStr">
        <is>
          <t>Wet Tillage (Puddling): 2 plowings + thorough harrowing under flooded condition</t>
        </is>
      </c>
      <c r="Z134" t="inlineStr">
        <is>
          <t>Continuous flooding 2–5 cm depth during vegetative stage; drain 2 weeks before harvest</t>
        </is>
      </c>
      <c r="AA134" t="inlineStr">
        <is>
          <t>Transplanting (Pindot) — optimal for clay-loam paddy fields</t>
        </is>
      </c>
      <c r="AP134" t="n">
        <v>8</v>
      </c>
    </row>
    <row r="135">
      <c r="B135" t="inlineStr">
        <is>
          <t>Palay</t>
        </is>
      </c>
      <c r="C135" t="inlineStr">
        <is>
          <t>Linmansangan</t>
        </is>
      </c>
      <c r="D135" t="inlineStr">
        <is>
          <t>DS 2008</t>
        </is>
      </c>
      <c r="E135" t="n">
        <v>492.24</v>
      </c>
      <c r="F135" t="n">
        <v>12.25</v>
      </c>
      <c r="G135" t="n">
        <v>2</v>
      </c>
      <c r="H135" t="n">
        <v>81.66</v>
      </c>
      <c r="I135" t="n">
        <v>1.45</v>
      </c>
      <c r="J135" t="n">
        <v>23.94</v>
      </c>
      <c r="K135" t="n">
        <v>17.59</v>
      </c>
      <c r="L135" t="n">
        <v>30.5</v>
      </c>
      <c r="M135" t="n">
        <v>81.62</v>
      </c>
      <c r="N135" t="n">
        <v>98.54000000000001</v>
      </c>
      <c r="O135" t="n">
        <v>16.06</v>
      </c>
      <c r="P135" t="inlineStr">
        <is>
          <t>Silty Clay Loam</t>
        </is>
      </c>
      <c r="Y135" t="inlineStr">
        <is>
          <t>Wet Tillage (Puddling): 2 plowings + thorough harrowing under flooded condition</t>
        </is>
      </c>
      <c r="Z135" t="inlineStr">
        <is>
          <t>Continuous flooding 2–5 cm depth during vegetative stage; drain 2 weeks before harvest</t>
        </is>
      </c>
      <c r="AA135" t="inlineStr">
        <is>
          <t>Transplanting (Pindot) — optimal for clay-loam paddy fields</t>
        </is>
      </c>
      <c r="AP135" t="n">
        <v>8</v>
      </c>
    </row>
    <row r="136">
      <c r="B136" t="inlineStr">
        <is>
          <t>Palay</t>
        </is>
      </c>
      <c r="C136" t="inlineStr">
        <is>
          <t>Mangkasuy</t>
        </is>
      </c>
      <c r="D136" t="inlineStr">
        <is>
          <t>DS 2008</t>
        </is>
      </c>
      <c r="E136" t="n">
        <v>802.2</v>
      </c>
      <c r="F136" t="n">
        <v>18</v>
      </c>
      <c r="G136" t="n">
        <v>2</v>
      </c>
      <c r="H136" t="n">
        <v>70.81999999999999</v>
      </c>
      <c r="I136" t="n">
        <v>1.45</v>
      </c>
      <c r="J136" t="n">
        <v>23.94</v>
      </c>
      <c r="K136" t="n">
        <v>17.59</v>
      </c>
      <c r="L136" t="n">
        <v>30.5</v>
      </c>
      <c r="M136" t="n">
        <v>81.62</v>
      </c>
      <c r="N136" t="n">
        <v>98.54000000000001</v>
      </c>
      <c r="O136" t="n">
        <v>16.06</v>
      </c>
      <c r="P136" t="inlineStr">
        <is>
          <t>Sandy Loam</t>
        </is>
      </c>
      <c r="Y136" t="inlineStr">
        <is>
          <t>Conventional Tillage: 2 plowings + 2 harrowings; soil workable when moist</t>
        </is>
      </c>
      <c r="Z136" t="inlineStr">
        <is>
          <t>Intermittent irrigation (Alternate Wetting and Drying — AWD); moderate retention</t>
        </is>
      </c>
      <c r="AA136" t="inlineStr">
        <is>
          <t>Transplanting (Pindot) or Direct Seeding (Pinaghandaan)</t>
        </is>
      </c>
      <c r="AP136" t="n">
        <v>5.87</v>
      </c>
    </row>
    <row r="137">
      <c r="B137" t="inlineStr">
        <is>
          <t>Palay</t>
        </is>
      </c>
      <c r="C137" t="inlineStr">
        <is>
          <t>Moreno</t>
        </is>
      </c>
      <c r="D137" t="inlineStr">
        <is>
          <t>DS 2008</t>
        </is>
      </c>
      <c r="E137" t="n">
        <v>641.76</v>
      </c>
      <c r="F137" t="n">
        <v>28.18</v>
      </c>
      <c r="G137" t="n">
        <v>2</v>
      </c>
      <c r="H137" t="n">
        <v>135.56</v>
      </c>
      <c r="I137" t="n">
        <v>1.45</v>
      </c>
      <c r="J137" t="n">
        <v>23.94</v>
      </c>
      <c r="K137" t="n">
        <v>17.59</v>
      </c>
      <c r="L137" t="n">
        <v>30.5</v>
      </c>
      <c r="M137" t="n">
        <v>81.62</v>
      </c>
      <c r="N137" t="n">
        <v>98.54000000000001</v>
      </c>
      <c r="O137" t="n">
        <v>16.06</v>
      </c>
      <c r="P137" t="inlineStr">
        <is>
          <t>Sandy Loam</t>
        </is>
      </c>
      <c r="Y137" t="inlineStr">
        <is>
          <t>Conventional Tillage: 2 plowings + 2 harrowings; soil workable when moist</t>
        </is>
      </c>
      <c r="Z137" t="inlineStr">
        <is>
          <t>Intermittent irrigation (Alternate Wetting and Drying — AWD); moderate retention; terrace or bund-assisted water retention essential on slopes</t>
        </is>
      </c>
      <c r="AA137" t="inlineStr">
        <is>
          <t>Transplanting (Pindot) or Direct Seeding (Pinaghandaan)</t>
        </is>
      </c>
      <c r="AP137" t="n">
        <v>8</v>
      </c>
    </row>
    <row r="138">
      <c r="B138" t="inlineStr">
        <is>
          <t>Palay</t>
        </is>
      </c>
      <c r="C138" t="inlineStr">
        <is>
          <t>Pasileng Norte</t>
        </is>
      </c>
      <c r="D138" t="inlineStr">
        <is>
          <t>DS 2008</t>
        </is>
      </c>
      <c r="E138" t="n">
        <v>140.28</v>
      </c>
      <c r="F138" t="n">
        <v>74.5</v>
      </c>
      <c r="G138" t="n">
        <v>9.34</v>
      </c>
      <c r="H138" t="n">
        <v>26.4</v>
      </c>
      <c r="I138" t="n">
        <v>1.45</v>
      </c>
      <c r="J138" t="n">
        <v>23.94</v>
      </c>
      <c r="K138" t="n">
        <v>17.59</v>
      </c>
      <c r="L138" t="n">
        <v>30.5</v>
      </c>
      <c r="M138" t="n">
        <v>81.62</v>
      </c>
      <c r="N138" t="n">
        <v>98.54000000000001</v>
      </c>
      <c r="O138" t="n">
        <v>16.06</v>
      </c>
      <c r="P138" t="inlineStr">
        <is>
          <t>Sandy Loam</t>
        </is>
      </c>
      <c r="Y138" t="inlineStr">
        <is>
          <t>Conventional Tillage: 2 plowings + 2 harrowings; soil workable when moist</t>
        </is>
      </c>
      <c r="Z138" t="inlineStr">
        <is>
          <t>Intermittent irrigation (Alternate Wetting and Drying — AWD); moderate retention</t>
        </is>
      </c>
      <c r="AA138" t="inlineStr">
        <is>
          <t>Transplanting (Pindot) or Direct Seeding (Pinaghandaan)</t>
        </is>
      </c>
      <c r="AP138" t="n">
        <v>4.14</v>
      </c>
    </row>
    <row r="139">
      <c r="B139" t="inlineStr">
        <is>
          <t>Palay</t>
        </is>
      </c>
      <c r="C139" t="inlineStr">
        <is>
          <t>Pasileng Sur</t>
        </is>
      </c>
      <c r="D139" t="inlineStr">
        <is>
          <t>DS 2008</t>
        </is>
      </c>
      <c r="E139" t="n">
        <v>414.96</v>
      </c>
      <c r="F139" t="n">
        <v>102</v>
      </c>
      <c r="G139" t="n">
        <v>15.52</v>
      </c>
      <c r="H139" t="n">
        <v>41.02</v>
      </c>
      <c r="I139" t="n">
        <v>1.45</v>
      </c>
      <c r="J139" t="n">
        <v>23.94</v>
      </c>
      <c r="K139" t="n">
        <v>17.59</v>
      </c>
      <c r="L139" t="n">
        <v>30.5</v>
      </c>
      <c r="M139" t="n">
        <v>81.62</v>
      </c>
      <c r="N139" t="n">
        <v>98.54000000000001</v>
      </c>
      <c r="O139" t="n">
        <v>16.06</v>
      </c>
      <c r="P139" t="inlineStr">
        <is>
          <t>Sandy Loam</t>
        </is>
      </c>
      <c r="Y139" t="inlineStr">
        <is>
          <t>Conventional Tillage: 2 plowings + 2 harrowings; soil workable when moist</t>
        </is>
      </c>
      <c r="Z139" t="inlineStr">
        <is>
          <t>Intermittent irrigation (Alternate Wetting and Drying — AWD); moderate retention</t>
        </is>
      </c>
      <c r="AA139" t="inlineStr">
        <is>
          <t>Transplanting (Pindot) or Direct Seeding (Pinaghandaan)</t>
        </is>
      </c>
      <c r="AP139" t="n">
        <v>5.46</v>
      </c>
    </row>
    <row r="140">
      <c r="B140" t="inlineStr">
        <is>
          <t>Palay</t>
        </is>
      </c>
      <c r="C140" t="inlineStr">
        <is>
          <t>San Felipe Central</t>
        </is>
      </c>
      <c r="D140" t="inlineStr">
        <is>
          <t>DS 2008</t>
        </is>
      </c>
      <c r="E140" t="n">
        <v>452.76</v>
      </c>
      <c r="F140" t="n">
        <v>169.2</v>
      </c>
      <c r="G140" t="n">
        <v>10.77</v>
      </c>
      <c r="H140" t="n">
        <v>41.02</v>
      </c>
      <c r="I140" t="n">
        <v>1.45</v>
      </c>
      <c r="J140" t="n">
        <v>23.94</v>
      </c>
      <c r="K140" t="n">
        <v>17.59</v>
      </c>
      <c r="L140" t="n">
        <v>30.5</v>
      </c>
      <c r="M140" t="n">
        <v>81.62</v>
      </c>
      <c r="N140" t="n">
        <v>98.54000000000001</v>
      </c>
      <c r="O140" t="n">
        <v>16.06</v>
      </c>
      <c r="P140" t="inlineStr">
        <is>
          <t>Sandy Loam</t>
        </is>
      </c>
      <c r="Y140" t="inlineStr">
        <is>
          <t>Conventional Tillage: 2 plowings + 2 harrowings; soil workable when moist</t>
        </is>
      </c>
      <c r="Z140" t="inlineStr">
        <is>
          <t>Intermittent irrigation (Alternate Wetting and Drying — AWD); moderate retention</t>
        </is>
      </c>
      <c r="AA140" t="inlineStr">
        <is>
          <t>Transplanting (Pindot) or Direct Seeding (Pinaghandaan)</t>
        </is>
      </c>
      <c r="AP140" t="n">
        <v>8</v>
      </c>
    </row>
    <row r="141">
      <c r="B141" t="inlineStr">
        <is>
          <t>Palay</t>
        </is>
      </c>
      <c r="C141" t="inlineStr">
        <is>
          <t>San Felipe Sur</t>
        </is>
      </c>
      <c r="D141" t="inlineStr">
        <is>
          <t>DS 2008</t>
        </is>
      </c>
      <c r="E141" t="n">
        <v>504</v>
      </c>
      <c r="F141" t="n">
        <v>168</v>
      </c>
      <c r="G141" t="n">
        <v>2</v>
      </c>
      <c r="H141" t="n">
        <v>26.4</v>
      </c>
      <c r="I141" t="n">
        <v>1.45</v>
      </c>
      <c r="J141" t="n">
        <v>23.94</v>
      </c>
      <c r="K141" t="n">
        <v>17.59</v>
      </c>
      <c r="L141" t="n">
        <v>30.5</v>
      </c>
      <c r="M141" t="n">
        <v>81.62</v>
      </c>
      <c r="N141" t="n">
        <v>98.54000000000001</v>
      </c>
      <c r="O141" t="n">
        <v>16.06</v>
      </c>
      <c r="P141" t="inlineStr">
        <is>
          <t>Sandy Loam</t>
        </is>
      </c>
      <c r="Y141" t="inlineStr">
        <is>
          <t>Conventional Tillage: 2 plowings + 2 harrowings; soil workable when moist</t>
        </is>
      </c>
      <c r="Z141" t="inlineStr">
        <is>
          <t>Intermittent irrigation (Alternate Wetting and Drying — AWD); moderate retention</t>
        </is>
      </c>
      <c r="AA141" t="inlineStr">
        <is>
          <t>Transplanting (Pindot) or Direct Seeding (Pinaghandaan)</t>
        </is>
      </c>
      <c r="AP141" t="n">
        <v>6.33</v>
      </c>
    </row>
    <row r="142">
      <c r="B142" t="inlineStr">
        <is>
          <t>Palay</t>
        </is>
      </c>
      <c r="C142" t="inlineStr">
        <is>
          <t>San Pablo</t>
        </is>
      </c>
      <c r="D142" t="inlineStr">
        <is>
          <t>DS 2008</t>
        </is>
      </c>
      <c r="E142" t="n">
        <v>215.04</v>
      </c>
      <c r="F142" t="n">
        <v>134</v>
      </c>
      <c r="G142" t="n">
        <v>4.37</v>
      </c>
      <c r="H142" t="n">
        <v>20.7</v>
      </c>
      <c r="I142" t="n">
        <v>1.45</v>
      </c>
      <c r="J142" t="n">
        <v>23.94</v>
      </c>
      <c r="K142" t="n">
        <v>17.59</v>
      </c>
      <c r="L142" t="n">
        <v>30.5</v>
      </c>
      <c r="M142" t="n">
        <v>81.62</v>
      </c>
      <c r="N142" t="n">
        <v>98.54000000000001</v>
      </c>
      <c r="O142" t="n">
        <v>16.06</v>
      </c>
      <c r="P142" t="inlineStr">
        <is>
          <t>Sandy Loam</t>
        </is>
      </c>
      <c r="Y142" t="inlineStr">
        <is>
          <t>Conventional Tillage: 2 plowings + 2 harrowings; soil workable when moist</t>
        </is>
      </c>
      <c r="Z142" t="inlineStr">
        <is>
          <t>Intermittent irrigation (Alternate Wetting and Drying — AWD); moderate retention</t>
        </is>
      </c>
      <c r="AA142" t="inlineStr">
        <is>
          <t>Transplanting (Pindot) or Direct Seeding (Pinaghandaan)</t>
        </is>
      </c>
      <c r="AP142" t="n">
        <v>3.56</v>
      </c>
    </row>
    <row r="143">
      <c r="B143" t="inlineStr">
        <is>
          <t>Palay</t>
        </is>
      </c>
      <c r="C143" t="inlineStr">
        <is>
          <t>Santiago</t>
        </is>
      </c>
      <c r="D143" t="inlineStr">
        <is>
          <t>DS 2008</t>
        </is>
      </c>
      <c r="E143" t="n">
        <v>283.08</v>
      </c>
      <c r="F143" t="n">
        <v>85.18000000000001</v>
      </c>
      <c r="G143" t="n">
        <v>15.54</v>
      </c>
      <c r="H143" t="n">
        <v>81.66</v>
      </c>
      <c r="I143" t="n">
        <v>1.45</v>
      </c>
      <c r="J143" t="n">
        <v>23.94</v>
      </c>
      <c r="K143" t="n">
        <v>17.59</v>
      </c>
      <c r="L143" t="n">
        <v>30.5</v>
      </c>
      <c r="M143" t="n">
        <v>81.62</v>
      </c>
      <c r="N143" t="n">
        <v>98.54000000000001</v>
      </c>
      <c r="O143" t="n">
        <v>16.06</v>
      </c>
      <c r="P143" t="inlineStr">
        <is>
          <t>Silty Clay Loam</t>
        </is>
      </c>
      <c r="Y143" t="inlineStr">
        <is>
          <t>Wet Tillage (Puddling): 2 plowings + thorough harrowing under flooded condition</t>
        </is>
      </c>
      <c r="Z143" t="inlineStr">
        <is>
          <t>Continuous flooding 2–5 cm depth during vegetative stage; drain 2 weeks before harvest</t>
        </is>
      </c>
      <c r="AA143" t="inlineStr">
        <is>
          <t>Transplanting (Pindot) — optimal for clay-loam paddy fields</t>
        </is>
      </c>
      <c r="AP143" t="n">
        <v>8</v>
      </c>
    </row>
    <row r="144">
      <c r="B144" t="inlineStr">
        <is>
          <t>Palay</t>
        </is>
      </c>
      <c r="C144" t="inlineStr">
        <is>
          <t>Sta. Catalina</t>
        </is>
      </c>
      <c r="D144" t="inlineStr">
        <is>
          <t>DS 2008</t>
        </is>
      </c>
      <c r="E144" t="n">
        <v>709.8</v>
      </c>
      <c r="F144" t="n">
        <v>40.06</v>
      </c>
      <c r="G144" t="n">
        <v>2</v>
      </c>
      <c r="H144" t="n">
        <v>145.04</v>
      </c>
      <c r="I144" t="n">
        <v>1.45</v>
      </c>
      <c r="J144" t="n">
        <v>23.94</v>
      </c>
      <c r="K144" t="n">
        <v>17.59</v>
      </c>
      <c r="L144" t="n">
        <v>30.5</v>
      </c>
      <c r="M144" t="n">
        <v>81.62</v>
      </c>
      <c r="N144" t="n">
        <v>98.54000000000001</v>
      </c>
      <c r="O144" t="n">
        <v>16.06</v>
      </c>
      <c r="P144" t="inlineStr">
        <is>
          <t>Fine Sand / Sandy Loam</t>
        </is>
      </c>
      <c r="Y144" t="inlineStr">
        <is>
          <t>Minimum Tillage (avoid compaction; sandy structure fragile)</t>
        </is>
      </c>
      <c r="Z144" t="inlineStr">
        <is>
          <t>Continuous flooding or frequent irrigation; high percolation risk; terrace or bund-assisted water retention essential on slopes</t>
        </is>
      </c>
      <c r="AA144" t="inlineStr">
        <is>
          <t>Transplanting (Pindot)</t>
        </is>
      </c>
      <c r="AP144" t="n">
        <v>8</v>
      </c>
    </row>
    <row r="145">
      <c r="B145" t="inlineStr">
        <is>
          <t>Palay</t>
        </is>
      </c>
      <c r="C145" t="inlineStr">
        <is>
          <t>Sta. Maria Norte</t>
        </is>
      </c>
      <c r="D145" t="inlineStr">
        <is>
          <t>DS 2008</t>
        </is>
      </c>
      <c r="E145" t="n">
        <v>157.08</v>
      </c>
      <c r="F145" t="n">
        <v>25.5</v>
      </c>
      <c r="G145" t="n">
        <v>2</v>
      </c>
      <c r="H145" t="n">
        <v>20.7</v>
      </c>
      <c r="I145" t="n">
        <v>1.45</v>
      </c>
      <c r="J145" t="n">
        <v>23.94</v>
      </c>
      <c r="K145" t="n">
        <v>17.59</v>
      </c>
      <c r="L145" t="n">
        <v>30.5</v>
      </c>
      <c r="M145" t="n">
        <v>81.62</v>
      </c>
      <c r="N145" t="n">
        <v>98.54000000000001</v>
      </c>
      <c r="O145" t="n">
        <v>16.06</v>
      </c>
      <c r="P145" t="inlineStr">
        <is>
          <t>Sandy Loam</t>
        </is>
      </c>
      <c r="Y145" t="inlineStr">
        <is>
          <t>Conventional Tillage: 2 plowings + 2 harrowings; soil workable when moist</t>
        </is>
      </c>
      <c r="Z145" t="inlineStr">
        <is>
          <t>Intermittent irrigation (Alternate Wetting and Drying — AWD); moderate retention</t>
        </is>
      </c>
      <c r="AA145" t="inlineStr">
        <is>
          <t>Transplanting (Pindot) or Direct Seeding (Pinaghandaan)</t>
        </is>
      </c>
      <c r="AP145" t="n">
        <v>3.69</v>
      </c>
    </row>
    <row r="146">
      <c r="B146" t="inlineStr">
        <is>
          <t>Palay</t>
        </is>
      </c>
      <c r="C146" t="inlineStr">
        <is>
          <t>Sumabnit</t>
        </is>
      </c>
      <c r="D146" t="inlineStr">
        <is>
          <t>DS 2008</t>
        </is>
      </c>
      <c r="E146" t="n">
        <v>406.56</v>
      </c>
      <c r="F146" t="n">
        <v>10.5</v>
      </c>
      <c r="G146" t="n">
        <v>10.68</v>
      </c>
      <c r="H146" t="n">
        <v>81.66</v>
      </c>
      <c r="I146" t="n">
        <v>1.45</v>
      </c>
      <c r="J146" t="n">
        <v>23.94</v>
      </c>
      <c r="K146" t="n">
        <v>17.59</v>
      </c>
      <c r="L146" t="n">
        <v>30.5</v>
      </c>
      <c r="M146" t="n">
        <v>81.62</v>
      </c>
      <c r="N146" t="n">
        <v>98.54000000000001</v>
      </c>
      <c r="O146" t="n">
        <v>16.06</v>
      </c>
      <c r="P146" t="inlineStr">
        <is>
          <t>Silty Clay Loam / Fine Sandy Loam</t>
        </is>
      </c>
      <c r="Y146" t="inlineStr">
        <is>
          <t>Minimum Tillage (avoid compaction; sandy structure fragile)</t>
        </is>
      </c>
      <c r="Z146" t="inlineStr">
        <is>
          <t>Continuous flooding or frequent irrigation; high percolation risk</t>
        </is>
      </c>
      <c r="AA146" t="inlineStr">
        <is>
          <t>Transplanting (Pindot)</t>
        </is>
      </c>
      <c r="AP146" t="n">
        <v>8</v>
      </c>
    </row>
    <row r="147">
      <c r="B147" t="inlineStr">
        <is>
          <t>Palay</t>
        </is>
      </c>
      <c r="C147" t="inlineStr">
        <is>
          <t>Tabuyoc</t>
        </is>
      </c>
      <c r="D147" t="inlineStr">
        <is>
          <t>DS 2008</t>
        </is>
      </c>
      <c r="E147" t="n">
        <v>277.2</v>
      </c>
      <c r="F147" t="n">
        <v>126.9</v>
      </c>
      <c r="G147" t="n">
        <v>2</v>
      </c>
      <c r="H147" t="n">
        <v>81.66</v>
      </c>
      <c r="I147" t="n">
        <v>1.45</v>
      </c>
      <c r="J147" t="n">
        <v>23.94</v>
      </c>
      <c r="K147" t="n">
        <v>17.59</v>
      </c>
      <c r="L147" t="n">
        <v>30.5</v>
      </c>
      <c r="M147" t="n">
        <v>81.62</v>
      </c>
      <c r="N147" t="n">
        <v>98.54000000000001</v>
      </c>
      <c r="O147" t="n">
        <v>16.06</v>
      </c>
      <c r="P147" t="inlineStr">
        <is>
          <t>Silty Clay Loam</t>
        </is>
      </c>
      <c r="Y147" t="inlineStr">
        <is>
          <t>Wet Tillage (Puddling): 2 plowings + thorough harrowing under flooded condition</t>
        </is>
      </c>
      <c r="Z147" t="inlineStr">
        <is>
          <t>Continuous flooding 2–5 cm depth during vegetative stage; drain 2 weeks before harvest</t>
        </is>
      </c>
      <c r="AA147" t="inlineStr">
        <is>
          <t>Transplanting (Pindot) — optimal for clay-loam paddy fields</t>
        </is>
      </c>
      <c r="AP147" t="n">
        <v>8</v>
      </c>
    </row>
    <row r="148">
      <c r="B148" t="inlineStr">
        <is>
          <t>Palay</t>
        </is>
      </c>
      <c r="C148" t="inlineStr">
        <is>
          <t>Vacante</t>
        </is>
      </c>
      <c r="D148" t="inlineStr">
        <is>
          <t>DS 2008</t>
        </is>
      </c>
      <c r="E148" t="n">
        <v>484.68</v>
      </c>
      <c r="F148" t="n">
        <v>47.18</v>
      </c>
      <c r="G148" t="n">
        <v>10.95</v>
      </c>
      <c r="H148" t="n">
        <v>81.66</v>
      </c>
      <c r="I148" t="n">
        <v>1.45</v>
      </c>
      <c r="J148" t="n">
        <v>23.94</v>
      </c>
      <c r="K148" t="n">
        <v>17.59</v>
      </c>
      <c r="L148" t="n">
        <v>30.5</v>
      </c>
      <c r="M148" t="n">
        <v>81.62</v>
      </c>
      <c r="N148" t="n">
        <v>98.54000000000001</v>
      </c>
      <c r="O148" t="n">
        <v>16.06</v>
      </c>
      <c r="P148" t="inlineStr">
        <is>
          <t>Silty Clay Loam</t>
        </is>
      </c>
      <c r="Y148" t="inlineStr">
        <is>
          <t>Wet Tillage (Puddling): 2 plowings + thorough harrowing under flooded condition</t>
        </is>
      </c>
      <c r="Z148" t="inlineStr">
        <is>
          <t>Continuous flooding 2–5 cm depth during vegetative stage; drain 2 weeks before harvest</t>
        </is>
      </c>
      <c r="AA148" t="inlineStr">
        <is>
          <t>Transplanting (Pindot) — optimal for clay-loam paddy fields</t>
        </is>
      </c>
      <c r="AP148" t="n">
        <v>8</v>
      </c>
    </row>
    <row r="149">
      <c r="B149" t="inlineStr">
        <is>
          <t>Palay</t>
        </is>
      </c>
      <c r="C149" t="inlineStr">
        <is>
          <t>Balangobong</t>
        </is>
      </c>
      <c r="D149" t="inlineStr">
        <is>
          <t>DS 2009</t>
        </is>
      </c>
      <c r="E149" t="n">
        <v>281.4</v>
      </c>
      <c r="F149" t="n">
        <v>2</v>
      </c>
      <c r="G149" t="n">
        <v>5</v>
      </c>
      <c r="H149" t="n">
        <v>35.32</v>
      </c>
      <c r="I149" t="n">
        <v>0.37</v>
      </c>
      <c r="J149" t="n">
        <v>23.05</v>
      </c>
      <c r="K149" t="n">
        <v>14.1</v>
      </c>
      <c r="L149" t="n">
        <v>31.33</v>
      </c>
      <c r="M149" t="n">
        <v>77.59999999999999</v>
      </c>
      <c r="N149" t="n">
        <v>98.59999999999999</v>
      </c>
      <c r="O149" t="n">
        <v>15.67</v>
      </c>
      <c r="P149" t="inlineStr">
        <is>
          <t>Silty Clay Loam</t>
        </is>
      </c>
      <c r="Y149" t="inlineStr">
        <is>
          <t>Wet Tillage (Puddling): 2 plowings + thorough harrowing under flooded condition</t>
        </is>
      </c>
      <c r="Z149" t="inlineStr">
        <is>
          <t>Continuous flooding 2–5 cm depth during vegetative stage; drain 2 weeks before harvest</t>
        </is>
      </c>
      <c r="AA149" t="inlineStr">
        <is>
          <t>Transplanting (Pindot) — optimal for clay-loam paddy fields</t>
        </is>
      </c>
      <c r="AP149" t="n">
        <v>4.6375</v>
      </c>
    </row>
    <row r="150">
      <c r="B150" t="inlineStr">
        <is>
          <t>Palay</t>
        </is>
      </c>
      <c r="C150" t="inlineStr">
        <is>
          <t>Bugayong</t>
        </is>
      </c>
      <c r="D150" t="inlineStr">
        <is>
          <t>DS 2009</t>
        </is>
      </c>
      <c r="E150" t="n">
        <v>346.08</v>
      </c>
      <c r="F150" t="n">
        <v>3</v>
      </c>
      <c r="G150" t="n">
        <v>2</v>
      </c>
      <c r="H150" t="n">
        <v>41.02</v>
      </c>
      <c r="I150" t="n">
        <v>0.37</v>
      </c>
      <c r="J150" t="n">
        <v>23.05</v>
      </c>
      <c r="K150" t="n">
        <v>14.1</v>
      </c>
      <c r="L150" t="n">
        <v>31.33</v>
      </c>
      <c r="M150" t="n">
        <v>77.59999999999999</v>
      </c>
      <c r="N150" t="n">
        <v>98.59999999999999</v>
      </c>
      <c r="O150" t="n">
        <v>15.67</v>
      </c>
      <c r="P150" t="inlineStr">
        <is>
          <t>Sandy Loam / Silty Clay Loam</t>
        </is>
      </c>
      <c r="Y150" t="inlineStr">
        <is>
          <t>Conventional Tillage: 2 plowings + harrowing; puddle thoroughly for transplanting</t>
        </is>
      </c>
      <c r="Z150" t="inlineStr">
        <is>
          <t>Intermittent to continuous flooding; manage according to drainage section present</t>
        </is>
      </c>
      <c r="AA150" t="inlineStr">
        <is>
          <t>Transplanting (Pindot) — recommended; Direct Seeding possible in dry season</t>
        </is>
      </c>
      <c r="AP150" t="n">
        <v>4.94</v>
      </c>
    </row>
    <row r="151">
      <c r="B151" t="inlineStr">
        <is>
          <t>Palay</t>
        </is>
      </c>
      <c r="C151" t="inlineStr">
        <is>
          <t>Camanggaan</t>
        </is>
      </c>
      <c r="D151" t="inlineStr">
        <is>
          <t>DS 2009</t>
        </is>
      </c>
      <c r="E151" t="n">
        <v>244.44</v>
      </c>
      <c r="F151" t="n">
        <v>4</v>
      </c>
      <c r="G151" t="n">
        <v>2</v>
      </c>
      <c r="H151" t="n">
        <v>52.42</v>
      </c>
      <c r="I151" t="n">
        <v>0.37</v>
      </c>
      <c r="J151" t="n">
        <v>23.05</v>
      </c>
      <c r="K151" t="n">
        <v>14.1</v>
      </c>
      <c r="L151" t="n">
        <v>31.33</v>
      </c>
      <c r="M151" t="n">
        <v>77.59999999999999</v>
      </c>
      <c r="N151" t="n">
        <v>98.59999999999999</v>
      </c>
      <c r="O151" t="n">
        <v>15.67</v>
      </c>
      <c r="P151" t="inlineStr">
        <is>
          <t>Sandy Loam</t>
        </is>
      </c>
      <c r="Y151" t="inlineStr">
        <is>
          <t>Conventional Tillage: 2 plowings + 2 harrowings; soil workable when moist</t>
        </is>
      </c>
      <c r="Z151" t="inlineStr">
        <is>
          <t>Intermittent irrigation (Alternate Wetting and Drying — AWD); moderate retention</t>
        </is>
      </c>
      <c r="AA151" t="inlineStr">
        <is>
          <t>Transplanting (Pindot) or Direct Seeding (Pinaghandaan)</t>
        </is>
      </c>
      <c r="AP151" t="n">
        <v>4.913125</v>
      </c>
    </row>
    <row r="152">
      <c r="B152" t="inlineStr">
        <is>
          <t>Palay</t>
        </is>
      </c>
      <c r="C152" t="inlineStr">
        <is>
          <t>Capas</t>
        </is>
      </c>
      <c r="D152" t="inlineStr">
        <is>
          <t>DS 2009</t>
        </is>
      </c>
      <c r="E152" t="n">
        <v>377.16</v>
      </c>
      <c r="F152" t="n">
        <v>13</v>
      </c>
      <c r="G152" t="n">
        <v>1</v>
      </c>
      <c r="H152" t="n">
        <v>52.42</v>
      </c>
      <c r="I152" t="n">
        <v>0.37</v>
      </c>
      <c r="J152" t="n">
        <v>23.05</v>
      </c>
      <c r="K152" t="n">
        <v>14.1</v>
      </c>
      <c r="L152" t="n">
        <v>31.33</v>
      </c>
      <c r="M152" t="n">
        <v>77.59999999999999</v>
      </c>
      <c r="N152" t="n">
        <v>98.59999999999999</v>
      </c>
      <c r="O152" t="n">
        <v>15.67</v>
      </c>
      <c r="P152" t="inlineStr">
        <is>
          <t>Sandy Loam</t>
        </is>
      </c>
      <c r="Y152" t="inlineStr">
        <is>
          <t>Conventional Tillage: 2 plowings + 2 harrowings; soil workable when moist</t>
        </is>
      </c>
      <c r="Z152" t="inlineStr">
        <is>
          <t>Intermittent irrigation (Alternate Wetting and Drying — AWD); moderate retention</t>
        </is>
      </c>
      <c r="AA152" t="inlineStr">
        <is>
          <t>Transplanting (Pindot) or Direct Seeding (Pinaghandaan)</t>
        </is>
      </c>
      <c r="AP152" t="n">
        <v>5.768750000000001</v>
      </c>
    </row>
    <row r="153">
      <c r="B153" t="inlineStr">
        <is>
          <t>Palay</t>
        </is>
      </c>
      <c r="C153" t="inlineStr">
        <is>
          <t>Cili</t>
        </is>
      </c>
      <c r="D153" t="inlineStr">
        <is>
          <t>DS 2009</t>
        </is>
      </c>
      <c r="E153" t="n">
        <v>264.6</v>
      </c>
      <c r="F153" t="n">
        <v>2</v>
      </c>
      <c r="G153" t="n">
        <v>2</v>
      </c>
      <c r="H153" t="n">
        <v>35.32</v>
      </c>
      <c r="I153" t="n">
        <v>0.37</v>
      </c>
      <c r="J153" t="n">
        <v>23.05</v>
      </c>
      <c r="K153" t="n">
        <v>14.1</v>
      </c>
      <c r="L153" t="n">
        <v>31.33</v>
      </c>
      <c r="M153" t="n">
        <v>77.59999999999999</v>
      </c>
      <c r="N153" t="n">
        <v>98.59999999999999</v>
      </c>
      <c r="O153" t="n">
        <v>15.67</v>
      </c>
      <c r="P153" t="inlineStr">
        <is>
          <t>Silty Clay Loam</t>
        </is>
      </c>
      <c r="Y153" t="inlineStr">
        <is>
          <t>Wet Tillage (Puddling): 2 plowings + thorough harrowing under flooded condition</t>
        </is>
      </c>
      <c r="Z153" t="inlineStr">
        <is>
          <t>Continuous flooding 2–5 cm depth during vegetative stage; drain 2 weeks before harvest</t>
        </is>
      </c>
      <c r="AA153" t="inlineStr">
        <is>
          <t>Transplanting (Pindot) — optimal for clay-loam paddy fields</t>
        </is>
      </c>
      <c r="AP153" t="n">
        <v>3.386153846153846</v>
      </c>
    </row>
    <row r="154">
      <c r="B154" t="inlineStr">
        <is>
          <t>Palay</t>
        </is>
      </c>
      <c r="C154" t="inlineStr">
        <is>
          <t>Mangkasuy</t>
        </is>
      </c>
      <c r="D154" t="inlineStr">
        <is>
          <t>DS 2009</t>
        </is>
      </c>
      <c r="E154" t="n">
        <v>802.2</v>
      </c>
      <c r="F154" t="n">
        <v>12.25</v>
      </c>
      <c r="G154" t="n">
        <v>2</v>
      </c>
      <c r="H154" t="n">
        <v>70.81999999999999</v>
      </c>
      <c r="I154" t="n">
        <v>0.37</v>
      </c>
      <c r="J154" t="n">
        <v>23.05</v>
      </c>
      <c r="K154" t="n">
        <v>14.1</v>
      </c>
      <c r="L154" t="n">
        <v>31.33</v>
      </c>
      <c r="M154" t="n">
        <v>77.59999999999999</v>
      </c>
      <c r="N154" t="n">
        <v>98.59999999999999</v>
      </c>
      <c r="O154" t="n">
        <v>15.67</v>
      </c>
      <c r="P154" t="inlineStr">
        <is>
          <t>Sandy Loam</t>
        </is>
      </c>
      <c r="Y154" t="inlineStr">
        <is>
          <t>Conventional Tillage: 2 plowings + 2 harrowings; soil workable when moist</t>
        </is>
      </c>
      <c r="Z154" t="inlineStr">
        <is>
          <t>Intermittent irrigation (Alternate Wetting and Drying — AWD); moderate retention</t>
        </is>
      </c>
      <c r="AA154" t="inlineStr">
        <is>
          <t>Transplanting (Pindot) or Direct Seeding (Pinaghandaan)</t>
        </is>
      </c>
      <c r="AP154" t="n">
        <v>4.494375</v>
      </c>
    </row>
    <row r="155">
      <c r="B155" t="inlineStr">
        <is>
          <t>Palay</t>
        </is>
      </c>
      <c r="C155" t="inlineStr">
        <is>
          <t>Pasileng Norte</t>
        </is>
      </c>
      <c r="D155" t="inlineStr">
        <is>
          <t>DS 2009</t>
        </is>
      </c>
      <c r="E155" t="n">
        <v>140.28</v>
      </c>
      <c r="F155" t="n">
        <v>86</v>
      </c>
      <c r="G155" t="n">
        <v>2</v>
      </c>
      <c r="H155" t="n">
        <v>26.4</v>
      </c>
      <c r="I155" t="n">
        <v>0.37</v>
      </c>
      <c r="J155" t="n">
        <v>23.05</v>
      </c>
      <c r="K155" t="n">
        <v>14.1</v>
      </c>
      <c r="L155" t="n">
        <v>31.33</v>
      </c>
      <c r="M155" t="n">
        <v>77.59999999999999</v>
      </c>
      <c r="N155" t="n">
        <v>98.59999999999999</v>
      </c>
      <c r="O155" t="n">
        <v>15.67</v>
      </c>
      <c r="P155" t="inlineStr">
        <is>
          <t>Sandy Loam</t>
        </is>
      </c>
      <c r="Y155" t="inlineStr">
        <is>
          <t>Conventional Tillage: 2 plowings + 2 harrowings; soil workable when moist</t>
        </is>
      </c>
      <c r="Z155" t="inlineStr">
        <is>
          <t>Intermittent irrigation (Alternate Wetting and Drying — AWD); moderate retention</t>
        </is>
      </c>
      <c r="AA155" t="inlineStr">
        <is>
          <t>Transplanting (Pindot) or Direct Seeding (Pinaghandaan)</t>
        </is>
      </c>
      <c r="AP155" t="n">
        <v>5.75125</v>
      </c>
    </row>
    <row r="156">
      <c r="B156" t="inlineStr">
        <is>
          <t>Palay</t>
        </is>
      </c>
      <c r="C156" t="inlineStr">
        <is>
          <t>Pasileng Sur</t>
        </is>
      </c>
      <c r="D156" t="inlineStr">
        <is>
          <t>DS 2009</t>
        </is>
      </c>
      <c r="E156" t="n">
        <v>414.96</v>
      </c>
      <c r="F156" t="n">
        <v>5</v>
      </c>
      <c r="G156" t="n">
        <v>3</v>
      </c>
      <c r="H156" t="n">
        <v>41.02</v>
      </c>
      <c r="I156" t="n">
        <v>0.37</v>
      </c>
      <c r="J156" t="n">
        <v>23.05</v>
      </c>
      <c r="K156" t="n">
        <v>14.1</v>
      </c>
      <c r="L156" t="n">
        <v>31.33</v>
      </c>
      <c r="M156" t="n">
        <v>77.59999999999999</v>
      </c>
      <c r="N156" t="n">
        <v>98.59999999999999</v>
      </c>
      <c r="O156" t="n">
        <v>15.67</v>
      </c>
      <c r="P156" t="inlineStr">
        <is>
          <t>Sandy Loam</t>
        </is>
      </c>
      <c r="Y156" t="inlineStr">
        <is>
          <t>Conventional Tillage: 2 plowings + 2 harrowings; soil workable when moist</t>
        </is>
      </c>
      <c r="Z156" t="inlineStr">
        <is>
          <t>Intermittent irrigation (Alternate Wetting and Drying — AWD); moderate retention</t>
        </is>
      </c>
      <c r="AA156" t="inlineStr">
        <is>
          <t>Transplanting (Pindot) or Direct Seeding (Pinaghandaan)</t>
        </is>
      </c>
      <c r="AP156" t="n">
        <v>5.21</v>
      </c>
    </row>
    <row r="157">
      <c r="B157" t="inlineStr">
        <is>
          <t>Palay</t>
        </is>
      </c>
      <c r="C157" t="inlineStr">
        <is>
          <t>San Felipe Central</t>
        </is>
      </c>
      <c r="D157" t="inlineStr">
        <is>
          <t>DS 2009</t>
        </is>
      </c>
      <c r="E157" t="n">
        <v>452.76</v>
      </c>
      <c r="F157" t="n">
        <v>4</v>
      </c>
      <c r="G157" t="n">
        <v>5</v>
      </c>
      <c r="H157" t="n">
        <v>41.02</v>
      </c>
      <c r="I157" t="n">
        <v>0.37</v>
      </c>
      <c r="J157" t="n">
        <v>23.05</v>
      </c>
      <c r="K157" t="n">
        <v>14.1</v>
      </c>
      <c r="L157" t="n">
        <v>31.33</v>
      </c>
      <c r="M157" t="n">
        <v>77.59999999999999</v>
      </c>
      <c r="N157" t="n">
        <v>98.59999999999999</v>
      </c>
      <c r="O157" t="n">
        <v>15.67</v>
      </c>
      <c r="P157" t="inlineStr">
        <is>
          <t>Sandy Loam</t>
        </is>
      </c>
      <c r="Y157" t="inlineStr">
        <is>
          <t>Conventional Tillage: 2 plowings + 2 harrowings; soil workable when moist</t>
        </is>
      </c>
      <c r="Z157" t="inlineStr">
        <is>
          <t>Intermittent irrigation (Alternate Wetting and Drying — AWD); moderate retention</t>
        </is>
      </c>
      <c r="AA157" t="inlineStr">
        <is>
          <t>Transplanting (Pindot) or Direct Seeding (Pinaghandaan)</t>
        </is>
      </c>
      <c r="AP157" t="n">
        <v>4.781999999999999</v>
      </c>
    </row>
    <row r="158">
      <c r="B158" t="inlineStr">
        <is>
          <t>Palay</t>
        </is>
      </c>
      <c r="C158" t="inlineStr">
        <is>
          <t>San Felipe Sur</t>
        </is>
      </c>
      <c r="D158" t="inlineStr">
        <is>
          <t>DS 2009</t>
        </is>
      </c>
      <c r="E158" t="n">
        <v>504</v>
      </c>
      <c r="F158" t="n">
        <v>3</v>
      </c>
      <c r="G158" t="n">
        <v>3</v>
      </c>
      <c r="H158" t="n">
        <v>26.4</v>
      </c>
      <c r="I158" t="n">
        <v>0.37</v>
      </c>
      <c r="J158" t="n">
        <v>23.05</v>
      </c>
      <c r="K158" t="n">
        <v>14.1</v>
      </c>
      <c r="L158" t="n">
        <v>31.33</v>
      </c>
      <c r="M158" t="n">
        <v>77.59999999999999</v>
      </c>
      <c r="N158" t="n">
        <v>98.59999999999999</v>
      </c>
      <c r="O158" t="n">
        <v>15.67</v>
      </c>
      <c r="P158" t="inlineStr">
        <is>
          <t>Sandy Loam</t>
        </is>
      </c>
      <c r="Y158" t="inlineStr">
        <is>
          <t>Conventional Tillage: 2 plowings + 2 harrowings; soil workable when moist</t>
        </is>
      </c>
      <c r="Z158" t="inlineStr">
        <is>
          <t>Intermittent irrigation (Alternate Wetting and Drying — AWD); moderate retention</t>
        </is>
      </c>
      <c r="AA158" t="inlineStr">
        <is>
          <t>Transplanting (Pindot) or Direct Seeding (Pinaghandaan)</t>
        </is>
      </c>
      <c r="AP158" t="n">
        <v>4.83375</v>
      </c>
    </row>
    <row r="159">
      <c r="B159" t="inlineStr">
        <is>
          <t>Palay</t>
        </is>
      </c>
      <c r="C159" t="inlineStr">
        <is>
          <t>San Pablo</t>
        </is>
      </c>
      <c r="D159" t="inlineStr">
        <is>
          <t>DS 2009</t>
        </is>
      </c>
      <c r="E159" t="n">
        <v>215.04</v>
      </c>
      <c r="F159" t="n">
        <v>5</v>
      </c>
      <c r="G159" t="n">
        <v>1</v>
      </c>
      <c r="H159" t="n">
        <v>20.7</v>
      </c>
      <c r="I159" t="n">
        <v>0.37</v>
      </c>
      <c r="J159" t="n">
        <v>23.05</v>
      </c>
      <c r="K159" t="n">
        <v>14.1</v>
      </c>
      <c r="L159" t="n">
        <v>31.33</v>
      </c>
      <c r="M159" t="n">
        <v>77.59999999999999</v>
      </c>
      <c r="N159" t="n">
        <v>98.59999999999999</v>
      </c>
      <c r="O159" t="n">
        <v>15.67</v>
      </c>
      <c r="P159" t="inlineStr">
        <is>
          <t>Sandy Loam</t>
        </is>
      </c>
      <c r="Y159" t="inlineStr">
        <is>
          <t>Conventional Tillage: 2 plowings + 2 harrowings; soil workable when moist</t>
        </is>
      </c>
      <c r="Z159" t="inlineStr">
        <is>
          <t>Intermittent irrigation (Alternate Wetting and Drying — AWD); moderate retention</t>
        </is>
      </c>
      <c r="AA159" t="inlineStr">
        <is>
          <t>Transplanting (Pindot) or Direct Seeding (Pinaghandaan)</t>
        </is>
      </c>
      <c r="AP159" t="n">
        <v>5.113125</v>
      </c>
    </row>
    <row r="160">
      <c r="B160" t="inlineStr">
        <is>
          <t>Palay</t>
        </is>
      </c>
      <c r="C160" t="inlineStr">
        <is>
          <t>Sta. Maria Norte</t>
        </is>
      </c>
      <c r="D160" t="inlineStr">
        <is>
          <t>DS 2009</t>
        </is>
      </c>
      <c r="E160" t="n">
        <v>157.08</v>
      </c>
      <c r="F160" t="n">
        <v>12.25</v>
      </c>
      <c r="G160" t="n">
        <v>2</v>
      </c>
      <c r="H160" t="n">
        <v>20.7</v>
      </c>
      <c r="I160" t="n">
        <v>0.37</v>
      </c>
      <c r="J160" t="n">
        <v>23.05</v>
      </c>
      <c r="K160" t="n">
        <v>14.1</v>
      </c>
      <c r="L160" t="n">
        <v>31.33</v>
      </c>
      <c r="M160" t="n">
        <v>77.59999999999999</v>
      </c>
      <c r="N160" t="n">
        <v>98.59999999999999</v>
      </c>
      <c r="O160" t="n">
        <v>15.67</v>
      </c>
      <c r="P160" t="inlineStr">
        <is>
          <t>Sandy Loam</t>
        </is>
      </c>
      <c r="Y160" t="inlineStr">
        <is>
          <t>Conventional Tillage: 2 plowings + 2 harrowings; soil workable when moist</t>
        </is>
      </c>
      <c r="Z160" t="inlineStr">
        <is>
          <t>Intermittent irrigation (Alternate Wetting and Drying — AWD); moderate retention</t>
        </is>
      </c>
      <c r="AA160" t="inlineStr">
        <is>
          <t>Transplanting (Pindot) or Direct Seeding (Pinaghandaan)</t>
        </is>
      </c>
      <c r="AP160" t="n">
        <v>3.915</v>
      </c>
    </row>
    <row r="161">
      <c r="B161" t="inlineStr">
        <is>
          <t>Palay</t>
        </is>
      </c>
      <c r="C161" t="inlineStr">
        <is>
          <t>Sumabnit</t>
        </is>
      </c>
      <c r="D161" t="inlineStr">
        <is>
          <t>DS 2009</t>
        </is>
      </c>
      <c r="E161" t="n">
        <v>406.56</v>
      </c>
      <c r="F161" t="n">
        <v>35.22</v>
      </c>
      <c r="G161" t="n">
        <v>2</v>
      </c>
      <c r="H161" t="n">
        <v>81.66</v>
      </c>
      <c r="I161" t="n">
        <v>0.37</v>
      </c>
      <c r="J161" t="n">
        <v>23.05</v>
      </c>
      <c r="K161" t="n">
        <v>14.1</v>
      </c>
      <c r="L161" t="n">
        <v>31.33</v>
      </c>
      <c r="M161" t="n">
        <v>77.59999999999999</v>
      </c>
      <c r="N161" t="n">
        <v>98.59999999999999</v>
      </c>
      <c r="O161" t="n">
        <v>15.67</v>
      </c>
      <c r="P161" t="inlineStr">
        <is>
          <t>Silty Clay Loam / Fine Sandy Loam</t>
        </is>
      </c>
      <c r="Y161" t="inlineStr">
        <is>
          <t>Minimum Tillage (avoid compaction; sandy structure fragile)</t>
        </is>
      </c>
      <c r="Z161" t="inlineStr">
        <is>
          <t>Continuous flooding or frequent irrigation; high percolation risk</t>
        </is>
      </c>
      <c r="AA161" t="inlineStr">
        <is>
          <t>Transplanting (Pindot)</t>
        </is>
      </c>
      <c r="AP161" t="n">
        <v>4.894375</v>
      </c>
    </row>
    <row r="162">
      <c r="B162" t="inlineStr">
        <is>
          <t>Palay</t>
        </is>
      </c>
      <c r="C162" t="inlineStr">
        <is>
          <t>Tabuyoc</t>
        </is>
      </c>
      <c r="D162" t="inlineStr">
        <is>
          <t>DS 2009</t>
        </is>
      </c>
      <c r="E162" t="n">
        <v>277.2</v>
      </c>
      <c r="F162" t="n">
        <v>2</v>
      </c>
      <c r="G162" t="n">
        <v>2</v>
      </c>
      <c r="H162" t="n">
        <v>81.66</v>
      </c>
      <c r="I162" t="n">
        <v>0.37</v>
      </c>
      <c r="J162" t="n">
        <v>23.05</v>
      </c>
      <c r="K162" t="n">
        <v>14.1</v>
      </c>
      <c r="L162" t="n">
        <v>31.33</v>
      </c>
      <c r="M162" t="n">
        <v>77.59999999999999</v>
      </c>
      <c r="N162" t="n">
        <v>98.59999999999999</v>
      </c>
      <c r="O162" t="n">
        <v>15.67</v>
      </c>
      <c r="P162" t="inlineStr">
        <is>
          <t>Silty Clay Loam</t>
        </is>
      </c>
      <c r="Y162" t="inlineStr">
        <is>
          <t>Wet Tillage (Puddling): 2 plowings + thorough harrowing under flooded condition</t>
        </is>
      </c>
      <c r="Z162" t="inlineStr">
        <is>
          <t>Continuous flooding 2–5 cm depth during vegetative stage; drain 2 weeks before harvest</t>
        </is>
      </c>
      <c r="AA162" t="inlineStr">
        <is>
          <t>Transplanting (Pindot) — optimal for clay-loam paddy fields</t>
        </is>
      </c>
      <c r="AP162" t="n">
        <v>4.3925</v>
      </c>
    </row>
    <row r="163">
      <c r="B163" t="inlineStr">
        <is>
          <t>Palay</t>
        </is>
      </c>
      <c r="C163" t="inlineStr">
        <is>
          <t>Balangobong</t>
        </is>
      </c>
      <c r="D163" t="inlineStr">
        <is>
          <t>DS 2011</t>
        </is>
      </c>
      <c r="E163" t="n">
        <v>281.4</v>
      </c>
      <c r="F163" t="n">
        <v>120</v>
      </c>
      <c r="G163" t="n">
        <v>2</v>
      </c>
      <c r="H163" t="n">
        <v>35.32</v>
      </c>
      <c r="I163" t="n">
        <v>1.5</v>
      </c>
      <c r="J163" t="n">
        <v>23.26</v>
      </c>
      <c r="K163" t="n">
        <v>16.59</v>
      </c>
      <c r="L163" t="n">
        <v>29.76</v>
      </c>
      <c r="M163" t="n">
        <v>81.59</v>
      </c>
      <c r="N163" t="n">
        <v>98.45999999999999</v>
      </c>
      <c r="O163" t="n">
        <v>15.11</v>
      </c>
      <c r="P163" t="inlineStr">
        <is>
          <t>Silty Clay Loam</t>
        </is>
      </c>
      <c r="Y163" t="inlineStr">
        <is>
          <t>Wet Tillage (Puddling): 2 plowings + thorough harrowing under flooded condition</t>
        </is>
      </c>
      <c r="Z163" t="inlineStr">
        <is>
          <t>Continuous flooding 2–5 cm depth during vegetative stage; drain 2 weeks before harvest</t>
        </is>
      </c>
      <c r="AA163" t="inlineStr">
        <is>
          <t>Transplanting (Pindot) — optimal for clay-loam paddy fields</t>
        </is>
      </c>
      <c r="AP163" t="n">
        <v>8</v>
      </c>
    </row>
    <row r="164">
      <c r="B164" t="inlineStr">
        <is>
          <t>Palay</t>
        </is>
      </c>
      <c r="C164" t="inlineStr">
        <is>
          <t>Bued</t>
        </is>
      </c>
      <c r="D164" t="inlineStr">
        <is>
          <t>DS 2011</t>
        </is>
      </c>
      <c r="E164" t="n">
        <v>210.84</v>
      </c>
      <c r="F164" t="n">
        <v>105.4</v>
      </c>
      <c r="G164" t="n">
        <v>2</v>
      </c>
      <c r="H164" t="n">
        <v>35.32</v>
      </c>
      <c r="I164" t="n">
        <v>1.5</v>
      </c>
      <c r="J164" t="n">
        <v>23.26</v>
      </c>
      <c r="K164" t="n">
        <v>16.59</v>
      </c>
      <c r="L164" t="n">
        <v>29.76</v>
      </c>
      <c r="M164" t="n">
        <v>81.59</v>
      </c>
      <c r="N164" t="n">
        <v>98.45999999999999</v>
      </c>
      <c r="O164" t="n">
        <v>15.11</v>
      </c>
      <c r="P164" t="inlineStr">
        <is>
          <t>Silty Clay Loam</t>
        </is>
      </c>
      <c r="Y164" t="inlineStr">
        <is>
          <t>Wet Tillage (Puddling): 2 plowings + thorough harrowing under flooded condition</t>
        </is>
      </c>
      <c r="Z164" t="inlineStr">
        <is>
          <t>Continuous flooding 2–5 cm depth during vegetative stage; drain 2 weeks before harvest</t>
        </is>
      </c>
      <c r="AA164" t="inlineStr">
        <is>
          <t>Transplanting (Pindot) — optimal for clay-loam paddy fields</t>
        </is>
      </c>
      <c r="AP164" t="n">
        <v>4.268</v>
      </c>
    </row>
    <row r="165">
      <c r="B165" t="inlineStr">
        <is>
          <t>Palay</t>
        </is>
      </c>
      <c r="C165" t="inlineStr">
        <is>
          <t>Bugayong</t>
        </is>
      </c>
      <c r="D165" t="inlineStr">
        <is>
          <t>DS 2011</t>
        </is>
      </c>
      <c r="E165" t="n">
        <v>346.08</v>
      </c>
      <c r="F165" t="n">
        <v>16.6</v>
      </c>
      <c r="G165" t="n">
        <v>2</v>
      </c>
      <c r="H165" t="n">
        <v>41.02</v>
      </c>
      <c r="I165" t="n">
        <v>1.5</v>
      </c>
      <c r="J165" t="n">
        <v>23.26</v>
      </c>
      <c r="K165" t="n">
        <v>16.59</v>
      </c>
      <c r="L165" t="n">
        <v>29.76</v>
      </c>
      <c r="M165" t="n">
        <v>81.59</v>
      </c>
      <c r="N165" t="n">
        <v>98.45999999999999</v>
      </c>
      <c r="O165" t="n">
        <v>15.11</v>
      </c>
      <c r="P165" t="inlineStr">
        <is>
          <t>Sandy Loam / Silty Clay Loam</t>
        </is>
      </c>
      <c r="Y165" t="inlineStr">
        <is>
          <t>Conventional Tillage: 2 plowings + harrowing; puddle thoroughly for transplanting</t>
        </is>
      </c>
      <c r="Z165" t="inlineStr">
        <is>
          <t>Intermittent to continuous flooding; manage according to drainage section present</t>
        </is>
      </c>
      <c r="AA165" t="inlineStr">
        <is>
          <t>Transplanting (Pindot) — recommended; Direct Seeding possible in dry season</t>
        </is>
      </c>
      <c r="AP165" t="n">
        <v>8</v>
      </c>
    </row>
    <row r="166">
      <c r="B166" t="inlineStr">
        <is>
          <t>Palay</t>
        </is>
      </c>
      <c r="C166" t="inlineStr">
        <is>
          <t>Camanggaan</t>
        </is>
      </c>
      <c r="D166" t="inlineStr">
        <is>
          <t>DS 2011</t>
        </is>
      </c>
      <c r="E166" t="n">
        <v>244.44</v>
      </c>
      <c r="F166" t="n">
        <v>10</v>
      </c>
      <c r="G166" t="n">
        <v>2</v>
      </c>
      <c r="H166" t="n">
        <v>72.73999999999999</v>
      </c>
      <c r="I166" t="n">
        <v>1.5</v>
      </c>
      <c r="J166" t="n">
        <v>23.26</v>
      </c>
      <c r="K166" t="n">
        <v>16.59</v>
      </c>
      <c r="L166" t="n">
        <v>29.76</v>
      </c>
      <c r="M166" t="n">
        <v>81.59</v>
      </c>
      <c r="N166" t="n">
        <v>98.45999999999999</v>
      </c>
      <c r="O166" t="n">
        <v>15.11</v>
      </c>
      <c r="P166" t="inlineStr">
        <is>
          <t>Sandy Loam</t>
        </is>
      </c>
      <c r="Y166" t="inlineStr">
        <is>
          <t>Conventional Tillage: 2 plowings + 2 harrowings; soil workable when moist</t>
        </is>
      </c>
      <c r="Z166" t="inlineStr">
        <is>
          <t>Intermittent irrigation (Alternate Wetting and Drying — AWD); moderate retention</t>
        </is>
      </c>
      <c r="AA166" t="inlineStr">
        <is>
          <t>Transplanting (Pindot) or Direct Seeding (Pinaghandaan)</t>
        </is>
      </c>
      <c r="AP166" t="n">
        <v>8</v>
      </c>
    </row>
    <row r="167">
      <c r="B167" t="inlineStr">
        <is>
          <t>Palay</t>
        </is>
      </c>
      <c r="C167" t="inlineStr">
        <is>
          <t>Capas</t>
        </is>
      </c>
      <c r="D167" t="inlineStr">
        <is>
          <t>DS 2011</t>
        </is>
      </c>
      <c r="E167" t="n">
        <v>377.16</v>
      </c>
      <c r="F167" t="n">
        <v>179</v>
      </c>
      <c r="G167" t="n">
        <v>2</v>
      </c>
      <c r="H167" t="n">
        <v>52.42</v>
      </c>
      <c r="I167" t="n">
        <v>1.5</v>
      </c>
      <c r="J167" t="n">
        <v>23.26</v>
      </c>
      <c r="K167" t="n">
        <v>16.59</v>
      </c>
      <c r="L167" t="n">
        <v>29.76</v>
      </c>
      <c r="M167" t="n">
        <v>81.59</v>
      </c>
      <c r="N167" t="n">
        <v>98.45999999999999</v>
      </c>
      <c r="O167" t="n">
        <v>15.11</v>
      </c>
      <c r="P167" t="inlineStr">
        <is>
          <t>Sandy Loam</t>
        </is>
      </c>
      <c r="Y167" t="inlineStr">
        <is>
          <t>Conventional Tillage: 2 plowings + 2 harrowings; soil workable when moist</t>
        </is>
      </c>
      <c r="Z167" t="inlineStr">
        <is>
          <t>Intermittent irrigation (Alternate Wetting and Drying — AWD); moderate retention</t>
        </is>
      </c>
      <c r="AA167" t="inlineStr">
        <is>
          <t>Transplanting (Pindot) or Direct Seeding (Pinaghandaan)</t>
        </is>
      </c>
      <c r="AP167" t="n">
        <v>8</v>
      </c>
    </row>
    <row r="168">
      <c r="B168" t="inlineStr">
        <is>
          <t>Palay</t>
        </is>
      </c>
      <c r="C168" t="inlineStr">
        <is>
          <t>Cili</t>
        </is>
      </c>
      <c r="D168" t="inlineStr">
        <is>
          <t>DS 2011</t>
        </is>
      </c>
      <c r="E168" t="n">
        <v>264.6</v>
      </c>
      <c r="F168" t="n">
        <v>14</v>
      </c>
      <c r="G168" t="n">
        <v>2</v>
      </c>
      <c r="H168" t="n">
        <v>35.32</v>
      </c>
      <c r="I168" t="n">
        <v>1.5</v>
      </c>
      <c r="J168" t="n">
        <v>23.26</v>
      </c>
      <c r="K168" t="n">
        <v>16.59</v>
      </c>
      <c r="L168" t="n">
        <v>29.76</v>
      </c>
      <c r="M168" t="n">
        <v>81.59</v>
      </c>
      <c r="N168" t="n">
        <v>98.45999999999999</v>
      </c>
      <c r="O168" t="n">
        <v>15.11</v>
      </c>
      <c r="P168" t="inlineStr">
        <is>
          <t>Silty Clay Loam</t>
        </is>
      </c>
      <c r="Y168" t="inlineStr">
        <is>
          <t>Wet Tillage (Puddling): 2 plowings + thorough harrowing under flooded condition</t>
        </is>
      </c>
      <c r="Z168" t="inlineStr">
        <is>
          <t>Continuous flooding 2–5 cm depth during vegetative stage; drain 2 weeks before harvest</t>
        </is>
      </c>
      <c r="AA168" t="inlineStr">
        <is>
          <t>Transplanting (Pindot) — optimal for clay-loam paddy fields</t>
        </is>
      </c>
      <c r="AP168" t="n">
        <v>8</v>
      </c>
    </row>
    <row r="169">
      <c r="B169" t="inlineStr">
        <is>
          <t>Palay</t>
        </is>
      </c>
      <c r="C169" t="inlineStr">
        <is>
          <t>Dumayat</t>
        </is>
      </c>
      <c r="D169" t="inlineStr">
        <is>
          <t>DS 2011</t>
        </is>
      </c>
      <c r="E169" t="n">
        <v>266.28</v>
      </c>
      <c r="F169" t="n">
        <v>12.25</v>
      </c>
      <c r="G169" t="n">
        <v>2</v>
      </c>
      <c r="H169" t="n">
        <v>35.32</v>
      </c>
      <c r="I169" t="n">
        <v>1.5</v>
      </c>
      <c r="J169" t="n">
        <v>23.26</v>
      </c>
      <c r="K169" t="n">
        <v>16.59</v>
      </c>
      <c r="L169" t="n">
        <v>29.76</v>
      </c>
      <c r="M169" t="n">
        <v>81.59</v>
      </c>
      <c r="N169" t="n">
        <v>98.45999999999999</v>
      </c>
      <c r="O169" t="n">
        <v>15.11</v>
      </c>
      <c r="P169" t="inlineStr">
        <is>
          <t>Silty Clay Loam</t>
        </is>
      </c>
      <c r="Y169" t="inlineStr">
        <is>
          <t>Wet Tillage (Puddling): 2 plowings + thorough harrowing under flooded condition</t>
        </is>
      </c>
      <c r="Z169" t="inlineStr">
        <is>
          <t>Continuous flooding 2–5 cm depth during vegetative stage; drain 2 weeks before harvest</t>
        </is>
      </c>
      <c r="AA169" t="inlineStr">
        <is>
          <t>Transplanting (Pindot) — optimal for clay-loam paddy fields</t>
        </is>
      </c>
      <c r="AP169" t="n">
        <v>3.111</v>
      </c>
    </row>
    <row r="170">
      <c r="B170" t="inlineStr">
        <is>
          <t>Palay</t>
        </is>
      </c>
      <c r="C170" t="inlineStr">
        <is>
          <t>Linmansangan</t>
        </is>
      </c>
      <c r="D170" t="inlineStr">
        <is>
          <t>DS 2011</t>
        </is>
      </c>
      <c r="E170" t="n">
        <v>492.24</v>
      </c>
      <c r="F170" t="n">
        <v>12.25</v>
      </c>
      <c r="G170" t="n">
        <v>2</v>
      </c>
      <c r="H170" t="n">
        <v>81.66</v>
      </c>
      <c r="I170" t="n">
        <v>1.5</v>
      </c>
      <c r="J170" t="n">
        <v>23.26</v>
      </c>
      <c r="K170" t="n">
        <v>16.59</v>
      </c>
      <c r="L170" t="n">
        <v>29.76</v>
      </c>
      <c r="M170" t="n">
        <v>81.59</v>
      </c>
      <c r="N170" t="n">
        <v>98.45999999999999</v>
      </c>
      <c r="O170" t="n">
        <v>15.11</v>
      </c>
      <c r="P170" t="inlineStr">
        <is>
          <t>Silty Clay Loam</t>
        </is>
      </c>
      <c r="Y170" t="inlineStr">
        <is>
          <t>Wet Tillage (Puddling): 2 plowings + thorough harrowing under flooded condition</t>
        </is>
      </c>
      <c r="Z170" t="inlineStr">
        <is>
          <t>Continuous flooding 2–5 cm depth during vegetative stage; drain 2 weeks before harvest</t>
        </is>
      </c>
      <c r="AA170" t="inlineStr">
        <is>
          <t>Transplanting (Pindot) — optimal for clay-loam paddy fields</t>
        </is>
      </c>
      <c r="AP170" t="n">
        <v>2.436</v>
      </c>
    </row>
    <row r="171">
      <c r="B171" t="inlineStr">
        <is>
          <t>Palay</t>
        </is>
      </c>
      <c r="C171" t="inlineStr">
        <is>
          <t>Mangkasuy</t>
        </is>
      </c>
      <c r="D171" t="inlineStr">
        <is>
          <t>DS 2011</t>
        </is>
      </c>
      <c r="E171" t="n">
        <v>802.2</v>
      </c>
      <c r="F171" t="n">
        <v>16.9</v>
      </c>
      <c r="G171" t="n">
        <v>2</v>
      </c>
      <c r="H171" t="n">
        <v>80.3</v>
      </c>
      <c r="I171" t="n">
        <v>1.5</v>
      </c>
      <c r="J171" t="n">
        <v>23.26</v>
      </c>
      <c r="K171" t="n">
        <v>16.59</v>
      </c>
      <c r="L171" t="n">
        <v>29.76</v>
      </c>
      <c r="M171" t="n">
        <v>81.59</v>
      </c>
      <c r="N171" t="n">
        <v>98.45999999999999</v>
      </c>
      <c r="O171" t="n">
        <v>15.11</v>
      </c>
      <c r="P171" t="inlineStr">
        <is>
          <t>Sandy Loam</t>
        </is>
      </c>
      <c r="Y171" t="inlineStr">
        <is>
          <t>Conventional Tillage: 2 plowings + 2 harrowings; soil workable when moist</t>
        </is>
      </c>
      <c r="Z171" t="inlineStr">
        <is>
          <t>Intermittent irrigation (Alternate Wetting and Drying — AWD); moderate retention</t>
        </is>
      </c>
      <c r="AA171" t="inlineStr">
        <is>
          <t>Transplanting (Pindot) or Direct Seeding (Pinaghandaan)</t>
        </is>
      </c>
      <c r="AP171" t="n">
        <v>6.56</v>
      </c>
    </row>
    <row r="172">
      <c r="B172" t="inlineStr">
        <is>
          <t>Palay</t>
        </is>
      </c>
      <c r="C172" t="inlineStr">
        <is>
          <t>Moreno</t>
        </is>
      </c>
      <c r="D172" t="inlineStr">
        <is>
          <t>DS 2011</t>
        </is>
      </c>
      <c r="E172" t="n">
        <v>641.76</v>
      </c>
      <c r="F172" t="n">
        <v>25.69</v>
      </c>
      <c r="G172" t="n">
        <v>12.14</v>
      </c>
      <c r="H172" t="n">
        <v>135.56</v>
      </c>
      <c r="I172" t="n">
        <v>1.5</v>
      </c>
      <c r="J172" t="n">
        <v>23.26</v>
      </c>
      <c r="K172" t="n">
        <v>16.59</v>
      </c>
      <c r="L172" t="n">
        <v>29.76</v>
      </c>
      <c r="M172" t="n">
        <v>81.59</v>
      </c>
      <c r="N172" t="n">
        <v>98.45999999999999</v>
      </c>
      <c r="O172" t="n">
        <v>15.11</v>
      </c>
      <c r="P172" t="inlineStr">
        <is>
          <t>Sandy Loam</t>
        </is>
      </c>
      <c r="Y172" t="inlineStr">
        <is>
          <t>Conventional Tillage: 2 plowings + 2 harrowings; soil workable when moist</t>
        </is>
      </c>
      <c r="Z172" t="inlineStr">
        <is>
          <t>Intermittent irrigation (Alternate Wetting and Drying — AWD); moderate retention; terrace or bund-assisted water retention essential on slopes</t>
        </is>
      </c>
      <c r="AA172" t="inlineStr">
        <is>
          <t>Transplanting (Pindot) or Direct Seeding (Pinaghandaan)</t>
        </is>
      </c>
      <c r="AP172" t="n">
        <v>4.684545454545455</v>
      </c>
    </row>
    <row r="173">
      <c r="B173" t="inlineStr">
        <is>
          <t>Palay</t>
        </is>
      </c>
      <c r="C173" t="inlineStr">
        <is>
          <t>Pasileng Norte</t>
        </is>
      </c>
      <c r="D173" t="inlineStr">
        <is>
          <t>DS 2011</t>
        </is>
      </c>
      <c r="E173" t="n">
        <v>140.28</v>
      </c>
      <c r="F173" t="n">
        <v>74</v>
      </c>
      <c r="G173" t="n">
        <v>2</v>
      </c>
      <c r="H173" t="n">
        <v>26.4</v>
      </c>
      <c r="I173" t="n">
        <v>1.5</v>
      </c>
      <c r="J173" t="n">
        <v>23.26</v>
      </c>
      <c r="K173" t="n">
        <v>16.59</v>
      </c>
      <c r="L173" t="n">
        <v>29.76</v>
      </c>
      <c r="M173" t="n">
        <v>81.59</v>
      </c>
      <c r="N173" t="n">
        <v>98.45999999999999</v>
      </c>
      <c r="O173" t="n">
        <v>15.11</v>
      </c>
      <c r="P173" t="inlineStr">
        <is>
          <t>Sandy Loam</t>
        </is>
      </c>
      <c r="Y173" t="inlineStr">
        <is>
          <t>Conventional Tillage: 2 plowings + 2 harrowings; soil workable when moist</t>
        </is>
      </c>
      <c r="Z173" t="inlineStr">
        <is>
          <t>Intermittent irrigation (Alternate Wetting and Drying — AWD); moderate retention</t>
        </is>
      </c>
      <c r="AA173" t="inlineStr">
        <is>
          <t>Transplanting (Pindot) or Direct Seeding (Pinaghandaan)</t>
        </is>
      </c>
      <c r="AP173" t="n">
        <v>4.11</v>
      </c>
    </row>
    <row r="174">
      <c r="B174" t="inlineStr">
        <is>
          <t>Palay</t>
        </is>
      </c>
      <c r="C174" t="inlineStr">
        <is>
          <t>Pasileng Sur</t>
        </is>
      </c>
      <c r="D174" t="inlineStr">
        <is>
          <t>DS 2011</t>
        </is>
      </c>
      <c r="E174" t="n">
        <v>414.96</v>
      </c>
      <c r="F174" t="n">
        <v>160</v>
      </c>
      <c r="G174" t="n">
        <v>7.89</v>
      </c>
      <c r="H174" t="n">
        <v>41.02</v>
      </c>
      <c r="I174" t="n">
        <v>1.5</v>
      </c>
      <c r="J174" t="n">
        <v>23.26</v>
      </c>
      <c r="K174" t="n">
        <v>16.59</v>
      </c>
      <c r="L174" t="n">
        <v>29.76</v>
      </c>
      <c r="M174" t="n">
        <v>81.59</v>
      </c>
      <c r="N174" t="n">
        <v>98.45999999999999</v>
      </c>
      <c r="O174" t="n">
        <v>15.11</v>
      </c>
      <c r="P174" t="inlineStr">
        <is>
          <t>Sandy Loam</t>
        </is>
      </c>
      <c r="Y174" t="inlineStr">
        <is>
          <t>Conventional Tillage: 2 plowings + 2 harrowings; soil workable when moist</t>
        </is>
      </c>
      <c r="Z174" t="inlineStr">
        <is>
          <t>Intermittent irrigation (Alternate Wetting and Drying — AWD); moderate retention</t>
        </is>
      </c>
      <c r="AA174" t="inlineStr">
        <is>
          <t>Transplanting (Pindot) or Direct Seeding (Pinaghandaan)</t>
        </is>
      </c>
      <c r="AP174" t="n">
        <v>8</v>
      </c>
    </row>
    <row r="175">
      <c r="B175" t="inlineStr">
        <is>
          <t>Palay</t>
        </is>
      </c>
      <c r="C175" t="inlineStr">
        <is>
          <t>San Felipe Central</t>
        </is>
      </c>
      <c r="D175" t="inlineStr">
        <is>
          <t>DS 2011</t>
        </is>
      </c>
      <c r="E175" t="n">
        <v>452.76</v>
      </c>
      <c r="F175" t="n">
        <v>129</v>
      </c>
      <c r="G175" t="n">
        <v>6</v>
      </c>
      <c r="H175" t="n">
        <v>26.4</v>
      </c>
      <c r="I175" t="n">
        <v>1.5</v>
      </c>
      <c r="J175" t="n">
        <v>23.26</v>
      </c>
      <c r="K175" t="n">
        <v>16.59</v>
      </c>
      <c r="L175" t="n">
        <v>29.76</v>
      </c>
      <c r="M175" t="n">
        <v>81.59</v>
      </c>
      <c r="N175" t="n">
        <v>98.45999999999999</v>
      </c>
      <c r="O175" t="n">
        <v>15.11</v>
      </c>
      <c r="P175" t="inlineStr">
        <is>
          <t>Sandy Loam</t>
        </is>
      </c>
      <c r="Y175" t="inlineStr">
        <is>
          <t>Conventional Tillage: 2 plowings + 2 harrowings; soil workable when moist</t>
        </is>
      </c>
      <c r="Z175" t="inlineStr">
        <is>
          <t>Intermittent irrigation (Alternate Wetting and Drying — AWD); moderate retention</t>
        </is>
      </c>
      <c r="AA175" t="inlineStr">
        <is>
          <t>Transplanting (Pindot) or Direct Seeding (Pinaghandaan)</t>
        </is>
      </c>
      <c r="AP175" t="n">
        <v>8</v>
      </c>
    </row>
    <row r="176">
      <c r="B176" t="inlineStr">
        <is>
          <t>Palay</t>
        </is>
      </c>
      <c r="C176" t="inlineStr">
        <is>
          <t>San Felipe Sur</t>
        </is>
      </c>
      <c r="D176" t="inlineStr">
        <is>
          <t>DS 2011</t>
        </is>
      </c>
      <c r="E176" t="n">
        <v>504</v>
      </c>
      <c r="F176" t="n">
        <v>150</v>
      </c>
      <c r="G176" t="n">
        <v>7.28</v>
      </c>
      <c r="H176" t="n">
        <v>32.1</v>
      </c>
      <c r="I176" t="n">
        <v>1.5</v>
      </c>
      <c r="J176" t="n">
        <v>23.26</v>
      </c>
      <c r="K176" t="n">
        <v>16.59</v>
      </c>
      <c r="L176" t="n">
        <v>29.76</v>
      </c>
      <c r="M176" t="n">
        <v>81.59</v>
      </c>
      <c r="N176" t="n">
        <v>98.45999999999999</v>
      </c>
      <c r="O176" t="n">
        <v>15.11</v>
      </c>
      <c r="P176" t="inlineStr">
        <is>
          <t>Sandy Loam</t>
        </is>
      </c>
      <c r="Y176" t="inlineStr">
        <is>
          <t>Conventional Tillage: 2 plowings + 2 harrowings; soil workable when moist</t>
        </is>
      </c>
      <c r="Z176" t="inlineStr">
        <is>
          <t>Intermittent irrigation (Alternate Wetting and Drying — AWD); moderate retention</t>
        </is>
      </c>
      <c r="AA176" t="inlineStr">
        <is>
          <t>Transplanting (Pindot) or Direct Seeding (Pinaghandaan)</t>
        </is>
      </c>
      <c r="AP176" t="n">
        <v>8</v>
      </c>
    </row>
    <row r="177">
      <c r="B177" t="inlineStr">
        <is>
          <t>Palay</t>
        </is>
      </c>
      <c r="C177" t="inlineStr">
        <is>
          <t>San Pablo</t>
        </is>
      </c>
      <c r="D177" t="inlineStr">
        <is>
          <t>DS 2011</t>
        </is>
      </c>
      <c r="E177" t="n">
        <v>215.04</v>
      </c>
      <c r="F177" t="n">
        <v>115</v>
      </c>
      <c r="G177" t="n">
        <v>2</v>
      </c>
      <c r="H177" t="n">
        <v>20.7</v>
      </c>
      <c r="I177" t="n">
        <v>1.5</v>
      </c>
      <c r="J177" t="n">
        <v>23.26</v>
      </c>
      <c r="K177" t="n">
        <v>16.59</v>
      </c>
      <c r="L177" t="n">
        <v>29.76</v>
      </c>
      <c r="M177" t="n">
        <v>81.59</v>
      </c>
      <c r="N177" t="n">
        <v>98.45999999999999</v>
      </c>
      <c r="O177" t="n">
        <v>15.11</v>
      </c>
      <c r="P177" t="inlineStr">
        <is>
          <t>Sandy Loam</t>
        </is>
      </c>
      <c r="Y177" t="inlineStr">
        <is>
          <t>Conventional Tillage: 2 plowings + 2 harrowings; soil workable when moist</t>
        </is>
      </c>
      <c r="Z177" t="inlineStr">
        <is>
          <t>Intermittent irrigation (Alternate Wetting and Drying — AWD); moderate retention</t>
        </is>
      </c>
      <c r="AA177" t="inlineStr">
        <is>
          <t>Transplanting (Pindot) or Direct Seeding (Pinaghandaan)</t>
        </is>
      </c>
      <c r="AP177" t="n">
        <v>6.08</v>
      </c>
    </row>
    <row r="178">
      <c r="B178" t="inlineStr">
        <is>
          <t>Palay</t>
        </is>
      </c>
      <c r="C178" t="inlineStr">
        <is>
          <t>Santiago</t>
        </is>
      </c>
      <c r="D178" t="inlineStr">
        <is>
          <t>DS 2011</t>
        </is>
      </c>
      <c r="E178" t="n">
        <v>283.08</v>
      </c>
      <c r="F178" t="n">
        <v>12</v>
      </c>
      <c r="G178" t="n">
        <v>5.3</v>
      </c>
      <c r="H178" t="n">
        <v>81.66</v>
      </c>
      <c r="I178" t="n">
        <v>1.5</v>
      </c>
      <c r="J178" t="n">
        <v>23.26</v>
      </c>
      <c r="K178" t="n">
        <v>16.59</v>
      </c>
      <c r="L178" t="n">
        <v>29.76</v>
      </c>
      <c r="M178" t="n">
        <v>81.59</v>
      </c>
      <c r="N178" t="n">
        <v>98.45999999999999</v>
      </c>
      <c r="O178" t="n">
        <v>15.11</v>
      </c>
      <c r="P178" t="inlineStr">
        <is>
          <t>Silty Clay Loam</t>
        </is>
      </c>
      <c r="Y178" t="inlineStr">
        <is>
          <t>Wet Tillage (Puddling): 2 plowings + thorough harrowing under flooded condition</t>
        </is>
      </c>
      <c r="Z178" t="inlineStr">
        <is>
          <t>Continuous flooding 2–5 cm depth during vegetative stage; drain 2 weeks before harvest</t>
        </is>
      </c>
      <c r="AA178" t="inlineStr">
        <is>
          <t>Transplanting (Pindot) — optimal for clay-loam paddy fields</t>
        </is>
      </c>
      <c r="AP178" t="n">
        <v>8</v>
      </c>
    </row>
    <row r="179">
      <c r="B179" t="inlineStr">
        <is>
          <t>Palay</t>
        </is>
      </c>
      <c r="C179" t="inlineStr">
        <is>
          <t>Sta. Catalina</t>
        </is>
      </c>
      <c r="D179" t="inlineStr">
        <is>
          <t>DS 2011</t>
        </is>
      </c>
      <c r="E179" t="n">
        <v>709.8</v>
      </c>
      <c r="F179" t="n">
        <v>35.8</v>
      </c>
      <c r="G179" t="n">
        <v>31.07</v>
      </c>
      <c r="H179" t="n">
        <v>145.04</v>
      </c>
      <c r="I179" t="n">
        <v>1.5</v>
      </c>
      <c r="J179" t="n">
        <v>23.26</v>
      </c>
      <c r="K179" t="n">
        <v>16.59</v>
      </c>
      <c r="L179" t="n">
        <v>29.76</v>
      </c>
      <c r="M179" t="n">
        <v>81.59</v>
      </c>
      <c r="N179" t="n">
        <v>98.45999999999999</v>
      </c>
      <c r="O179" t="n">
        <v>15.11</v>
      </c>
      <c r="P179" t="inlineStr">
        <is>
          <t>Fine Sand / Sandy Loam</t>
        </is>
      </c>
      <c r="Y179" t="inlineStr">
        <is>
          <t>Minimum Tillage (avoid compaction; sandy structure fragile)</t>
        </is>
      </c>
      <c r="Z179" t="inlineStr">
        <is>
          <t>Continuous flooding or frequent irrigation; high percolation risk; terrace or bund-assisted water retention essential on slopes</t>
        </is>
      </c>
      <c r="AA179" t="inlineStr">
        <is>
          <t>Transplanting (Pindot)</t>
        </is>
      </c>
      <c r="AP179" t="n">
        <v>4.6925</v>
      </c>
    </row>
    <row r="180">
      <c r="B180" t="inlineStr">
        <is>
          <t>Palay</t>
        </is>
      </c>
      <c r="C180" t="inlineStr">
        <is>
          <t>Sta. Maria Norte</t>
        </is>
      </c>
      <c r="D180" t="inlineStr">
        <is>
          <t>DS 2011</t>
        </is>
      </c>
      <c r="E180" t="n">
        <v>157.08</v>
      </c>
      <c r="F180" t="n">
        <v>25.5</v>
      </c>
      <c r="G180" t="n">
        <v>2</v>
      </c>
      <c r="H180" t="n">
        <v>26.4</v>
      </c>
      <c r="I180" t="n">
        <v>1.5</v>
      </c>
      <c r="J180" t="n">
        <v>23.26</v>
      </c>
      <c r="K180" t="n">
        <v>16.59</v>
      </c>
      <c r="L180" t="n">
        <v>29.76</v>
      </c>
      <c r="M180" t="n">
        <v>81.59</v>
      </c>
      <c r="N180" t="n">
        <v>98.45999999999999</v>
      </c>
      <c r="O180" t="n">
        <v>15.11</v>
      </c>
      <c r="P180" t="inlineStr">
        <is>
          <t>Sandy Loam</t>
        </is>
      </c>
      <c r="Y180" t="inlineStr">
        <is>
          <t>Conventional Tillage: 2 plowings + 2 harrowings; soil workable when moist</t>
        </is>
      </c>
      <c r="Z180" t="inlineStr">
        <is>
          <t>Intermittent irrigation (Alternate Wetting and Drying — AWD); moderate retention</t>
        </is>
      </c>
      <c r="AA180" t="inlineStr">
        <is>
          <t>Transplanting (Pindot) or Direct Seeding (Pinaghandaan)</t>
        </is>
      </c>
      <c r="AP180" t="n">
        <v>8</v>
      </c>
    </row>
    <row r="181">
      <c r="B181" t="inlineStr">
        <is>
          <t>Palay</t>
        </is>
      </c>
      <c r="C181" t="inlineStr">
        <is>
          <t>Sumabnit</t>
        </is>
      </c>
      <c r="D181" t="inlineStr">
        <is>
          <t>DS 2011</t>
        </is>
      </c>
      <c r="E181" t="n">
        <v>406.56</v>
      </c>
      <c r="F181" t="n">
        <v>63.6</v>
      </c>
      <c r="G181" t="n">
        <v>2</v>
      </c>
      <c r="H181" t="n">
        <v>81.66</v>
      </c>
      <c r="I181" t="n">
        <v>1.5</v>
      </c>
      <c r="J181" t="n">
        <v>23.26</v>
      </c>
      <c r="K181" t="n">
        <v>16.59</v>
      </c>
      <c r="L181" t="n">
        <v>29.76</v>
      </c>
      <c r="M181" t="n">
        <v>81.59</v>
      </c>
      <c r="N181" t="n">
        <v>98.45999999999999</v>
      </c>
      <c r="O181" t="n">
        <v>15.11</v>
      </c>
      <c r="P181" t="inlineStr">
        <is>
          <t>Silty Clay Loam / Fine Sandy Loam</t>
        </is>
      </c>
      <c r="Y181" t="inlineStr">
        <is>
          <t>Minimum Tillage (avoid compaction; sandy structure fragile)</t>
        </is>
      </c>
      <c r="Z181" t="inlineStr">
        <is>
          <t>Continuous flooding or frequent irrigation; high percolation risk</t>
        </is>
      </c>
      <c r="AA181" t="inlineStr">
        <is>
          <t>Transplanting (Pindot)</t>
        </is>
      </c>
      <c r="AP181" t="n">
        <v>8</v>
      </c>
    </row>
    <row r="182">
      <c r="B182" t="inlineStr">
        <is>
          <t>Palay</t>
        </is>
      </c>
      <c r="C182" t="inlineStr">
        <is>
          <t>Tabuyoc</t>
        </is>
      </c>
      <c r="D182" t="inlineStr">
        <is>
          <t>DS 2011</t>
        </is>
      </c>
      <c r="E182" t="n">
        <v>277.2</v>
      </c>
      <c r="F182" t="n">
        <v>125</v>
      </c>
      <c r="G182" t="n">
        <v>7</v>
      </c>
      <c r="H182" t="n">
        <v>81.66</v>
      </c>
      <c r="I182" t="n">
        <v>1.5</v>
      </c>
      <c r="J182" t="n">
        <v>23.26</v>
      </c>
      <c r="K182" t="n">
        <v>16.59</v>
      </c>
      <c r="L182" t="n">
        <v>29.76</v>
      </c>
      <c r="M182" t="n">
        <v>81.59</v>
      </c>
      <c r="N182" t="n">
        <v>98.45999999999999</v>
      </c>
      <c r="O182" t="n">
        <v>15.11</v>
      </c>
      <c r="P182" t="inlineStr">
        <is>
          <t>Silty Clay Loam</t>
        </is>
      </c>
      <c r="Y182" t="inlineStr">
        <is>
          <t>Wet Tillage (Puddling): 2 plowings + thorough harrowing under flooded condition</t>
        </is>
      </c>
      <c r="Z182" t="inlineStr">
        <is>
          <t>Continuous flooding 2–5 cm depth during vegetative stage; drain 2 weeks before harvest</t>
        </is>
      </c>
      <c r="AA182" t="inlineStr">
        <is>
          <t>Transplanting (Pindot) — optimal for clay-loam paddy fields</t>
        </is>
      </c>
      <c r="AP182" t="n">
        <v>8</v>
      </c>
    </row>
    <row r="183">
      <c r="B183" t="inlineStr">
        <is>
          <t>Palay</t>
        </is>
      </c>
      <c r="C183" t="inlineStr">
        <is>
          <t>Vacante</t>
        </is>
      </c>
      <c r="D183" t="inlineStr">
        <is>
          <t>DS 2011</t>
        </is>
      </c>
      <c r="E183" t="n">
        <v>484.68</v>
      </c>
      <c r="F183" t="n">
        <v>43.79</v>
      </c>
      <c r="G183" t="n">
        <v>2</v>
      </c>
      <c r="H183" t="n">
        <v>81.66</v>
      </c>
      <c r="I183" t="n">
        <v>1.5</v>
      </c>
      <c r="J183" t="n">
        <v>23.26</v>
      </c>
      <c r="K183" t="n">
        <v>16.59</v>
      </c>
      <c r="L183" t="n">
        <v>29.76</v>
      </c>
      <c r="M183" t="n">
        <v>81.59</v>
      </c>
      <c r="N183" t="n">
        <v>98.45999999999999</v>
      </c>
      <c r="O183" t="n">
        <v>15.11</v>
      </c>
      <c r="P183" t="inlineStr">
        <is>
          <t>Silty Clay Loam</t>
        </is>
      </c>
      <c r="Y183" t="inlineStr">
        <is>
          <t>Wet Tillage (Puddling): 2 plowings + thorough harrowing under flooded condition</t>
        </is>
      </c>
      <c r="Z183" t="inlineStr">
        <is>
          <t>Continuous flooding 2–5 cm depth during vegetative stage; drain 2 weeks before harvest</t>
        </is>
      </c>
      <c r="AA183" t="inlineStr">
        <is>
          <t>Transplanting (Pindot) — optimal for clay-loam paddy fields</t>
        </is>
      </c>
      <c r="AP183" t="n">
        <v>3.59</v>
      </c>
    </row>
    <row r="184">
      <c r="B184" t="inlineStr">
        <is>
          <t>Palay</t>
        </is>
      </c>
      <c r="C184" t="inlineStr">
        <is>
          <t>Balangobong</t>
        </is>
      </c>
      <c r="D184" t="inlineStr">
        <is>
          <t>DS 2012</t>
        </is>
      </c>
      <c r="E184" t="n">
        <v>281.4</v>
      </c>
      <c r="F184" t="n">
        <v>100</v>
      </c>
      <c r="G184" t="n">
        <v>2</v>
      </c>
      <c r="H184" t="n">
        <v>35.32</v>
      </c>
      <c r="I184" t="n">
        <v>0.85</v>
      </c>
      <c r="J184" t="n">
        <v>24.57</v>
      </c>
      <c r="K184" t="n">
        <v>18.71</v>
      </c>
      <c r="L184" t="n">
        <v>31.08</v>
      </c>
      <c r="M184" t="n">
        <v>80.65000000000001</v>
      </c>
      <c r="N184" t="n">
        <v>98.53</v>
      </c>
      <c r="O184" t="n">
        <v>16.8</v>
      </c>
      <c r="P184" t="inlineStr">
        <is>
          <t>Silty Clay Loam</t>
        </is>
      </c>
      <c r="Y184" t="inlineStr">
        <is>
          <t>Wet Tillage (Puddling): 2 plowings + thorough harrowing under flooded condition</t>
        </is>
      </c>
      <c r="Z184" t="inlineStr">
        <is>
          <t>Continuous flooding 2–5 cm depth during vegetative stage; drain 2 weeks before harvest</t>
        </is>
      </c>
      <c r="AA184" t="inlineStr">
        <is>
          <t>Transplanting (Pindot) — optimal for clay-loam paddy fields</t>
        </is>
      </c>
      <c r="AP184" t="n">
        <v>1.75</v>
      </c>
    </row>
    <row r="185">
      <c r="B185" t="inlineStr">
        <is>
          <t>Palay</t>
        </is>
      </c>
      <c r="C185" t="inlineStr">
        <is>
          <t>Bugayong</t>
        </is>
      </c>
      <c r="D185" t="inlineStr">
        <is>
          <t>DS 2012</t>
        </is>
      </c>
      <c r="E185" t="n">
        <v>346.08</v>
      </c>
      <c r="F185" t="n">
        <v>16</v>
      </c>
      <c r="G185" t="n">
        <v>2</v>
      </c>
      <c r="H185" t="n">
        <v>41.02</v>
      </c>
      <c r="I185" t="n">
        <v>0.85</v>
      </c>
      <c r="J185" t="n">
        <v>24.57</v>
      </c>
      <c r="K185" t="n">
        <v>18.71</v>
      </c>
      <c r="L185" t="n">
        <v>31.08</v>
      </c>
      <c r="M185" t="n">
        <v>80.65000000000001</v>
      </c>
      <c r="N185" t="n">
        <v>98.53</v>
      </c>
      <c r="O185" t="n">
        <v>16.8</v>
      </c>
      <c r="P185" t="inlineStr">
        <is>
          <t>Sandy Loam / Silty Clay Loam</t>
        </is>
      </c>
      <c r="Y185" t="inlineStr">
        <is>
          <t>Conventional Tillage: 2 plowings + harrowing; puddle thoroughly for transplanting</t>
        </is>
      </c>
      <c r="Z185" t="inlineStr">
        <is>
          <t>Intermittent to continuous flooding; manage according to drainage section present</t>
        </is>
      </c>
      <c r="AA185" t="inlineStr">
        <is>
          <t>Transplanting (Pindot) — recommended; Direct Seeding possible in dry season</t>
        </is>
      </c>
      <c r="AP185" t="n">
        <v>4.5</v>
      </c>
    </row>
    <row r="186">
      <c r="B186" t="inlineStr">
        <is>
          <t>Palay</t>
        </is>
      </c>
      <c r="C186" t="inlineStr">
        <is>
          <t>Camanggaan</t>
        </is>
      </c>
      <c r="D186" t="inlineStr">
        <is>
          <t>DS 2012</t>
        </is>
      </c>
      <c r="E186" t="n">
        <v>244.44</v>
      </c>
      <c r="F186" t="n">
        <v>10</v>
      </c>
      <c r="G186" t="n">
        <v>2</v>
      </c>
      <c r="H186" t="n">
        <v>72.73999999999999</v>
      </c>
      <c r="I186" t="n">
        <v>0.85</v>
      </c>
      <c r="J186" t="n">
        <v>24.57</v>
      </c>
      <c r="K186" t="n">
        <v>18.71</v>
      </c>
      <c r="L186" t="n">
        <v>31.08</v>
      </c>
      <c r="M186" t="n">
        <v>80.65000000000001</v>
      </c>
      <c r="N186" t="n">
        <v>98.53</v>
      </c>
      <c r="O186" t="n">
        <v>16.8</v>
      </c>
      <c r="P186" t="inlineStr">
        <is>
          <t>Sandy Loam</t>
        </is>
      </c>
      <c r="Y186" t="inlineStr">
        <is>
          <t>Conventional Tillage: 2 plowings + 2 harrowings; soil workable when moist</t>
        </is>
      </c>
      <c r="Z186" t="inlineStr">
        <is>
          <t>Intermittent irrigation (Alternate Wetting and Drying — AWD); moderate retention</t>
        </is>
      </c>
      <c r="AA186" t="inlineStr">
        <is>
          <t>Transplanting (Pindot) or Direct Seeding (Pinaghandaan)</t>
        </is>
      </c>
      <c r="AP186" t="n">
        <v>7.33</v>
      </c>
    </row>
    <row r="187">
      <c r="B187" t="inlineStr">
        <is>
          <t>Palay</t>
        </is>
      </c>
      <c r="C187" t="inlineStr">
        <is>
          <t>Capas</t>
        </is>
      </c>
      <c r="D187" t="inlineStr">
        <is>
          <t>DS 2012</t>
        </is>
      </c>
      <c r="E187" t="n">
        <v>377.16</v>
      </c>
      <c r="F187" t="n">
        <v>179</v>
      </c>
      <c r="G187" t="n">
        <v>2</v>
      </c>
      <c r="H187" t="n">
        <v>52.42</v>
      </c>
      <c r="I187" t="n">
        <v>0.85</v>
      </c>
      <c r="J187" t="n">
        <v>24.57</v>
      </c>
      <c r="K187" t="n">
        <v>18.71</v>
      </c>
      <c r="L187" t="n">
        <v>31.08</v>
      </c>
      <c r="M187" t="n">
        <v>80.65000000000001</v>
      </c>
      <c r="N187" t="n">
        <v>98.53</v>
      </c>
      <c r="O187" t="n">
        <v>16.8</v>
      </c>
      <c r="P187" t="inlineStr">
        <is>
          <t>Sandy Loam</t>
        </is>
      </c>
      <c r="Y187" t="inlineStr">
        <is>
          <t>Conventional Tillage: 2 plowings + 2 harrowings; soil workable when moist</t>
        </is>
      </c>
      <c r="Z187" t="inlineStr">
        <is>
          <t>Intermittent irrigation (Alternate Wetting and Drying — AWD); moderate retention</t>
        </is>
      </c>
      <c r="AA187" t="inlineStr">
        <is>
          <t>Transplanting (Pindot) or Direct Seeding (Pinaghandaan)</t>
        </is>
      </c>
      <c r="AP187" t="n">
        <v>7.44</v>
      </c>
    </row>
    <row r="188">
      <c r="B188" t="inlineStr">
        <is>
          <t>Palay</t>
        </is>
      </c>
      <c r="C188" t="inlineStr">
        <is>
          <t>Cili</t>
        </is>
      </c>
      <c r="D188" t="inlineStr">
        <is>
          <t>DS 2012</t>
        </is>
      </c>
      <c r="E188" t="n">
        <v>264.6</v>
      </c>
      <c r="F188" t="n">
        <v>14</v>
      </c>
      <c r="G188" t="n">
        <v>2</v>
      </c>
      <c r="H188" t="n">
        <v>35.32</v>
      </c>
      <c r="I188" t="n">
        <v>0.85</v>
      </c>
      <c r="J188" t="n">
        <v>24.57</v>
      </c>
      <c r="K188" t="n">
        <v>18.71</v>
      </c>
      <c r="L188" t="n">
        <v>31.08</v>
      </c>
      <c r="M188" t="n">
        <v>80.65000000000001</v>
      </c>
      <c r="N188" t="n">
        <v>98.53</v>
      </c>
      <c r="O188" t="n">
        <v>16.8</v>
      </c>
      <c r="P188" t="inlineStr">
        <is>
          <t>Silty Clay Loam</t>
        </is>
      </c>
      <c r="Y188" t="inlineStr">
        <is>
          <t>Wet Tillage (Puddling): 2 plowings + thorough harrowing under flooded condition</t>
        </is>
      </c>
      <c r="Z188" t="inlineStr">
        <is>
          <t>Continuous flooding 2–5 cm depth during vegetative stage; drain 2 weeks before harvest</t>
        </is>
      </c>
      <c r="AA188" t="inlineStr">
        <is>
          <t>Transplanting (Pindot) — optimal for clay-loam paddy fields</t>
        </is>
      </c>
      <c r="AP188" t="n">
        <v>8</v>
      </c>
    </row>
    <row r="189">
      <c r="B189" t="inlineStr">
        <is>
          <t>Palay</t>
        </is>
      </c>
      <c r="C189" t="inlineStr">
        <is>
          <t>Mangkasuy</t>
        </is>
      </c>
      <c r="D189" t="inlineStr">
        <is>
          <t>DS 2012</t>
        </is>
      </c>
      <c r="E189" t="n">
        <v>802.2</v>
      </c>
      <c r="F189" t="n">
        <v>16.9</v>
      </c>
      <c r="G189" t="n">
        <v>0.5</v>
      </c>
      <c r="H189" t="n">
        <v>80.3</v>
      </c>
      <c r="I189" t="n">
        <v>0.85</v>
      </c>
      <c r="J189" t="n">
        <v>24.57</v>
      </c>
      <c r="K189" t="n">
        <v>18.71</v>
      </c>
      <c r="L189" t="n">
        <v>31.08</v>
      </c>
      <c r="M189" t="n">
        <v>80.65000000000001</v>
      </c>
      <c r="N189" t="n">
        <v>98.53</v>
      </c>
      <c r="O189" t="n">
        <v>16.8</v>
      </c>
      <c r="P189" t="inlineStr">
        <is>
          <t>Sandy Loam</t>
        </is>
      </c>
      <c r="Y189" t="inlineStr">
        <is>
          <t>Conventional Tillage: 2 plowings + 2 harrowings; soil workable when moist</t>
        </is>
      </c>
      <c r="Z189" t="inlineStr">
        <is>
          <t>Intermittent irrigation (Alternate Wetting and Drying — AWD); moderate retention</t>
        </is>
      </c>
      <c r="AA189" t="inlineStr">
        <is>
          <t>Transplanting (Pindot) or Direct Seeding (Pinaghandaan)</t>
        </is>
      </c>
      <c r="AP189" t="n">
        <v>5.01</v>
      </c>
    </row>
    <row r="190">
      <c r="B190" t="inlineStr">
        <is>
          <t>Palay</t>
        </is>
      </c>
      <c r="C190" t="inlineStr">
        <is>
          <t>Pasileng Norte</t>
        </is>
      </c>
      <c r="D190" t="inlineStr">
        <is>
          <t>DS 2012</t>
        </is>
      </c>
      <c r="E190" t="n">
        <v>140.28</v>
      </c>
      <c r="F190" t="n">
        <v>74</v>
      </c>
      <c r="G190" t="n">
        <v>2</v>
      </c>
      <c r="H190" t="n">
        <v>26.4</v>
      </c>
      <c r="I190" t="n">
        <v>0.85</v>
      </c>
      <c r="J190" t="n">
        <v>24.57</v>
      </c>
      <c r="K190" t="n">
        <v>18.71</v>
      </c>
      <c r="L190" t="n">
        <v>31.08</v>
      </c>
      <c r="M190" t="n">
        <v>80.65000000000001</v>
      </c>
      <c r="N190" t="n">
        <v>98.53</v>
      </c>
      <c r="O190" t="n">
        <v>16.8</v>
      </c>
      <c r="P190" t="inlineStr">
        <is>
          <t>Sandy Loam</t>
        </is>
      </c>
      <c r="Y190" t="inlineStr">
        <is>
          <t>Conventional Tillage: 2 plowings + 2 harrowings; soil workable when moist</t>
        </is>
      </c>
      <c r="Z190" t="inlineStr">
        <is>
          <t>Intermittent irrigation (Alternate Wetting and Drying — AWD); moderate retention</t>
        </is>
      </c>
      <c r="AA190" t="inlineStr">
        <is>
          <t>Transplanting (Pindot) or Direct Seeding (Pinaghandaan)</t>
        </is>
      </c>
      <c r="AP190" t="n">
        <v>8</v>
      </c>
    </row>
    <row r="191">
      <c r="B191" t="inlineStr">
        <is>
          <t>Palay</t>
        </is>
      </c>
      <c r="C191" t="inlineStr">
        <is>
          <t>Pasileng Sur</t>
        </is>
      </c>
      <c r="D191" t="inlineStr">
        <is>
          <t>DS 2012</t>
        </is>
      </c>
      <c r="E191" t="n">
        <v>414.96</v>
      </c>
      <c r="F191" t="n">
        <v>160</v>
      </c>
      <c r="G191" t="n">
        <v>2</v>
      </c>
      <c r="H191" t="n">
        <v>41.02</v>
      </c>
      <c r="I191" t="n">
        <v>0.85</v>
      </c>
      <c r="J191" t="n">
        <v>24.57</v>
      </c>
      <c r="K191" t="n">
        <v>18.71</v>
      </c>
      <c r="L191" t="n">
        <v>31.08</v>
      </c>
      <c r="M191" t="n">
        <v>80.65000000000001</v>
      </c>
      <c r="N191" t="n">
        <v>98.53</v>
      </c>
      <c r="O191" t="n">
        <v>16.8</v>
      </c>
      <c r="P191" t="inlineStr">
        <is>
          <t>Sandy Loam</t>
        </is>
      </c>
      <c r="Y191" t="inlineStr">
        <is>
          <t>Conventional Tillage: 2 plowings + 2 harrowings; soil workable when moist</t>
        </is>
      </c>
      <c r="Z191" t="inlineStr">
        <is>
          <t>Intermittent irrigation (Alternate Wetting and Drying — AWD); moderate retention</t>
        </is>
      </c>
      <c r="AA191" t="inlineStr">
        <is>
          <t>Transplanting (Pindot) or Direct Seeding (Pinaghandaan)</t>
        </is>
      </c>
      <c r="AP191" t="n">
        <v>8</v>
      </c>
    </row>
    <row r="192">
      <c r="B192" t="inlineStr">
        <is>
          <t>Palay</t>
        </is>
      </c>
      <c r="C192" t="inlineStr">
        <is>
          <t>San Felipe Central</t>
        </is>
      </c>
      <c r="D192" t="inlineStr">
        <is>
          <t>DS 2012</t>
        </is>
      </c>
      <c r="E192" t="n">
        <v>452.76</v>
      </c>
      <c r="F192" t="n">
        <v>129</v>
      </c>
      <c r="G192" t="n">
        <v>1.5</v>
      </c>
      <c r="H192" t="n">
        <v>26.4</v>
      </c>
      <c r="I192" t="n">
        <v>0.85</v>
      </c>
      <c r="J192" t="n">
        <v>24.57</v>
      </c>
      <c r="K192" t="n">
        <v>18.71</v>
      </c>
      <c r="L192" t="n">
        <v>31.08</v>
      </c>
      <c r="M192" t="n">
        <v>80.65000000000001</v>
      </c>
      <c r="N192" t="n">
        <v>98.53</v>
      </c>
      <c r="O192" t="n">
        <v>16.8</v>
      </c>
      <c r="P192" t="inlineStr">
        <is>
          <t>Sandy Loam</t>
        </is>
      </c>
      <c r="Y192" t="inlineStr">
        <is>
          <t>Conventional Tillage: 2 plowings + 2 harrowings; soil workable when moist</t>
        </is>
      </c>
      <c r="Z192" t="inlineStr">
        <is>
          <t>Intermittent irrigation (Alternate Wetting and Drying — AWD); moderate retention</t>
        </is>
      </c>
      <c r="AA192" t="inlineStr">
        <is>
          <t>Transplanting (Pindot) or Direct Seeding (Pinaghandaan)</t>
        </is>
      </c>
      <c r="AP192" t="n">
        <v>8</v>
      </c>
    </row>
    <row r="193">
      <c r="B193" t="inlineStr">
        <is>
          <t>Palay</t>
        </is>
      </c>
      <c r="C193" t="inlineStr">
        <is>
          <t>San Felipe Sur</t>
        </is>
      </c>
      <c r="D193" t="inlineStr">
        <is>
          <t>DS 2012</t>
        </is>
      </c>
      <c r="E193" t="n">
        <v>504</v>
      </c>
      <c r="F193" t="n">
        <v>150</v>
      </c>
      <c r="G193" t="n">
        <v>1</v>
      </c>
      <c r="H193" t="n">
        <v>32.1</v>
      </c>
      <c r="I193" t="n">
        <v>0.85</v>
      </c>
      <c r="J193" t="n">
        <v>24.57</v>
      </c>
      <c r="K193" t="n">
        <v>18.71</v>
      </c>
      <c r="L193" t="n">
        <v>31.08</v>
      </c>
      <c r="M193" t="n">
        <v>80.65000000000001</v>
      </c>
      <c r="N193" t="n">
        <v>98.53</v>
      </c>
      <c r="O193" t="n">
        <v>16.8</v>
      </c>
      <c r="P193" t="inlineStr">
        <is>
          <t>Sandy Loam</t>
        </is>
      </c>
      <c r="Y193" t="inlineStr">
        <is>
          <t>Conventional Tillage: 2 plowings + 2 harrowings; soil workable when moist</t>
        </is>
      </c>
      <c r="Z193" t="inlineStr">
        <is>
          <t>Intermittent irrigation (Alternate Wetting and Drying — AWD); moderate retention</t>
        </is>
      </c>
      <c r="AA193" t="inlineStr">
        <is>
          <t>Transplanting (Pindot) or Direct Seeding (Pinaghandaan)</t>
        </is>
      </c>
      <c r="AP193" t="n">
        <v>8</v>
      </c>
    </row>
    <row r="194">
      <c r="B194" t="inlineStr">
        <is>
          <t>Palay</t>
        </is>
      </c>
      <c r="C194" t="inlineStr">
        <is>
          <t>San Pablo</t>
        </is>
      </c>
      <c r="D194" t="inlineStr">
        <is>
          <t>DS 2012</t>
        </is>
      </c>
      <c r="E194" t="n">
        <v>215.04</v>
      </c>
      <c r="F194" t="n">
        <v>115</v>
      </c>
      <c r="G194" t="n">
        <v>0.5</v>
      </c>
      <c r="H194" t="n">
        <v>26.4</v>
      </c>
      <c r="I194" t="n">
        <v>0.85</v>
      </c>
      <c r="J194" t="n">
        <v>24.57</v>
      </c>
      <c r="K194" t="n">
        <v>18.71</v>
      </c>
      <c r="L194" t="n">
        <v>31.08</v>
      </c>
      <c r="M194" t="n">
        <v>80.65000000000001</v>
      </c>
      <c r="N194" t="n">
        <v>98.53</v>
      </c>
      <c r="O194" t="n">
        <v>16.8</v>
      </c>
      <c r="P194" t="inlineStr">
        <is>
          <t>Sandy Loam</t>
        </is>
      </c>
      <c r="Y194" t="inlineStr">
        <is>
          <t>Conventional Tillage: 2 plowings + 2 harrowings; soil workable when moist</t>
        </is>
      </c>
      <c r="Z194" t="inlineStr">
        <is>
          <t>Intermittent irrigation (Alternate Wetting and Drying — AWD); moderate retention</t>
        </is>
      </c>
      <c r="AA194" t="inlineStr">
        <is>
          <t>Transplanting (Pindot) or Direct Seeding (Pinaghandaan)</t>
        </is>
      </c>
      <c r="AP194" t="n">
        <v>8</v>
      </c>
    </row>
    <row r="195">
      <c r="B195" t="inlineStr">
        <is>
          <t>Palay</t>
        </is>
      </c>
      <c r="C195" t="inlineStr">
        <is>
          <t>Santiago</t>
        </is>
      </c>
      <c r="D195" t="inlineStr">
        <is>
          <t>DS 2012</t>
        </is>
      </c>
      <c r="E195" t="n">
        <v>283.08</v>
      </c>
      <c r="F195" t="n">
        <v>14</v>
      </c>
      <c r="G195" t="n">
        <v>0.5</v>
      </c>
      <c r="H195" t="n">
        <v>81.66</v>
      </c>
      <c r="I195" t="n">
        <v>0.85</v>
      </c>
      <c r="J195" t="n">
        <v>24.57</v>
      </c>
      <c r="K195" t="n">
        <v>18.71</v>
      </c>
      <c r="L195" t="n">
        <v>31.08</v>
      </c>
      <c r="M195" t="n">
        <v>80.65000000000001</v>
      </c>
      <c r="N195" t="n">
        <v>98.53</v>
      </c>
      <c r="O195" t="n">
        <v>16.8</v>
      </c>
      <c r="P195" t="inlineStr">
        <is>
          <t>Silty Clay Loam</t>
        </is>
      </c>
      <c r="Y195" t="inlineStr">
        <is>
          <t>Wet Tillage (Puddling): 2 plowings + thorough harrowing under flooded condition</t>
        </is>
      </c>
      <c r="Z195" t="inlineStr">
        <is>
          <t>Continuous flooding 2–5 cm depth during vegetative stage; drain 2 weeks before harvest</t>
        </is>
      </c>
      <c r="AA195" t="inlineStr">
        <is>
          <t>Transplanting (Pindot) — optimal for clay-loam paddy fields</t>
        </is>
      </c>
      <c r="AP195" t="n">
        <v>8</v>
      </c>
    </row>
    <row r="196">
      <c r="B196" t="inlineStr">
        <is>
          <t>Palay</t>
        </is>
      </c>
      <c r="C196" t="inlineStr">
        <is>
          <t>Sta. Maria Norte</t>
        </is>
      </c>
      <c r="D196" t="inlineStr">
        <is>
          <t>DS 2012</t>
        </is>
      </c>
      <c r="E196" t="n">
        <v>157.08</v>
      </c>
      <c r="F196" t="n">
        <v>25.5</v>
      </c>
      <c r="G196" t="n">
        <v>6.97</v>
      </c>
      <c r="H196" t="n">
        <v>26.4</v>
      </c>
      <c r="I196" t="n">
        <v>0.85</v>
      </c>
      <c r="J196" t="n">
        <v>24.57</v>
      </c>
      <c r="K196" t="n">
        <v>18.71</v>
      </c>
      <c r="L196" t="n">
        <v>31.08</v>
      </c>
      <c r="M196" t="n">
        <v>80.65000000000001</v>
      </c>
      <c r="N196" t="n">
        <v>98.53</v>
      </c>
      <c r="O196" t="n">
        <v>16.8</v>
      </c>
      <c r="P196" t="inlineStr">
        <is>
          <t>Sandy Loam</t>
        </is>
      </c>
      <c r="Y196" t="inlineStr">
        <is>
          <t>Conventional Tillage: 2 plowings + 2 harrowings; soil workable when moist</t>
        </is>
      </c>
      <c r="Z196" t="inlineStr">
        <is>
          <t>Intermittent irrigation (Alternate Wetting and Drying — AWD); moderate retention</t>
        </is>
      </c>
      <c r="AA196" t="inlineStr">
        <is>
          <t>Transplanting (Pindot) or Direct Seeding (Pinaghandaan)</t>
        </is>
      </c>
      <c r="AP196" t="n">
        <v>6.4</v>
      </c>
    </row>
    <row r="197">
      <c r="B197" t="inlineStr">
        <is>
          <t>Palay</t>
        </is>
      </c>
      <c r="C197" t="inlineStr">
        <is>
          <t>Sumabnit</t>
        </is>
      </c>
      <c r="D197" t="inlineStr">
        <is>
          <t>DS 2012</t>
        </is>
      </c>
      <c r="E197" t="n">
        <v>406.56</v>
      </c>
      <c r="F197" t="n">
        <v>63.6</v>
      </c>
      <c r="G197" t="n">
        <v>1.5</v>
      </c>
      <c r="H197" t="n">
        <v>81.66</v>
      </c>
      <c r="I197" t="n">
        <v>0.85</v>
      </c>
      <c r="J197" t="n">
        <v>24.57</v>
      </c>
      <c r="K197" t="n">
        <v>18.71</v>
      </c>
      <c r="L197" t="n">
        <v>31.08</v>
      </c>
      <c r="M197" t="n">
        <v>80.65000000000001</v>
      </c>
      <c r="N197" t="n">
        <v>98.53</v>
      </c>
      <c r="O197" t="n">
        <v>16.8</v>
      </c>
      <c r="P197" t="inlineStr">
        <is>
          <t>Silty Clay Loam / Fine Sandy Loam</t>
        </is>
      </c>
      <c r="Y197" t="inlineStr">
        <is>
          <t>Minimum Tillage (avoid compaction; sandy structure fragile)</t>
        </is>
      </c>
      <c r="Z197" t="inlineStr">
        <is>
          <t>Continuous flooding or frequent irrigation; high percolation risk</t>
        </is>
      </c>
      <c r="AA197" t="inlineStr">
        <is>
          <t>Transplanting (Pindot)</t>
        </is>
      </c>
      <c r="AP197" t="n">
        <v>5.65</v>
      </c>
    </row>
    <row r="198">
      <c r="B198" t="inlineStr">
        <is>
          <t>Palay</t>
        </is>
      </c>
      <c r="C198" t="inlineStr">
        <is>
          <t>Tabuyoc</t>
        </is>
      </c>
      <c r="D198" t="inlineStr">
        <is>
          <t>DS 2012</t>
        </is>
      </c>
      <c r="E198" t="n">
        <v>277.2</v>
      </c>
      <c r="F198" t="n">
        <v>121</v>
      </c>
      <c r="G198" t="n">
        <v>1</v>
      </c>
      <c r="H198" t="n">
        <v>81.66</v>
      </c>
      <c r="I198" t="n">
        <v>0.85</v>
      </c>
      <c r="J198" t="n">
        <v>24.57</v>
      </c>
      <c r="K198" t="n">
        <v>18.71</v>
      </c>
      <c r="L198" t="n">
        <v>31.08</v>
      </c>
      <c r="M198" t="n">
        <v>80.65000000000001</v>
      </c>
      <c r="N198" t="n">
        <v>98.53</v>
      </c>
      <c r="O198" t="n">
        <v>16.8</v>
      </c>
      <c r="P198" t="inlineStr">
        <is>
          <t>Silty Clay Loam</t>
        </is>
      </c>
      <c r="Y198" t="inlineStr">
        <is>
          <t>Wet Tillage (Puddling): 2 plowings + thorough harrowing under flooded condition</t>
        </is>
      </c>
      <c r="Z198" t="inlineStr">
        <is>
          <t>Continuous flooding 2–5 cm depth during vegetative stage; drain 2 weeks before harvest</t>
        </is>
      </c>
      <c r="AA198" t="inlineStr">
        <is>
          <t>Transplanting (Pindot) — optimal for clay-loam paddy fields</t>
        </is>
      </c>
      <c r="AP198" t="n">
        <v>5.47</v>
      </c>
    </row>
    <row r="199">
      <c r="B199" t="inlineStr">
        <is>
          <t>Palay</t>
        </is>
      </c>
      <c r="C199" t="inlineStr">
        <is>
          <t>Balangobong</t>
        </is>
      </c>
      <c r="D199" t="inlineStr">
        <is>
          <t>DS 2013</t>
        </is>
      </c>
      <c r="E199" t="n">
        <v>281.4</v>
      </c>
      <c r="F199" t="n">
        <v>120</v>
      </c>
      <c r="G199" t="n">
        <v>2</v>
      </c>
      <c r="H199" t="n">
        <v>35.32</v>
      </c>
      <c r="I199" t="n">
        <v>0.58</v>
      </c>
      <c r="J199" t="n">
        <v>24.32</v>
      </c>
      <c r="K199" t="n">
        <v>16.94</v>
      </c>
      <c r="L199" t="n">
        <v>31.93</v>
      </c>
      <c r="M199" t="n">
        <v>74.94</v>
      </c>
      <c r="N199" t="n">
        <v>98.59999999999999</v>
      </c>
      <c r="O199" t="n">
        <v>16.43</v>
      </c>
      <c r="P199" t="inlineStr">
        <is>
          <t>Silty Clay Loam</t>
        </is>
      </c>
      <c r="Y199" t="inlineStr">
        <is>
          <t>Wet Tillage (Puddling): 2 plowings + thorough harrowing under flooded condition</t>
        </is>
      </c>
      <c r="Z199" t="inlineStr">
        <is>
          <t>Continuous flooding 2–5 cm depth during vegetative stage; drain 2 weeks before harvest</t>
        </is>
      </c>
      <c r="AA199" t="inlineStr">
        <is>
          <t>Transplanting (Pindot) — optimal for clay-loam paddy fields</t>
        </is>
      </c>
      <c r="AP199" t="n">
        <v>2.25</v>
      </c>
    </row>
    <row r="200">
      <c r="B200" t="inlineStr">
        <is>
          <t>Palay</t>
        </is>
      </c>
      <c r="C200" t="inlineStr">
        <is>
          <t>Bugayong</t>
        </is>
      </c>
      <c r="D200" t="inlineStr">
        <is>
          <t>DS 2013</t>
        </is>
      </c>
      <c r="E200" t="n">
        <v>346.08</v>
      </c>
      <c r="F200" t="n">
        <v>7</v>
      </c>
      <c r="G200" t="n">
        <v>2</v>
      </c>
      <c r="H200" t="n">
        <v>41.02</v>
      </c>
      <c r="I200" t="n">
        <v>0.58</v>
      </c>
      <c r="J200" t="n">
        <v>24.32</v>
      </c>
      <c r="K200" t="n">
        <v>16.94</v>
      </c>
      <c r="L200" t="n">
        <v>31.93</v>
      </c>
      <c r="M200" t="n">
        <v>74.94</v>
      </c>
      <c r="N200" t="n">
        <v>98.59999999999999</v>
      </c>
      <c r="O200" t="n">
        <v>16.43</v>
      </c>
      <c r="P200" t="inlineStr">
        <is>
          <t>Sandy Loam / Silty Clay Loam</t>
        </is>
      </c>
      <c r="Y200" t="inlineStr">
        <is>
          <t>Conventional Tillage: 2 plowings + harrowing; puddle thoroughly for transplanting</t>
        </is>
      </c>
      <c r="Z200" t="inlineStr">
        <is>
          <t>Intermittent to continuous flooding; manage according to drainage section present</t>
        </is>
      </c>
      <c r="AA200" t="inlineStr">
        <is>
          <t>Transplanting (Pindot) — recommended; Direct Seeding possible in dry season</t>
        </is>
      </c>
      <c r="AP200" t="n">
        <v>2.98</v>
      </c>
    </row>
    <row r="201">
      <c r="B201" t="inlineStr">
        <is>
          <t>Palay</t>
        </is>
      </c>
      <c r="C201" t="inlineStr">
        <is>
          <t>Camanggaan</t>
        </is>
      </c>
      <c r="D201" t="inlineStr">
        <is>
          <t>DS 2013</t>
        </is>
      </c>
      <c r="E201" t="n">
        <v>244.44</v>
      </c>
      <c r="F201" t="n">
        <v>5</v>
      </c>
      <c r="G201" t="n">
        <v>2</v>
      </c>
      <c r="H201" t="n">
        <v>72.73999999999999</v>
      </c>
      <c r="I201" t="n">
        <v>0.58</v>
      </c>
      <c r="J201" t="n">
        <v>24.32</v>
      </c>
      <c r="K201" t="n">
        <v>16.94</v>
      </c>
      <c r="L201" t="n">
        <v>31.93</v>
      </c>
      <c r="M201" t="n">
        <v>74.94</v>
      </c>
      <c r="N201" t="n">
        <v>98.59999999999999</v>
      </c>
      <c r="O201" t="n">
        <v>16.43</v>
      </c>
      <c r="P201" t="inlineStr">
        <is>
          <t>Sandy Loam</t>
        </is>
      </c>
      <c r="Y201" t="inlineStr">
        <is>
          <t>Conventional Tillage: 2 plowings + 2 harrowings; soil workable when moist</t>
        </is>
      </c>
      <c r="Z201" t="inlineStr">
        <is>
          <t>Intermittent irrigation (Alternate Wetting and Drying — AWD); moderate retention</t>
        </is>
      </c>
      <c r="AA201" t="inlineStr">
        <is>
          <t>Transplanting (Pindot) or Direct Seeding (Pinaghandaan)</t>
        </is>
      </c>
      <c r="AP201" t="n">
        <v>4.86</v>
      </c>
    </row>
    <row r="202">
      <c r="B202" t="inlineStr">
        <is>
          <t>Palay</t>
        </is>
      </c>
      <c r="C202" t="inlineStr">
        <is>
          <t>Capas</t>
        </is>
      </c>
      <c r="D202" t="inlineStr">
        <is>
          <t>DS 2013</t>
        </is>
      </c>
      <c r="E202" t="n">
        <v>377.16</v>
      </c>
      <c r="F202" t="n">
        <v>179</v>
      </c>
      <c r="G202" t="n">
        <v>4</v>
      </c>
      <c r="H202" t="n">
        <v>67.04000000000001</v>
      </c>
      <c r="I202" t="n">
        <v>0.58</v>
      </c>
      <c r="J202" t="n">
        <v>24.32</v>
      </c>
      <c r="K202" t="n">
        <v>16.94</v>
      </c>
      <c r="L202" t="n">
        <v>31.93</v>
      </c>
      <c r="M202" t="n">
        <v>74.94</v>
      </c>
      <c r="N202" t="n">
        <v>98.59999999999999</v>
      </c>
      <c r="O202" t="n">
        <v>16.43</v>
      </c>
      <c r="P202" t="inlineStr">
        <is>
          <t>Sandy Loam</t>
        </is>
      </c>
      <c r="Y202" t="inlineStr">
        <is>
          <t>Conventional Tillage: 2 plowings + 2 harrowings; soil workable when moist</t>
        </is>
      </c>
      <c r="Z202" t="inlineStr">
        <is>
          <t>Intermittent irrigation (Alternate Wetting and Drying — AWD); moderate retention</t>
        </is>
      </c>
      <c r="AA202" t="inlineStr">
        <is>
          <t>Transplanting (Pindot) or Direct Seeding (Pinaghandaan)</t>
        </is>
      </c>
      <c r="AP202" t="n">
        <v>4.87</v>
      </c>
    </row>
    <row r="203">
      <c r="B203" t="inlineStr">
        <is>
          <t>Palay</t>
        </is>
      </c>
      <c r="C203" t="inlineStr">
        <is>
          <t>Mangkasuy</t>
        </is>
      </c>
      <c r="D203" t="inlineStr">
        <is>
          <t>DS 2013</t>
        </is>
      </c>
      <c r="E203" t="n">
        <v>802.2</v>
      </c>
      <c r="F203" t="n">
        <v>14</v>
      </c>
      <c r="G203" t="n">
        <v>1</v>
      </c>
      <c r="H203" t="n">
        <v>110.1</v>
      </c>
      <c r="I203" t="n">
        <v>0.58</v>
      </c>
      <c r="J203" t="n">
        <v>24.32</v>
      </c>
      <c r="K203" t="n">
        <v>16.94</v>
      </c>
      <c r="L203" t="n">
        <v>31.93</v>
      </c>
      <c r="M203" t="n">
        <v>74.94</v>
      </c>
      <c r="N203" t="n">
        <v>98.59999999999999</v>
      </c>
      <c r="O203" t="n">
        <v>16.43</v>
      </c>
      <c r="P203" t="inlineStr">
        <is>
          <t>Sandy Loam</t>
        </is>
      </c>
      <c r="Y203" t="inlineStr">
        <is>
          <t>Conventional Tillage: 2 plowings + 2 harrowings; soil workable when moist</t>
        </is>
      </c>
      <c r="Z203" t="inlineStr">
        <is>
          <t>Intermittent irrigation (Alternate Wetting and Drying — AWD); moderate retention</t>
        </is>
      </c>
      <c r="AA203" t="inlineStr">
        <is>
          <t>Transplanting (Pindot) or Direct Seeding (Pinaghandaan)</t>
        </is>
      </c>
      <c r="AP203" t="n">
        <v>4.93</v>
      </c>
    </row>
    <row r="204">
      <c r="B204" t="inlineStr">
        <is>
          <t>Palay</t>
        </is>
      </c>
      <c r="C204" t="inlineStr">
        <is>
          <t>Pasileng Norte</t>
        </is>
      </c>
      <c r="D204" t="inlineStr">
        <is>
          <t>DS 2013</t>
        </is>
      </c>
      <c r="E204" t="n">
        <v>140.28</v>
      </c>
      <c r="F204" t="n">
        <v>75</v>
      </c>
      <c r="G204" t="n">
        <v>5</v>
      </c>
      <c r="H204" t="n">
        <v>26.4</v>
      </c>
      <c r="I204" t="n">
        <v>0.58</v>
      </c>
      <c r="J204" t="n">
        <v>24.32</v>
      </c>
      <c r="K204" t="n">
        <v>16.94</v>
      </c>
      <c r="L204" t="n">
        <v>31.93</v>
      </c>
      <c r="M204" t="n">
        <v>74.94</v>
      </c>
      <c r="N204" t="n">
        <v>98.59999999999999</v>
      </c>
      <c r="O204" t="n">
        <v>16.43</v>
      </c>
      <c r="P204" t="inlineStr">
        <is>
          <t>Sandy Loam</t>
        </is>
      </c>
      <c r="Y204" t="inlineStr">
        <is>
          <t>Conventional Tillage: 2 plowings + 2 harrowings; soil workable when moist</t>
        </is>
      </c>
      <c r="Z204" t="inlineStr">
        <is>
          <t>Intermittent irrigation (Alternate Wetting and Drying — AWD); moderate retention</t>
        </is>
      </c>
      <c r="AA204" t="inlineStr">
        <is>
          <t>Transplanting (Pindot) or Direct Seeding (Pinaghandaan)</t>
        </is>
      </c>
      <c r="AP204" t="n">
        <v>5.26</v>
      </c>
    </row>
    <row r="205">
      <c r="B205" t="inlineStr">
        <is>
          <t>Palay</t>
        </is>
      </c>
      <c r="C205" t="inlineStr">
        <is>
          <t>Pasileng Sur</t>
        </is>
      </c>
      <c r="D205" t="inlineStr">
        <is>
          <t>DS 2013</t>
        </is>
      </c>
      <c r="E205" t="n">
        <v>414.96</v>
      </c>
      <c r="F205" t="n">
        <v>160</v>
      </c>
      <c r="G205" t="n">
        <v>1.5</v>
      </c>
      <c r="H205" t="n">
        <v>26.4</v>
      </c>
      <c r="I205" t="n">
        <v>0.58</v>
      </c>
      <c r="J205" t="n">
        <v>24.32</v>
      </c>
      <c r="K205" t="n">
        <v>16.94</v>
      </c>
      <c r="L205" t="n">
        <v>31.93</v>
      </c>
      <c r="M205" t="n">
        <v>74.94</v>
      </c>
      <c r="N205" t="n">
        <v>98.59999999999999</v>
      </c>
      <c r="O205" t="n">
        <v>16.43</v>
      </c>
      <c r="P205" t="inlineStr">
        <is>
          <t>Sandy Loam</t>
        </is>
      </c>
      <c r="Y205" t="inlineStr">
        <is>
          <t>Conventional Tillage: 2 plowings + 2 harrowings; soil workable when moist</t>
        </is>
      </c>
      <c r="Z205" t="inlineStr">
        <is>
          <t>Intermittent irrigation (Alternate Wetting and Drying — AWD); moderate retention</t>
        </is>
      </c>
      <c r="AA205" t="inlineStr">
        <is>
          <t>Transplanting (Pindot) or Direct Seeding (Pinaghandaan)</t>
        </is>
      </c>
      <c r="AP205" t="n">
        <v>8</v>
      </c>
    </row>
    <row r="206">
      <c r="B206" t="inlineStr">
        <is>
          <t>Palay</t>
        </is>
      </c>
      <c r="C206" t="inlineStr">
        <is>
          <t>San Felipe Sur</t>
        </is>
      </c>
      <c r="D206" t="inlineStr">
        <is>
          <t>DS 2013</t>
        </is>
      </c>
      <c r="E206" t="n">
        <v>504</v>
      </c>
      <c r="F206" t="n">
        <v>125</v>
      </c>
      <c r="G206" t="n">
        <v>1.5</v>
      </c>
      <c r="H206" t="n">
        <v>32.1</v>
      </c>
      <c r="I206" t="n">
        <v>0.58</v>
      </c>
      <c r="J206" t="n">
        <v>24.32</v>
      </c>
      <c r="K206" t="n">
        <v>16.94</v>
      </c>
      <c r="L206" t="n">
        <v>31.93</v>
      </c>
      <c r="M206" t="n">
        <v>74.94</v>
      </c>
      <c r="N206" t="n">
        <v>98.59999999999999</v>
      </c>
      <c r="O206" t="n">
        <v>16.43</v>
      </c>
      <c r="P206" t="inlineStr">
        <is>
          <t>Sandy Loam</t>
        </is>
      </c>
      <c r="Y206" t="inlineStr">
        <is>
          <t>Conventional Tillage: 2 plowings + 2 harrowings; soil workable when moist</t>
        </is>
      </c>
      <c r="Z206" t="inlineStr">
        <is>
          <t>Intermittent irrigation (Alternate Wetting and Drying — AWD); moderate retention</t>
        </is>
      </c>
      <c r="AA206" t="inlineStr">
        <is>
          <t>Transplanting (Pindot) or Direct Seeding (Pinaghandaan)</t>
        </is>
      </c>
      <c r="AP206" t="n">
        <v>8</v>
      </c>
    </row>
    <row r="207">
      <c r="B207" t="inlineStr">
        <is>
          <t>Palay</t>
        </is>
      </c>
      <c r="C207" t="inlineStr">
        <is>
          <t>San Pablo</t>
        </is>
      </c>
      <c r="D207" t="inlineStr">
        <is>
          <t>DS 2013</t>
        </is>
      </c>
      <c r="E207" t="n">
        <v>215.04</v>
      </c>
      <c r="F207" t="n">
        <v>120</v>
      </c>
      <c r="G207" t="n">
        <v>10.5</v>
      </c>
      <c r="H207" t="n">
        <v>26.4</v>
      </c>
      <c r="I207" t="n">
        <v>0.58</v>
      </c>
      <c r="J207" t="n">
        <v>24.32</v>
      </c>
      <c r="K207" t="n">
        <v>16.94</v>
      </c>
      <c r="L207" t="n">
        <v>31.93</v>
      </c>
      <c r="M207" t="n">
        <v>74.94</v>
      </c>
      <c r="N207" t="n">
        <v>98.59999999999999</v>
      </c>
      <c r="O207" t="n">
        <v>16.43</v>
      </c>
      <c r="P207" t="inlineStr">
        <is>
          <t>Sandy Loam</t>
        </is>
      </c>
      <c r="Y207" t="inlineStr">
        <is>
          <t>Conventional Tillage: 2 plowings + 2 harrowings; soil workable when moist</t>
        </is>
      </c>
      <c r="Z207" t="inlineStr">
        <is>
          <t>Intermittent irrigation (Alternate Wetting and Drying — AWD); moderate retention</t>
        </is>
      </c>
      <c r="AA207" t="inlineStr">
        <is>
          <t>Transplanting (Pindot) or Direct Seeding (Pinaghandaan)</t>
        </is>
      </c>
      <c r="AP207" t="n">
        <v>4.1</v>
      </c>
    </row>
    <row r="208">
      <c r="B208" t="inlineStr">
        <is>
          <t>Palay</t>
        </is>
      </c>
      <c r="C208" t="inlineStr">
        <is>
          <t>Santiago</t>
        </is>
      </c>
      <c r="D208" t="inlineStr">
        <is>
          <t>DS 2013</t>
        </is>
      </c>
      <c r="E208" t="n">
        <v>283.08</v>
      </c>
      <c r="F208" t="n">
        <v>13</v>
      </c>
      <c r="G208" t="n">
        <v>2</v>
      </c>
      <c r="H208" t="n">
        <v>81.66</v>
      </c>
      <c r="I208" t="n">
        <v>0.58</v>
      </c>
      <c r="J208" t="n">
        <v>24.32</v>
      </c>
      <c r="K208" t="n">
        <v>16.94</v>
      </c>
      <c r="L208" t="n">
        <v>31.93</v>
      </c>
      <c r="M208" t="n">
        <v>74.94</v>
      </c>
      <c r="N208" t="n">
        <v>98.59999999999999</v>
      </c>
      <c r="O208" t="n">
        <v>16.43</v>
      </c>
      <c r="P208" t="inlineStr">
        <is>
          <t>Silty Clay Loam</t>
        </is>
      </c>
      <c r="Y208" t="inlineStr">
        <is>
          <t>Wet Tillage (Puddling): 2 plowings + thorough harrowing under flooded condition</t>
        </is>
      </c>
      <c r="Z208" t="inlineStr">
        <is>
          <t>Continuous flooding 2–5 cm depth during vegetative stage; drain 2 weeks before harvest</t>
        </is>
      </c>
      <c r="AA208" t="inlineStr">
        <is>
          <t>Transplanting (Pindot) — optimal for clay-loam paddy fields</t>
        </is>
      </c>
      <c r="AP208" t="n">
        <v>5.39</v>
      </c>
    </row>
    <row r="209">
      <c r="B209" t="inlineStr">
        <is>
          <t>Palay</t>
        </is>
      </c>
      <c r="C209" t="inlineStr">
        <is>
          <t>Sta. Maria Norte</t>
        </is>
      </c>
      <c r="D209" t="inlineStr">
        <is>
          <t>DS 2013</t>
        </is>
      </c>
      <c r="E209" t="n">
        <v>157.08</v>
      </c>
      <c r="F209" t="n">
        <v>12</v>
      </c>
      <c r="G209" t="n">
        <v>8.19</v>
      </c>
      <c r="H209" t="n">
        <v>26.4</v>
      </c>
      <c r="I209" t="n">
        <v>0.58</v>
      </c>
      <c r="J209" t="n">
        <v>24.32</v>
      </c>
      <c r="K209" t="n">
        <v>16.94</v>
      </c>
      <c r="L209" t="n">
        <v>31.93</v>
      </c>
      <c r="M209" t="n">
        <v>74.94</v>
      </c>
      <c r="N209" t="n">
        <v>98.59999999999999</v>
      </c>
      <c r="O209" t="n">
        <v>16.43</v>
      </c>
      <c r="P209" t="inlineStr">
        <is>
          <t>Sandy Loam</t>
        </is>
      </c>
      <c r="Y209" t="inlineStr">
        <is>
          <t>Conventional Tillage: 2 plowings + 2 harrowings; soil workable when moist</t>
        </is>
      </c>
      <c r="Z209" t="inlineStr">
        <is>
          <t>Intermittent irrigation (Alternate Wetting and Drying — AWD); moderate retention</t>
        </is>
      </c>
      <c r="AA209" t="inlineStr">
        <is>
          <t>Transplanting (Pindot) or Direct Seeding (Pinaghandaan)</t>
        </is>
      </c>
      <c r="AP209" t="n">
        <v>5.06</v>
      </c>
    </row>
    <row r="210">
      <c r="B210" t="inlineStr">
        <is>
          <t>Palay</t>
        </is>
      </c>
      <c r="C210" t="inlineStr">
        <is>
          <t>Sumabnit</t>
        </is>
      </c>
      <c r="D210" t="inlineStr">
        <is>
          <t>DS 2013</t>
        </is>
      </c>
      <c r="E210" t="n">
        <v>406.56</v>
      </c>
      <c r="F210" t="n">
        <v>60</v>
      </c>
      <c r="G210" t="n">
        <v>3</v>
      </c>
      <c r="H210" t="n">
        <v>81.66</v>
      </c>
      <c r="I210" t="n">
        <v>0.58</v>
      </c>
      <c r="J210" t="n">
        <v>24.32</v>
      </c>
      <c r="K210" t="n">
        <v>16.94</v>
      </c>
      <c r="L210" t="n">
        <v>31.93</v>
      </c>
      <c r="M210" t="n">
        <v>74.94</v>
      </c>
      <c r="N210" t="n">
        <v>98.59999999999999</v>
      </c>
      <c r="O210" t="n">
        <v>16.43</v>
      </c>
      <c r="P210" t="inlineStr">
        <is>
          <t>Silty Clay Loam / Fine Sandy Loam</t>
        </is>
      </c>
      <c r="Y210" t="inlineStr">
        <is>
          <t>Minimum Tillage (avoid compaction; sandy structure fragile)</t>
        </is>
      </c>
      <c r="Z210" t="inlineStr">
        <is>
          <t>Continuous flooding or frequent irrigation; high percolation risk</t>
        </is>
      </c>
      <c r="AA210" t="inlineStr">
        <is>
          <t>Transplanting (Pindot)</t>
        </is>
      </c>
      <c r="AP210" t="n">
        <v>5.62</v>
      </c>
    </row>
    <row r="211">
      <c r="B211" t="inlineStr">
        <is>
          <t>Palay</t>
        </is>
      </c>
      <c r="C211" t="inlineStr">
        <is>
          <t>Tabuyoc</t>
        </is>
      </c>
      <c r="D211" t="inlineStr">
        <is>
          <t>DS 2013</t>
        </is>
      </c>
      <c r="E211" t="n">
        <v>277.2</v>
      </c>
      <c r="F211" t="n">
        <v>125</v>
      </c>
      <c r="G211" t="n">
        <v>2</v>
      </c>
      <c r="H211" t="n">
        <v>81.66</v>
      </c>
      <c r="I211" t="n">
        <v>0.58</v>
      </c>
      <c r="J211" t="n">
        <v>24.32</v>
      </c>
      <c r="K211" t="n">
        <v>16.94</v>
      </c>
      <c r="L211" t="n">
        <v>31.93</v>
      </c>
      <c r="M211" t="n">
        <v>74.94</v>
      </c>
      <c r="N211" t="n">
        <v>98.59999999999999</v>
      </c>
      <c r="O211" t="n">
        <v>16.43</v>
      </c>
      <c r="P211" t="inlineStr">
        <is>
          <t>Silty Clay Loam</t>
        </is>
      </c>
      <c r="Y211" t="inlineStr">
        <is>
          <t>Wet Tillage (Puddling): 2 plowings + thorough harrowing under flooded condition</t>
        </is>
      </c>
      <c r="Z211" t="inlineStr">
        <is>
          <t>Continuous flooding 2–5 cm depth during vegetative stage; drain 2 weeks before harvest</t>
        </is>
      </c>
      <c r="AA211" t="inlineStr">
        <is>
          <t>Transplanting (Pindot) — optimal for clay-loam paddy fields</t>
        </is>
      </c>
      <c r="AP211" t="n">
        <v>5.26</v>
      </c>
    </row>
    <row r="212">
      <c r="B212" t="inlineStr">
        <is>
          <t>Palay</t>
        </is>
      </c>
      <c r="C212" t="inlineStr">
        <is>
          <t>Balangobong</t>
        </is>
      </c>
      <c r="D212" t="inlineStr">
        <is>
          <t>DS 2018</t>
        </is>
      </c>
      <c r="E212" t="n">
        <v>281.4</v>
      </c>
      <c r="F212" t="n">
        <v>110</v>
      </c>
      <c r="G212" t="n">
        <v>7.44</v>
      </c>
      <c r="H212" t="n">
        <v>35.32</v>
      </c>
      <c r="I212" t="n">
        <v>1.05</v>
      </c>
      <c r="J212" t="n">
        <v>24.53</v>
      </c>
      <c r="K212" t="n">
        <v>17.85</v>
      </c>
      <c r="L212" t="n">
        <v>31.12</v>
      </c>
      <c r="M212" t="n">
        <v>80.86</v>
      </c>
      <c r="N212" t="n">
        <v>98.43000000000001</v>
      </c>
      <c r="O212" t="n">
        <v>15.71</v>
      </c>
      <c r="P212" t="inlineStr">
        <is>
          <t>Silty Clay Loam</t>
        </is>
      </c>
      <c r="Y212" t="inlineStr">
        <is>
          <t>Wet Tillage (Puddling): 2 plowings + thorough harrowing under flooded condition</t>
        </is>
      </c>
      <c r="Z212" t="inlineStr">
        <is>
          <t>Continuous flooding 2–5 cm depth during vegetative stage; drain 2 weeks before harvest</t>
        </is>
      </c>
      <c r="AA212" t="inlineStr">
        <is>
          <t>Transplanting (Pindot) — optimal for clay-loam paddy fields</t>
        </is>
      </c>
      <c r="AP212" t="n">
        <v>4.6375</v>
      </c>
    </row>
    <row r="213">
      <c r="B213" t="inlineStr">
        <is>
          <t>Palay</t>
        </is>
      </c>
      <c r="C213" t="inlineStr">
        <is>
          <t>Bugayong</t>
        </is>
      </c>
      <c r="D213" t="inlineStr">
        <is>
          <t>DS 2018</t>
        </is>
      </c>
      <c r="E213" t="n">
        <v>346.08</v>
      </c>
      <c r="F213" t="n">
        <v>12.25</v>
      </c>
      <c r="G213" t="n">
        <v>2</v>
      </c>
      <c r="H213" t="n">
        <v>41.02</v>
      </c>
      <c r="I213" t="n">
        <v>1.05</v>
      </c>
      <c r="J213" t="n">
        <v>24.53</v>
      </c>
      <c r="K213" t="n">
        <v>17.85</v>
      </c>
      <c r="L213" t="n">
        <v>31.12</v>
      </c>
      <c r="M213" t="n">
        <v>80.86</v>
      </c>
      <c r="N213" t="n">
        <v>98.43000000000001</v>
      </c>
      <c r="O213" t="n">
        <v>15.71</v>
      </c>
      <c r="P213" t="inlineStr">
        <is>
          <t>Sandy Loam / Silty Clay Loam</t>
        </is>
      </c>
      <c r="Y213" t="inlineStr">
        <is>
          <t>Conventional Tillage: 2 plowings + harrowing; puddle thoroughly for transplanting</t>
        </is>
      </c>
      <c r="Z213" t="inlineStr">
        <is>
          <t>Intermittent to continuous flooding; manage according to drainage section present</t>
        </is>
      </c>
      <c r="AA213" t="inlineStr">
        <is>
          <t>Transplanting (Pindot) — recommended; Direct Seeding possible in dry season</t>
        </is>
      </c>
      <c r="AP213" t="n">
        <v>4.94</v>
      </c>
    </row>
    <row r="214">
      <c r="B214" t="inlineStr">
        <is>
          <t>Palay</t>
        </is>
      </c>
      <c r="C214" t="inlineStr">
        <is>
          <t>Camanggaan</t>
        </is>
      </c>
      <c r="D214" t="inlineStr">
        <is>
          <t>DS 2018</t>
        </is>
      </c>
      <c r="E214" t="n">
        <v>244.44</v>
      </c>
      <c r="F214" t="n">
        <v>22.63</v>
      </c>
      <c r="G214" t="n">
        <v>2</v>
      </c>
      <c r="H214" t="n">
        <v>87.36</v>
      </c>
      <c r="I214" t="n">
        <v>1.05</v>
      </c>
      <c r="J214" t="n">
        <v>24.53</v>
      </c>
      <c r="K214" t="n">
        <v>17.85</v>
      </c>
      <c r="L214" t="n">
        <v>31.12</v>
      </c>
      <c r="M214" t="n">
        <v>80.86</v>
      </c>
      <c r="N214" t="n">
        <v>98.43000000000001</v>
      </c>
      <c r="O214" t="n">
        <v>15.71</v>
      </c>
      <c r="P214" t="inlineStr">
        <is>
          <t>Sandy Loam</t>
        </is>
      </c>
      <c r="Y214" t="inlineStr">
        <is>
          <t>Conventional Tillage: 2 plowings + 2 harrowings; soil workable when moist</t>
        </is>
      </c>
      <c r="Z214" t="inlineStr">
        <is>
          <t>Intermittent irrigation (Alternate Wetting and Drying — AWD); moderate retention</t>
        </is>
      </c>
      <c r="AA214" t="inlineStr">
        <is>
          <t>Transplanting (Pindot) or Direct Seeding (Pinaghandaan)</t>
        </is>
      </c>
      <c r="AP214" t="n">
        <v>4.913125</v>
      </c>
    </row>
    <row r="215">
      <c r="B215" t="inlineStr">
        <is>
          <t>Palay</t>
        </is>
      </c>
      <c r="C215" t="inlineStr">
        <is>
          <t>Capas</t>
        </is>
      </c>
      <c r="D215" t="inlineStr">
        <is>
          <t>DS 2018</t>
        </is>
      </c>
      <c r="E215" t="n">
        <v>377.16</v>
      </c>
      <c r="F215" t="n">
        <v>105</v>
      </c>
      <c r="G215" t="n">
        <v>6.17</v>
      </c>
      <c r="H215" t="n">
        <v>67.04000000000001</v>
      </c>
      <c r="I215" t="n">
        <v>1.05</v>
      </c>
      <c r="J215" t="n">
        <v>24.53</v>
      </c>
      <c r="K215" t="n">
        <v>17.85</v>
      </c>
      <c r="L215" t="n">
        <v>31.12</v>
      </c>
      <c r="M215" t="n">
        <v>80.86</v>
      </c>
      <c r="N215" t="n">
        <v>98.43000000000001</v>
      </c>
      <c r="O215" t="n">
        <v>15.71</v>
      </c>
      <c r="P215" t="inlineStr">
        <is>
          <t>Sandy Loam</t>
        </is>
      </c>
      <c r="Y215" t="inlineStr">
        <is>
          <t>Conventional Tillage: 2 plowings + 2 harrowings; soil workable when moist</t>
        </is>
      </c>
      <c r="Z215" t="inlineStr">
        <is>
          <t>Intermittent irrigation (Alternate Wetting and Drying — AWD); moderate retention</t>
        </is>
      </c>
      <c r="AA215" t="inlineStr">
        <is>
          <t>Transplanting (Pindot) or Direct Seeding (Pinaghandaan)</t>
        </is>
      </c>
      <c r="AP215" t="n">
        <v>5.768750000000001</v>
      </c>
    </row>
    <row r="216">
      <c r="B216" t="inlineStr">
        <is>
          <t>Palay</t>
        </is>
      </c>
      <c r="C216" t="inlineStr">
        <is>
          <t>Mangkasuy</t>
        </is>
      </c>
      <c r="D216" t="inlineStr">
        <is>
          <t>DS 2018</t>
        </is>
      </c>
      <c r="E216" t="n">
        <v>802.2</v>
      </c>
      <c r="F216" t="n">
        <v>50</v>
      </c>
      <c r="G216" t="n">
        <v>2</v>
      </c>
      <c r="H216" t="n">
        <v>134.2</v>
      </c>
      <c r="I216" t="n">
        <v>1.05</v>
      </c>
      <c r="J216" t="n">
        <v>24.53</v>
      </c>
      <c r="K216" t="n">
        <v>17.85</v>
      </c>
      <c r="L216" t="n">
        <v>31.12</v>
      </c>
      <c r="M216" t="n">
        <v>80.86</v>
      </c>
      <c r="N216" t="n">
        <v>98.43000000000001</v>
      </c>
      <c r="O216" t="n">
        <v>15.71</v>
      </c>
      <c r="P216" t="inlineStr">
        <is>
          <t>Sandy Loam</t>
        </is>
      </c>
      <c r="Y216" t="inlineStr">
        <is>
          <t>Conventional Tillage: 2 plowings + 2 harrowings; soil workable when moist</t>
        </is>
      </c>
      <c r="Z216" t="inlineStr">
        <is>
          <t>Intermittent irrigation (Alternate Wetting and Drying — AWD); moderate retention</t>
        </is>
      </c>
      <c r="AA216" t="inlineStr">
        <is>
          <t>Transplanting (Pindot) or Direct Seeding (Pinaghandaan)</t>
        </is>
      </c>
      <c r="AP216" t="n">
        <v>4.494375</v>
      </c>
    </row>
    <row r="217">
      <c r="B217" t="inlineStr">
        <is>
          <t>Palay</t>
        </is>
      </c>
      <c r="C217" t="inlineStr">
        <is>
          <t>Moreno</t>
        </is>
      </c>
      <c r="D217" t="inlineStr">
        <is>
          <t>DS 2018</t>
        </is>
      </c>
      <c r="E217" t="n">
        <v>641.76</v>
      </c>
      <c r="F217" t="n">
        <v>16.56</v>
      </c>
      <c r="G217" t="n">
        <v>26.19</v>
      </c>
      <c r="H217" t="n">
        <v>135.56</v>
      </c>
      <c r="I217" t="n">
        <v>1.05</v>
      </c>
      <c r="J217" t="n">
        <v>24.53</v>
      </c>
      <c r="K217" t="n">
        <v>17.85</v>
      </c>
      <c r="L217" t="n">
        <v>31.12</v>
      </c>
      <c r="M217" t="n">
        <v>80.86</v>
      </c>
      <c r="N217" t="n">
        <v>98.43000000000001</v>
      </c>
      <c r="O217" t="n">
        <v>15.71</v>
      </c>
      <c r="P217" t="inlineStr">
        <is>
          <t>Sandy Loam</t>
        </is>
      </c>
      <c r="Y217" t="inlineStr">
        <is>
          <t>Conventional Tillage: 2 plowings + 2 harrowings; soil workable when moist</t>
        </is>
      </c>
      <c r="Z217" t="inlineStr">
        <is>
          <t>Intermittent irrigation (Alternate Wetting and Drying — AWD); moderate retention; terrace or bund-assisted water retention essential on slopes</t>
        </is>
      </c>
      <c r="AA217" t="inlineStr">
        <is>
          <t>Transplanting (Pindot) or Direct Seeding (Pinaghandaan)</t>
        </is>
      </c>
      <c r="AP217" t="n">
        <v>4.684545454545455</v>
      </c>
    </row>
    <row r="218">
      <c r="B218" t="inlineStr">
        <is>
          <t>Palay</t>
        </is>
      </c>
      <c r="C218" t="inlineStr">
        <is>
          <t>Pasileng Norte</t>
        </is>
      </c>
      <c r="D218" t="inlineStr">
        <is>
          <t>DS 2018</t>
        </is>
      </c>
      <c r="E218" t="n">
        <v>140.28</v>
      </c>
      <c r="F218" t="n">
        <v>65</v>
      </c>
      <c r="G218" t="n">
        <v>2</v>
      </c>
      <c r="H218" t="n">
        <v>26.4</v>
      </c>
      <c r="I218" t="n">
        <v>1.05</v>
      </c>
      <c r="J218" t="n">
        <v>24.53</v>
      </c>
      <c r="K218" t="n">
        <v>17.85</v>
      </c>
      <c r="L218" t="n">
        <v>31.12</v>
      </c>
      <c r="M218" t="n">
        <v>80.86</v>
      </c>
      <c r="N218" t="n">
        <v>98.43000000000001</v>
      </c>
      <c r="O218" t="n">
        <v>15.71</v>
      </c>
      <c r="P218" t="inlineStr">
        <is>
          <t>Sandy Loam</t>
        </is>
      </c>
      <c r="Y218" t="inlineStr">
        <is>
          <t>Conventional Tillage: 2 plowings + 2 harrowings; soil workable when moist</t>
        </is>
      </c>
      <c r="Z218" t="inlineStr">
        <is>
          <t>Intermittent irrigation (Alternate Wetting and Drying — AWD); moderate retention</t>
        </is>
      </c>
      <c r="AA218" t="inlineStr">
        <is>
          <t>Transplanting (Pindot) or Direct Seeding (Pinaghandaan)</t>
        </is>
      </c>
      <c r="AP218" t="n">
        <v>5.75125</v>
      </c>
    </row>
    <row r="219">
      <c r="B219" t="inlineStr">
        <is>
          <t>Palay</t>
        </is>
      </c>
      <c r="C219" t="inlineStr">
        <is>
          <t>Pasileng Sur</t>
        </is>
      </c>
      <c r="D219" t="inlineStr">
        <is>
          <t>DS 2018</t>
        </is>
      </c>
      <c r="E219" t="n">
        <v>414.96</v>
      </c>
      <c r="F219" t="n">
        <v>119</v>
      </c>
      <c r="G219" t="n">
        <v>2</v>
      </c>
      <c r="H219" t="n">
        <v>32.1</v>
      </c>
      <c r="I219" t="n">
        <v>1.05</v>
      </c>
      <c r="J219" t="n">
        <v>24.53</v>
      </c>
      <c r="K219" t="n">
        <v>17.85</v>
      </c>
      <c r="L219" t="n">
        <v>31.12</v>
      </c>
      <c r="M219" t="n">
        <v>80.86</v>
      </c>
      <c r="N219" t="n">
        <v>98.43000000000001</v>
      </c>
      <c r="O219" t="n">
        <v>15.71</v>
      </c>
      <c r="P219" t="inlineStr">
        <is>
          <t>Sandy Loam</t>
        </is>
      </c>
      <c r="Y219" t="inlineStr">
        <is>
          <t>Conventional Tillage: 2 plowings + 2 harrowings; soil workable when moist</t>
        </is>
      </c>
      <c r="Z219" t="inlineStr">
        <is>
          <t>Intermittent irrigation (Alternate Wetting and Drying — AWD); moderate retention</t>
        </is>
      </c>
      <c r="AA219" t="inlineStr">
        <is>
          <t>Transplanting (Pindot) or Direct Seeding (Pinaghandaan)</t>
        </is>
      </c>
      <c r="AP219" t="n">
        <v>5.21</v>
      </c>
    </row>
    <row r="220">
      <c r="B220" t="inlineStr">
        <is>
          <t>Palay</t>
        </is>
      </c>
      <c r="C220" t="inlineStr">
        <is>
          <t>San Felipe Central</t>
        </is>
      </c>
      <c r="D220" t="inlineStr">
        <is>
          <t>DS 2018</t>
        </is>
      </c>
      <c r="E220" t="n">
        <v>452.76</v>
      </c>
      <c r="F220" t="n">
        <v>98</v>
      </c>
      <c r="G220" t="n">
        <v>2</v>
      </c>
      <c r="H220" t="n">
        <v>32.1</v>
      </c>
      <c r="I220" t="n">
        <v>1.05</v>
      </c>
      <c r="J220" t="n">
        <v>24.53</v>
      </c>
      <c r="K220" t="n">
        <v>17.85</v>
      </c>
      <c r="L220" t="n">
        <v>31.12</v>
      </c>
      <c r="M220" t="n">
        <v>80.86</v>
      </c>
      <c r="N220" t="n">
        <v>98.43000000000001</v>
      </c>
      <c r="O220" t="n">
        <v>15.71</v>
      </c>
      <c r="P220" t="inlineStr">
        <is>
          <t>Sandy Loam</t>
        </is>
      </c>
      <c r="Y220" t="inlineStr">
        <is>
          <t>Conventional Tillage: 2 plowings + 2 harrowings; soil workable when moist</t>
        </is>
      </c>
      <c r="Z220" t="inlineStr">
        <is>
          <t>Intermittent irrigation (Alternate Wetting and Drying — AWD); moderate retention</t>
        </is>
      </c>
      <c r="AA220" t="inlineStr">
        <is>
          <t>Transplanting (Pindot) or Direct Seeding (Pinaghandaan)</t>
        </is>
      </c>
      <c r="AP220" t="n">
        <v>4.781999999999999</v>
      </c>
    </row>
    <row r="221">
      <c r="B221" t="inlineStr">
        <is>
          <t>Palay</t>
        </is>
      </c>
      <c r="C221" t="inlineStr">
        <is>
          <t>San Felipe Sur</t>
        </is>
      </c>
      <c r="D221" t="inlineStr">
        <is>
          <t>DS 2018</t>
        </is>
      </c>
      <c r="E221" t="n">
        <v>504</v>
      </c>
      <c r="F221" t="n">
        <v>115</v>
      </c>
      <c r="G221" t="n">
        <v>2</v>
      </c>
      <c r="H221" t="n">
        <v>32.1</v>
      </c>
      <c r="I221" t="n">
        <v>1.05</v>
      </c>
      <c r="J221" t="n">
        <v>24.53</v>
      </c>
      <c r="K221" t="n">
        <v>17.85</v>
      </c>
      <c r="L221" t="n">
        <v>31.12</v>
      </c>
      <c r="M221" t="n">
        <v>80.86</v>
      </c>
      <c r="N221" t="n">
        <v>98.43000000000001</v>
      </c>
      <c r="O221" t="n">
        <v>15.71</v>
      </c>
      <c r="P221" t="inlineStr">
        <is>
          <t>Sandy Loam</t>
        </is>
      </c>
      <c r="Y221" t="inlineStr">
        <is>
          <t>Conventional Tillage: 2 plowings + 2 harrowings; soil workable when moist</t>
        </is>
      </c>
      <c r="Z221" t="inlineStr">
        <is>
          <t>Intermittent irrigation (Alternate Wetting and Drying — AWD); moderate retention</t>
        </is>
      </c>
      <c r="AA221" t="inlineStr">
        <is>
          <t>Transplanting (Pindot) or Direct Seeding (Pinaghandaan)</t>
        </is>
      </c>
      <c r="AP221" t="n">
        <v>4.83375</v>
      </c>
    </row>
    <row r="222">
      <c r="B222" t="inlineStr">
        <is>
          <t>Palay</t>
        </is>
      </c>
      <c r="C222" t="inlineStr">
        <is>
          <t>San Pablo</t>
        </is>
      </c>
      <c r="D222" t="inlineStr">
        <is>
          <t>DS 2018</t>
        </is>
      </c>
      <c r="E222" t="n">
        <v>215.04</v>
      </c>
      <c r="F222" t="n">
        <v>90</v>
      </c>
      <c r="G222" t="n">
        <v>2</v>
      </c>
      <c r="H222" t="n">
        <v>26.4</v>
      </c>
      <c r="I222" t="n">
        <v>1.05</v>
      </c>
      <c r="J222" t="n">
        <v>24.53</v>
      </c>
      <c r="K222" t="n">
        <v>17.85</v>
      </c>
      <c r="L222" t="n">
        <v>31.12</v>
      </c>
      <c r="M222" t="n">
        <v>80.86</v>
      </c>
      <c r="N222" t="n">
        <v>98.43000000000001</v>
      </c>
      <c r="O222" t="n">
        <v>15.71</v>
      </c>
      <c r="P222" t="inlineStr">
        <is>
          <t>Sandy Loam</t>
        </is>
      </c>
      <c r="Y222" t="inlineStr">
        <is>
          <t>Conventional Tillage: 2 plowings + 2 harrowings; soil workable when moist</t>
        </is>
      </c>
      <c r="Z222" t="inlineStr">
        <is>
          <t>Intermittent irrigation (Alternate Wetting and Drying — AWD); moderate retention</t>
        </is>
      </c>
      <c r="AA222" t="inlineStr">
        <is>
          <t>Transplanting (Pindot) or Direct Seeding (Pinaghandaan)</t>
        </is>
      </c>
      <c r="AP222" t="n">
        <v>5.113125</v>
      </c>
    </row>
    <row r="223">
      <c r="B223" t="inlineStr">
        <is>
          <t>Palay</t>
        </is>
      </c>
      <c r="C223" t="inlineStr">
        <is>
          <t>Santiago</t>
        </is>
      </c>
      <c r="D223" t="inlineStr">
        <is>
          <t>DS 2018</t>
        </is>
      </c>
      <c r="E223" t="n">
        <v>283.08</v>
      </c>
      <c r="F223" t="n">
        <v>18</v>
      </c>
      <c r="G223" t="n">
        <v>2</v>
      </c>
      <c r="H223" t="n">
        <v>105.76</v>
      </c>
      <c r="I223" t="n">
        <v>1.05</v>
      </c>
      <c r="J223" t="n">
        <v>24.53</v>
      </c>
      <c r="K223" t="n">
        <v>17.85</v>
      </c>
      <c r="L223" t="n">
        <v>31.12</v>
      </c>
      <c r="M223" t="n">
        <v>80.86</v>
      </c>
      <c r="N223" t="n">
        <v>98.43000000000001</v>
      </c>
      <c r="O223" t="n">
        <v>15.71</v>
      </c>
      <c r="P223" t="inlineStr">
        <is>
          <t>Silty Clay Loam</t>
        </is>
      </c>
      <c r="Y223" t="inlineStr">
        <is>
          <t>Wet Tillage (Puddling): 2 plowings + thorough harrowing under flooded condition</t>
        </is>
      </c>
      <c r="Z223" t="inlineStr">
        <is>
          <t>Continuous flooding 2–5 cm depth during vegetative stage; drain 2 weeks before harvest</t>
        </is>
      </c>
      <c r="AA223" t="inlineStr">
        <is>
          <t>Transplanting (Pindot) — optimal for clay-loam paddy fields</t>
        </is>
      </c>
      <c r="AP223" t="n">
        <v>5.240625</v>
      </c>
    </row>
    <row r="224">
      <c r="B224" t="inlineStr">
        <is>
          <t>Palay</t>
        </is>
      </c>
      <c r="C224" t="inlineStr">
        <is>
          <t>Sta. Maria Norte</t>
        </is>
      </c>
      <c r="D224" t="inlineStr">
        <is>
          <t>DS 2018</t>
        </is>
      </c>
      <c r="E224" t="n">
        <v>157.08</v>
      </c>
      <c r="F224" t="n">
        <v>40.47</v>
      </c>
      <c r="G224" t="n">
        <v>2</v>
      </c>
      <c r="H224" t="n">
        <v>32.1</v>
      </c>
      <c r="I224" t="n">
        <v>1.05</v>
      </c>
      <c r="J224" t="n">
        <v>24.53</v>
      </c>
      <c r="K224" t="n">
        <v>17.85</v>
      </c>
      <c r="L224" t="n">
        <v>31.12</v>
      </c>
      <c r="M224" t="n">
        <v>80.86</v>
      </c>
      <c r="N224" t="n">
        <v>98.43000000000001</v>
      </c>
      <c r="O224" t="n">
        <v>15.71</v>
      </c>
      <c r="P224" t="inlineStr">
        <is>
          <t>Sandy Loam</t>
        </is>
      </c>
      <c r="Y224" t="inlineStr">
        <is>
          <t>Conventional Tillage: 2 plowings + 2 harrowings; soil workable when moist</t>
        </is>
      </c>
      <c r="Z224" t="inlineStr">
        <is>
          <t>Intermittent irrigation (Alternate Wetting and Drying — AWD); moderate retention</t>
        </is>
      </c>
      <c r="AA224" t="inlineStr">
        <is>
          <t>Transplanting (Pindot) or Direct Seeding (Pinaghandaan)</t>
        </is>
      </c>
      <c r="AP224" t="n">
        <v>3.915</v>
      </c>
    </row>
    <row r="225">
      <c r="B225" t="inlineStr">
        <is>
          <t>Palay</t>
        </is>
      </c>
      <c r="C225" t="inlineStr">
        <is>
          <t>Sumabnit</t>
        </is>
      </c>
      <c r="D225" t="inlineStr">
        <is>
          <t>DS 2018</t>
        </is>
      </c>
      <c r="E225" t="n">
        <v>406.56</v>
      </c>
      <c r="F225" t="n">
        <v>60</v>
      </c>
      <c r="G225" t="n">
        <v>2</v>
      </c>
      <c r="H225" t="n">
        <v>81.66</v>
      </c>
      <c r="I225" t="n">
        <v>1.05</v>
      </c>
      <c r="J225" t="n">
        <v>24.53</v>
      </c>
      <c r="K225" t="n">
        <v>17.85</v>
      </c>
      <c r="L225" t="n">
        <v>31.12</v>
      </c>
      <c r="M225" t="n">
        <v>80.86</v>
      </c>
      <c r="N225" t="n">
        <v>98.43000000000001</v>
      </c>
      <c r="O225" t="n">
        <v>15.71</v>
      </c>
      <c r="P225" t="inlineStr">
        <is>
          <t>Silty Clay Loam / Fine Sandy Loam</t>
        </is>
      </c>
      <c r="Y225" t="inlineStr">
        <is>
          <t>Minimum Tillage (avoid compaction; sandy structure fragile)</t>
        </is>
      </c>
      <c r="Z225" t="inlineStr">
        <is>
          <t>Continuous flooding or frequent irrigation; high percolation risk</t>
        </is>
      </c>
      <c r="AA225" t="inlineStr">
        <is>
          <t>Transplanting (Pindot)</t>
        </is>
      </c>
      <c r="AP225" t="n">
        <v>4.894375</v>
      </c>
    </row>
    <row r="226">
      <c r="B226" t="inlineStr">
        <is>
          <t>Palay</t>
        </is>
      </c>
      <c r="C226" t="inlineStr">
        <is>
          <t>Tabuyoc</t>
        </is>
      </c>
      <c r="D226" t="inlineStr">
        <is>
          <t>DS 2018</t>
        </is>
      </c>
      <c r="E226" t="n">
        <v>277.2</v>
      </c>
      <c r="F226" t="n">
        <v>110</v>
      </c>
      <c r="G226" t="n">
        <v>2</v>
      </c>
      <c r="H226" t="n">
        <v>61.34</v>
      </c>
      <c r="I226" t="n">
        <v>1.05</v>
      </c>
      <c r="J226" t="n">
        <v>24.53</v>
      </c>
      <c r="K226" t="n">
        <v>17.85</v>
      </c>
      <c r="L226" t="n">
        <v>31.12</v>
      </c>
      <c r="M226" t="n">
        <v>80.86</v>
      </c>
      <c r="N226" t="n">
        <v>98.43000000000001</v>
      </c>
      <c r="O226" t="n">
        <v>15.71</v>
      </c>
      <c r="P226" t="inlineStr">
        <is>
          <t>Silty Clay Loam</t>
        </is>
      </c>
      <c r="Y226" t="inlineStr">
        <is>
          <t>Wet Tillage (Puddling): 2 plowings + thorough harrowing under flooded condition</t>
        </is>
      </c>
      <c r="Z226" t="inlineStr">
        <is>
          <t>Continuous flooding 2–5 cm depth during vegetative stage; drain 2 weeks before harvest</t>
        </is>
      </c>
      <c r="AA226" t="inlineStr">
        <is>
          <t>Transplanting (Pindot) — optimal for clay-loam paddy fields</t>
        </is>
      </c>
      <c r="AP226" t="n">
        <v>4.3925</v>
      </c>
    </row>
    <row r="227">
      <c r="B227" t="inlineStr">
        <is>
          <t>Palay</t>
        </is>
      </c>
      <c r="C227" t="inlineStr">
        <is>
          <t>Balangobong</t>
        </is>
      </c>
      <c r="D227" t="inlineStr">
        <is>
          <t>DS 2019</t>
        </is>
      </c>
      <c r="E227" t="n">
        <v>281.4</v>
      </c>
      <c r="F227" t="n">
        <v>110</v>
      </c>
      <c r="G227" t="n">
        <v>1</v>
      </c>
      <c r="H227" t="n">
        <v>15</v>
      </c>
      <c r="I227" t="n">
        <v>1.35</v>
      </c>
      <c r="J227" t="n">
        <v>24.09</v>
      </c>
      <c r="K227" t="n">
        <v>15.4</v>
      </c>
      <c r="L227" t="n">
        <v>31.54</v>
      </c>
      <c r="M227" t="n">
        <v>75.31</v>
      </c>
      <c r="N227" t="n">
        <v>98.76000000000001</v>
      </c>
      <c r="O227" t="n">
        <v>18.07</v>
      </c>
      <c r="P227" t="inlineStr">
        <is>
          <t>Silty Clay Loam</t>
        </is>
      </c>
      <c r="Y227" t="inlineStr">
        <is>
          <t>Wet Tillage (Puddling): 2 plowings + thorough harrowing under flooded condition</t>
        </is>
      </c>
      <c r="Z227" t="inlineStr">
        <is>
          <t>Continuous flooding 2–5 cm depth during vegetative stage; drain 2 weeks before harvest</t>
        </is>
      </c>
      <c r="AA227" t="inlineStr">
        <is>
          <t>Transplanting (Pindot) — optimal for clay-loam paddy fields</t>
        </is>
      </c>
      <c r="AP227" t="n">
        <v>5.86</v>
      </c>
    </row>
    <row r="228">
      <c r="B228" t="inlineStr">
        <is>
          <t>Palay</t>
        </is>
      </c>
      <c r="C228" t="inlineStr">
        <is>
          <t>Bugayong</t>
        </is>
      </c>
      <c r="D228" t="inlineStr">
        <is>
          <t>DS 2019</t>
        </is>
      </c>
      <c r="E228" t="n">
        <v>346.08</v>
      </c>
      <c r="F228" t="n">
        <v>1.36</v>
      </c>
      <c r="G228" t="n">
        <v>10.81</v>
      </c>
      <c r="H228" t="n">
        <v>41.02</v>
      </c>
      <c r="I228" t="n">
        <v>1.35</v>
      </c>
      <c r="J228" t="n">
        <v>24.09</v>
      </c>
      <c r="K228" t="n">
        <v>15.4</v>
      </c>
      <c r="L228" t="n">
        <v>31.54</v>
      </c>
      <c r="M228" t="n">
        <v>75.31</v>
      </c>
      <c r="N228" t="n">
        <v>98.76000000000001</v>
      </c>
      <c r="O228" t="n">
        <v>18.07</v>
      </c>
      <c r="P228" t="inlineStr">
        <is>
          <t>Sandy Loam / Silty Clay Loam</t>
        </is>
      </c>
      <c r="Y228" t="inlineStr">
        <is>
          <t>Conventional Tillage: 2 plowings + harrowing; puddle thoroughly for transplanting</t>
        </is>
      </c>
      <c r="Z228" t="inlineStr">
        <is>
          <t>Intermittent to continuous flooding; manage according to drainage section present</t>
        </is>
      </c>
      <c r="AA228" t="inlineStr">
        <is>
          <t>Transplanting (Pindot) — recommended; Direct Seeding possible in dry season</t>
        </is>
      </c>
      <c r="AP228" t="n">
        <v>2.88</v>
      </c>
    </row>
    <row r="229">
      <c r="B229" t="inlineStr">
        <is>
          <t>Palay</t>
        </is>
      </c>
      <c r="C229" t="inlineStr">
        <is>
          <t>Camanggaan</t>
        </is>
      </c>
      <c r="D229" t="inlineStr">
        <is>
          <t>DS 2019</t>
        </is>
      </c>
      <c r="E229" t="n">
        <v>244.44</v>
      </c>
      <c r="F229" t="n">
        <v>7.25</v>
      </c>
      <c r="G229" t="n">
        <v>4.78</v>
      </c>
      <c r="H229" t="n">
        <v>87.36</v>
      </c>
      <c r="I229" t="n">
        <v>1.35</v>
      </c>
      <c r="J229" t="n">
        <v>24.09</v>
      </c>
      <c r="K229" t="n">
        <v>15.4</v>
      </c>
      <c r="L229" t="n">
        <v>31.54</v>
      </c>
      <c r="M229" t="n">
        <v>75.31</v>
      </c>
      <c r="N229" t="n">
        <v>98.76000000000001</v>
      </c>
      <c r="O229" t="n">
        <v>18.07</v>
      </c>
      <c r="P229" t="inlineStr">
        <is>
          <t>Sandy Loam</t>
        </is>
      </c>
      <c r="Y229" t="inlineStr">
        <is>
          <t>Conventional Tillage: 2 plowings + 2 harrowings; soil workable when moist</t>
        </is>
      </c>
      <c r="Z229" t="inlineStr">
        <is>
          <t>Intermittent irrigation (Alternate Wetting and Drying — AWD); moderate retention</t>
        </is>
      </c>
      <c r="AA229" t="inlineStr">
        <is>
          <t>Transplanting (Pindot) or Direct Seeding (Pinaghandaan)</t>
        </is>
      </c>
      <c r="AP229" t="n">
        <v>2.61</v>
      </c>
    </row>
    <row r="230">
      <c r="B230" t="inlineStr">
        <is>
          <t>Palay</t>
        </is>
      </c>
      <c r="C230" t="inlineStr">
        <is>
          <t>Capas</t>
        </is>
      </c>
      <c r="D230" t="inlineStr">
        <is>
          <t>DS 2019</t>
        </is>
      </c>
      <c r="E230" t="n">
        <v>377.16</v>
      </c>
      <c r="F230" t="n">
        <v>105</v>
      </c>
      <c r="G230" t="n">
        <v>6.28</v>
      </c>
      <c r="H230" t="n">
        <v>96.84</v>
      </c>
      <c r="I230" t="n">
        <v>1.35</v>
      </c>
      <c r="J230" t="n">
        <v>24.09</v>
      </c>
      <c r="K230" t="n">
        <v>15.4</v>
      </c>
      <c r="L230" t="n">
        <v>31.54</v>
      </c>
      <c r="M230" t="n">
        <v>75.31</v>
      </c>
      <c r="N230" t="n">
        <v>98.76000000000001</v>
      </c>
      <c r="O230" t="n">
        <v>18.07</v>
      </c>
      <c r="P230" t="inlineStr">
        <is>
          <t>Sandy Loam</t>
        </is>
      </c>
      <c r="Y230" t="inlineStr">
        <is>
          <t>Conventional Tillage: 2 plowings + 2 harrowings; soil workable when moist</t>
        </is>
      </c>
      <c r="Z230" t="inlineStr">
        <is>
          <t>Intermittent irrigation (Alternate Wetting and Drying — AWD); moderate retention</t>
        </is>
      </c>
      <c r="AA230" t="inlineStr">
        <is>
          <t>Transplanting (Pindot) or Direct Seeding (Pinaghandaan)</t>
        </is>
      </c>
      <c r="AP230" t="n">
        <v>4.95</v>
      </c>
    </row>
    <row r="231">
      <c r="B231" t="inlineStr">
        <is>
          <t>Palay</t>
        </is>
      </c>
      <c r="C231" t="inlineStr">
        <is>
          <t>Cili</t>
        </is>
      </c>
      <c r="D231" t="inlineStr">
        <is>
          <t>DS 2019</t>
        </is>
      </c>
      <c r="E231" t="n">
        <v>264.6</v>
      </c>
      <c r="F231" t="n">
        <v>4.75</v>
      </c>
      <c r="G231" t="n">
        <v>12.07</v>
      </c>
      <c r="H231" t="n">
        <v>35.32</v>
      </c>
      <c r="I231" t="n">
        <v>1.35</v>
      </c>
      <c r="J231" t="n">
        <v>24.09</v>
      </c>
      <c r="K231" t="n">
        <v>15.4</v>
      </c>
      <c r="L231" t="n">
        <v>31.54</v>
      </c>
      <c r="M231" t="n">
        <v>75.31</v>
      </c>
      <c r="N231" t="n">
        <v>98.76000000000001</v>
      </c>
      <c r="O231" t="n">
        <v>18.07</v>
      </c>
      <c r="P231" t="inlineStr">
        <is>
          <t>Silty Clay Loam</t>
        </is>
      </c>
      <c r="Y231" t="inlineStr">
        <is>
          <t>Wet Tillage (Puddling): 2 plowings + thorough harrowing under flooded condition</t>
        </is>
      </c>
      <c r="Z231" t="inlineStr">
        <is>
          <t>Continuous flooding 2–5 cm depth during vegetative stage; drain 2 weeks before harvest</t>
        </is>
      </c>
      <c r="AA231" t="inlineStr">
        <is>
          <t>Transplanting (Pindot) — optimal for clay-loam paddy fields</t>
        </is>
      </c>
      <c r="AP231" t="n">
        <v>2.72</v>
      </c>
    </row>
    <row r="232">
      <c r="B232" t="inlineStr">
        <is>
          <t>Palay</t>
        </is>
      </c>
      <c r="C232" t="inlineStr">
        <is>
          <t>Mangkasuy</t>
        </is>
      </c>
      <c r="D232" t="inlineStr">
        <is>
          <t>DS 2019</t>
        </is>
      </c>
      <c r="E232" t="n">
        <v>802.2</v>
      </c>
      <c r="F232" t="n">
        <v>50</v>
      </c>
      <c r="G232" t="n">
        <v>1.4</v>
      </c>
      <c r="H232" t="n">
        <v>164</v>
      </c>
      <c r="I232" t="n">
        <v>1.35</v>
      </c>
      <c r="J232" t="n">
        <v>24.09</v>
      </c>
      <c r="K232" t="n">
        <v>15.4</v>
      </c>
      <c r="L232" t="n">
        <v>31.54</v>
      </c>
      <c r="M232" t="n">
        <v>75.31</v>
      </c>
      <c r="N232" t="n">
        <v>98.76000000000001</v>
      </c>
      <c r="O232" t="n">
        <v>18.07</v>
      </c>
      <c r="P232" t="inlineStr">
        <is>
          <t>Sandy Loam</t>
        </is>
      </c>
      <c r="Y232" t="inlineStr">
        <is>
          <t>Conventional Tillage: 2 plowings + 2 harrowings; soil workable when moist</t>
        </is>
      </c>
      <c r="Z232" t="inlineStr">
        <is>
          <t>Intermittent irrigation (Alternate Wetting and Drying — AWD); moderate retention</t>
        </is>
      </c>
      <c r="AA232" t="inlineStr">
        <is>
          <t>Transplanting (Pindot) or Direct Seeding (Pinaghandaan)</t>
        </is>
      </c>
      <c r="AP232" t="n">
        <v>5.44</v>
      </c>
    </row>
    <row r="233">
      <c r="B233" t="inlineStr">
        <is>
          <t>Palay</t>
        </is>
      </c>
      <c r="C233" t="inlineStr">
        <is>
          <t>Moreno</t>
        </is>
      </c>
      <c r="D233" t="inlineStr">
        <is>
          <t>DS 2019</t>
        </is>
      </c>
      <c r="E233" t="n">
        <v>641.76</v>
      </c>
      <c r="F233" t="n">
        <v>4.78</v>
      </c>
      <c r="G233" t="n">
        <v>25.35</v>
      </c>
      <c r="H233" t="n">
        <v>135.56</v>
      </c>
      <c r="I233" t="n">
        <v>1.35</v>
      </c>
      <c r="J233" t="n">
        <v>24.09</v>
      </c>
      <c r="K233" t="n">
        <v>15.4</v>
      </c>
      <c r="L233" t="n">
        <v>31.54</v>
      </c>
      <c r="M233" t="n">
        <v>75.31</v>
      </c>
      <c r="N233" t="n">
        <v>98.76000000000001</v>
      </c>
      <c r="O233" t="n">
        <v>18.07</v>
      </c>
      <c r="P233" t="inlineStr">
        <is>
          <t>Sandy Loam</t>
        </is>
      </c>
      <c r="Y233" t="inlineStr">
        <is>
          <t>Conventional Tillage: 2 plowings + 2 harrowings; soil workable when moist</t>
        </is>
      </c>
      <c r="Z233" t="inlineStr">
        <is>
          <t>Intermittent irrigation (Alternate Wetting and Drying — AWD); moderate retention; terrace or bund-assisted water retention essential on slopes</t>
        </is>
      </c>
      <c r="AA233" t="inlineStr">
        <is>
          <t>Transplanting (Pindot) or Direct Seeding (Pinaghandaan)</t>
        </is>
      </c>
      <c r="AP233" t="n">
        <v>8</v>
      </c>
    </row>
    <row r="234">
      <c r="B234" t="inlineStr">
        <is>
          <t>Palay</t>
        </is>
      </c>
      <c r="C234" t="inlineStr">
        <is>
          <t>Pasileng Norte</t>
        </is>
      </c>
      <c r="D234" t="inlineStr">
        <is>
          <t>DS 2019</t>
        </is>
      </c>
      <c r="E234" t="n">
        <v>140.28</v>
      </c>
      <c r="F234" t="n">
        <v>65</v>
      </c>
      <c r="G234" t="n">
        <v>1.85</v>
      </c>
      <c r="H234" t="n">
        <v>20.7</v>
      </c>
      <c r="I234" t="n">
        <v>1.35</v>
      </c>
      <c r="J234" t="n">
        <v>24.09</v>
      </c>
      <c r="K234" t="n">
        <v>15.4</v>
      </c>
      <c r="L234" t="n">
        <v>31.54</v>
      </c>
      <c r="M234" t="n">
        <v>75.31</v>
      </c>
      <c r="N234" t="n">
        <v>98.76000000000001</v>
      </c>
      <c r="O234" t="n">
        <v>18.07</v>
      </c>
      <c r="P234" t="inlineStr">
        <is>
          <t>Sandy Loam</t>
        </is>
      </c>
      <c r="Y234" t="inlineStr">
        <is>
          <t>Conventional Tillage: 2 plowings + 2 harrowings; soil workable when moist</t>
        </is>
      </c>
      <c r="Z234" t="inlineStr">
        <is>
          <t>Intermittent irrigation (Alternate Wetting and Drying — AWD); moderate retention</t>
        </is>
      </c>
      <c r="AA234" t="inlineStr">
        <is>
          <t>Transplanting (Pindot) or Direct Seeding (Pinaghandaan)</t>
        </is>
      </c>
      <c r="AP234" t="n">
        <v>6.06</v>
      </c>
    </row>
    <row r="235">
      <c r="B235" t="inlineStr">
        <is>
          <t>Palay</t>
        </is>
      </c>
      <c r="C235" t="inlineStr">
        <is>
          <t>Pasileng Sur</t>
        </is>
      </c>
      <c r="D235" t="inlineStr">
        <is>
          <t>DS 2019</t>
        </is>
      </c>
      <c r="E235" t="n">
        <v>414.96</v>
      </c>
      <c r="F235" t="n">
        <v>119</v>
      </c>
      <c r="G235" t="n">
        <v>3</v>
      </c>
      <c r="H235" t="n">
        <v>32.1</v>
      </c>
      <c r="I235" t="n">
        <v>1.35</v>
      </c>
      <c r="J235" t="n">
        <v>24.09</v>
      </c>
      <c r="K235" t="n">
        <v>15.4</v>
      </c>
      <c r="L235" t="n">
        <v>31.54</v>
      </c>
      <c r="M235" t="n">
        <v>75.31</v>
      </c>
      <c r="N235" t="n">
        <v>98.76000000000001</v>
      </c>
      <c r="O235" t="n">
        <v>18.07</v>
      </c>
      <c r="P235" t="inlineStr">
        <is>
          <t>Sandy Loam</t>
        </is>
      </c>
      <c r="Y235" t="inlineStr">
        <is>
          <t>Conventional Tillage: 2 plowings + 2 harrowings; soil workable when moist</t>
        </is>
      </c>
      <c r="Z235" t="inlineStr">
        <is>
          <t>Intermittent irrigation (Alternate Wetting and Drying — AWD); moderate retention</t>
        </is>
      </c>
      <c r="AA235" t="inlineStr">
        <is>
          <t>Transplanting (Pindot) or Direct Seeding (Pinaghandaan)</t>
        </is>
      </c>
      <c r="AP235" t="n">
        <v>6.69</v>
      </c>
    </row>
    <row r="236">
      <c r="B236" t="inlineStr">
        <is>
          <t>Palay</t>
        </is>
      </c>
      <c r="C236" t="inlineStr">
        <is>
          <t>San Felipe Central</t>
        </is>
      </c>
      <c r="D236" t="inlineStr">
        <is>
          <t>DS 2019</t>
        </is>
      </c>
      <c r="E236" t="n">
        <v>452.76</v>
      </c>
      <c r="F236" t="n">
        <v>98</v>
      </c>
      <c r="G236" t="n">
        <v>2</v>
      </c>
      <c r="H236" t="n">
        <v>32.1</v>
      </c>
      <c r="I236" t="n">
        <v>1.35</v>
      </c>
      <c r="J236" t="n">
        <v>24.09</v>
      </c>
      <c r="K236" t="n">
        <v>15.4</v>
      </c>
      <c r="L236" t="n">
        <v>31.54</v>
      </c>
      <c r="M236" t="n">
        <v>75.31</v>
      </c>
      <c r="N236" t="n">
        <v>98.76000000000001</v>
      </c>
      <c r="O236" t="n">
        <v>18.07</v>
      </c>
      <c r="P236" t="inlineStr">
        <is>
          <t>Sandy Loam</t>
        </is>
      </c>
      <c r="Y236" t="inlineStr">
        <is>
          <t>Conventional Tillage: 2 plowings + 2 harrowings; soil workable when moist</t>
        </is>
      </c>
      <c r="Z236" t="inlineStr">
        <is>
          <t>Intermittent irrigation (Alternate Wetting and Drying — AWD); moderate retention</t>
        </is>
      </c>
      <c r="AA236" t="inlineStr">
        <is>
          <t>Transplanting (Pindot) or Direct Seeding (Pinaghandaan)</t>
        </is>
      </c>
      <c r="AP236" t="n">
        <v>5</v>
      </c>
    </row>
    <row r="237">
      <c r="B237" t="inlineStr">
        <is>
          <t>Palay</t>
        </is>
      </c>
      <c r="C237" t="inlineStr">
        <is>
          <t>San Felipe Sur</t>
        </is>
      </c>
      <c r="D237" t="inlineStr">
        <is>
          <t>DS 2019</t>
        </is>
      </c>
      <c r="E237" t="n">
        <v>504</v>
      </c>
      <c r="F237" t="n">
        <v>115</v>
      </c>
      <c r="G237" t="n">
        <v>3.4</v>
      </c>
      <c r="H237" t="n">
        <v>32.1</v>
      </c>
      <c r="I237" t="n">
        <v>1.35</v>
      </c>
      <c r="J237" t="n">
        <v>24.09</v>
      </c>
      <c r="K237" t="n">
        <v>15.4</v>
      </c>
      <c r="L237" t="n">
        <v>31.54</v>
      </c>
      <c r="M237" t="n">
        <v>75.31</v>
      </c>
      <c r="N237" t="n">
        <v>98.76000000000001</v>
      </c>
      <c r="O237" t="n">
        <v>18.07</v>
      </c>
      <c r="P237" t="inlineStr">
        <is>
          <t>Sandy Loam</t>
        </is>
      </c>
      <c r="Y237" t="inlineStr">
        <is>
          <t>Conventional Tillage: 2 plowings + 2 harrowings; soil workable when moist</t>
        </is>
      </c>
      <c r="Z237" t="inlineStr">
        <is>
          <t>Intermittent irrigation (Alternate Wetting and Drying — AWD); moderate retention</t>
        </is>
      </c>
      <c r="AA237" t="inlineStr">
        <is>
          <t>Transplanting (Pindot) or Direct Seeding (Pinaghandaan)</t>
        </is>
      </c>
      <c r="AP237" t="n">
        <v>4.97</v>
      </c>
    </row>
    <row r="238">
      <c r="B238" t="inlineStr">
        <is>
          <t>Palay</t>
        </is>
      </c>
      <c r="C238" t="inlineStr">
        <is>
          <t>San Pablo</t>
        </is>
      </c>
      <c r="D238" t="inlineStr">
        <is>
          <t>DS 2019</t>
        </is>
      </c>
      <c r="E238" t="n">
        <v>215.04</v>
      </c>
      <c r="F238" t="n">
        <v>90</v>
      </c>
      <c r="G238" t="n">
        <v>2</v>
      </c>
      <c r="H238" t="n">
        <v>32.1</v>
      </c>
      <c r="I238" t="n">
        <v>1.35</v>
      </c>
      <c r="J238" t="n">
        <v>24.09</v>
      </c>
      <c r="K238" t="n">
        <v>15.4</v>
      </c>
      <c r="L238" t="n">
        <v>31.54</v>
      </c>
      <c r="M238" t="n">
        <v>75.31</v>
      </c>
      <c r="N238" t="n">
        <v>98.76000000000001</v>
      </c>
      <c r="O238" t="n">
        <v>18.07</v>
      </c>
      <c r="P238" t="inlineStr">
        <is>
          <t>Sandy Loam</t>
        </is>
      </c>
      <c r="Y238" t="inlineStr">
        <is>
          <t>Conventional Tillage: 2 plowings + 2 harrowings; soil workable when moist</t>
        </is>
      </c>
      <c r="Z238" t="inlineStr">
        <is>
          <t>Intermittent irrigation (Alternate Wetting and Drying — AWD); moderate retention</t>
        </is>
      </c>
      <c r="AA238" t="inlineStr">
        <is>
          <t>Transplanting (Pindot) or Direct Seeding (Pinaghandaan)</t>
        </is>
      </c>
      <c r="AP238" t="n">
        <v>4.57</v>
      </c>
    </row>
    <row r="239">
      <c r="B239" t="inlineStr">
        <is>
          <t>Palay</t>
        </is>
      </c>
      <c r="C239" t="inlineStr">
        <is>
          <t>Santiago</t>
        </is>
      </c>
      <c r="D239" t="inlineStr">
        <is>
          <t>DS 2019</t>
        </is>
      </c>
      <c r="E239" t="n">
        <v>283.08</v>
      </c>
      <c r="F239" t="n">
        <v>18</v>
      </c>
      <c r="G239" t="n">
        <v>2</v>
      </c>
      <c r="H239" t="n">
        <v>85.44</v>
      </c>
      <c r="I239" t="n">
        <v>1.35</v>
      </c>
      <c r="J239" t="n">
        <v>24.09</v>
      </c>
      <c r="K239" t="n">
        <v>15.4</v>
      </c>
      <c r="L239" t="n">
        <v>31.54</v>
      </c>
      <c r="M239" t="n">
        <v>75.31</v>
      </c>
      <c r="N239" t="n">
        <v>98.76000000000001</v>
      </c>
      <c r="O239" t="n">
        <v>18.07</v>
      </c>
      <c r="P239" t="inlineStr">
        <is>
          <t>Silty Clay Loam</t>
        </is>
      </c>
      <c r="Y239" t="inlineStr">
        <is>
          <t>Wet Tillage (Puddling): 2 plowings + thorough harrowing under flooded condition</t>
        </is>
      </c>
      <c r="Z239" t="inlineStr">
        <is>
          <t>Continuous flooding 2–5 cm depth during vegetative stage; drain 2 weeks before harvest</t>
        </is>
      </c>
      <c r="AA239" t="inlineStr">
        <is>
          <t>Transplanting (Pindot) — optimal for clay-loam paddy fields</t>
        </is>
      </c>
      <c r="AP239" t="n">
        <v>6.24</v>
      </c>
    </row>
    <row r="240">
      <c r="B240" t="inlineStr">
        <is>
          <t>Palay</t>
        </is>
      </c>
      <c r="C240" t="inlineStr">
        <is>
          <t>Sta. Maria Norte</t>
        </is>
      </c>
      <c r="D240" t="inlineStr">
        <is>
          <t>DS 2019</t>
        </is>
      </c>
      <c r="E240" t="n">
        <v>157.08</v>
      </c>
      <c r="F240" t="n">
        <v>2.57</v>
      </c>
      <c r="G240" t="n">
        <v>2</v>
      </c>
      <c r="H240" t="n">
        <v>32.1</v>
      </c>
      <c r="I240" t="n">
        <v>1.35</v>
      </c>
      <c r="J240" t="n">
        <v>24.09</v>
      </c>
      <c r="K240" t="n">
        <v>15.4</v>
      </c>
      <c r="L240" t="n">
        <v>31.54</v>
      </c>
      <c r="M240" t="n">
        <v>75.31</v>
      </c>
      <c r="N240" t="n">
        <v>98.76000000000001</v>
      </c>
      <c r="O240" t="n">
        <v>18.07</v>
      </c>
      <c r="P240" t="inlineStr">
        <is>
          <t>Sandy Loam</t>
        </is>
      </c>
      <c r="Y240" t="inlineStr">
        <is>
          <t>Conventional Tillage: 2 plowings + 2 harrowings; soil workable when moist</t>
        </is>
      </c>
      <c r="Z240" t="inlineStr">
        <is>
          <t>Intermittent irrigation (Alternate Wetting and Drying — AWD); moderate retention</t>
        </is>
      </c>
      <c r="AA240" t="inlineStr">
        <is>
          <t>Transplanting (Pindot) or Direct Seeding (Pinaghandaan)</t>
        </is>
      </c>
      <c r="AP240" t="n">
        <v>8</v>
      </c>
    </row>
    <row r="241">
      <c r="B241" t="inlineStr">
        <is>
          <t>Palay</t>
        </is>
      </c>
      <c r="C241" t="inlineStr">
        <is>
          <t>Sumabnit</t>
        </is>
      </c>
      <c r="D241" t="inlineStr">
        <is>
          <t>DS 2019</t>
        </is>
      </c>
      <c r="E241" t="n">
        <v>406.56</v>
      </c>
      <c r="F241" t="n">
        <v>60</v>
      </c>
      <c r="G241" t="n">
        <v>1.45</v>
      </c>
      <c r="H241" t="n">
        <v>81.66</v>
      </c>
      <c r="I241" t="n">
        <v>1.35</v>
      </c>
      <c r="J241" t="n">
        <v>24.09</v>
      </c>
      <c r="K241" t="n">
        <v>15.4</v>
      </c>
      <c r="L241" t="n">
        <v>31.54</v>
      </c>
      <c r="M241" t="n">
        <v>75.31</v>
      </c>
      <c r="N241" t="n">
        <v>98.76000000000001</v>
      </c>
      <c r="O241" t="n">
        <v>18.07</v>
      </c>
      <c r="P241" t="inlineStr">
        <is>
          <t>Silty Clay Loam / Fine Sandy Loam</t>
        </is>
      </c>
      <c r="Y241" t="inlineStr">
        <is>
          <t>Minimum Tillage (avoid compaction; sandy structure fragile)</t>
        </is>
      </c>
      <c r="Z241" t="inlineStr">
        <is>
          <t>Continuous flooding or frequent irrigation; high percolation risk</t>
        </is>
      </c>
      <c r="AA241" t="inlineStr">
        <is>
          <t>Transplanting (Pindot)</t>
        </is>
      </c>
      <c r="AP241" t="n">
        <v>5.21</v>
      </c>
    </row>
    <row r="242">
      <c r="B242" t="inlineStr">
        <is>
          <t>Palay</t>
        </is>
      </c>
      <c r="C242" t="inlineStr">
        <is>
          <t>Tabuyoc</t>
        </is>
      </c>
      <c r="D242" t="inlineStr">
        <is>
          <t>DS 2019</t>
        </is>
      </c>
      <c r="E242" t="n">
        <v>277.2</v>
      </c>
      <c r="F242" t="n">
        <v>110</v>
      </c>
      <c r="G242" t="n">
        <v>1.55</v>
      </c>
      <c r="H242" t="n">
        <v>55.64</v>
      </c>
      <c r="I242" t="n">
        <v>1.35</v>
      </c>
      <c r="J242" t="n">
        <v>24.09</v>
      </c>
      <c r="K242" t="n">
        <v>15.4</v>
      </c>
      <c r="L242" t="n">
        <v>31.54</v>
      </c>
      <c r="M242" t="n">
        <v>75.31</v>
      </c>
      <c r="N242" t="n">
        <v>98.76000000000001</v>
      </c>
      <c r="O242" t="n">
        <v>18.07</v>
      </c>
      <c r="P242" t="inlineStr">
        <is>
          <t>Silty Clay Loam</t>
        </is>
      </c>
      <c r="Y242" t="inlineStr">
        <is>
          <t>Wet Tillage (Puddling): 2 plowings + thorough harrowing under flooded condition</t>
        </is>
      </c>
      <c r="Z242" t="inlineStr">
        <is>
          <t>Continuous flooding 2–5 cm depth during vegetative stage; drain 2 weeks before harvest</t>
        </is>
      </c>
      <c r="AA242" t="inlineStr">
        <is>
          <t>Transplanting (Pindot) — optimal for clay-loam paddy fields</t>
        </is>
      </c>
      <c r="AP242" t="n">
        <v>5.44</v>
      </c>
    </row>
    <row r="243">
      <c r="B243" t="inlineStr">
        <is>
          <t>Palay</t>
        </is>
      </c>
      <c r="C243" t="inlineStr">
        <is>
          <t>Balangobong</t>
        </is>
      </c>
      <c r="D243" t="inlineStr">
        <is>
          <t>DS 2021</t>
        </is>
      </c>
      <c r="E243" t="n">
        <v>281.4</v>
      </c>
      <c r="F243" t="n">
        <v>1.6</v>
      </c>
      <c r="G243" t="n">
        <v>1.6</v>
      </c>
      <c r="H243" t="n">
        <v>26.4</v>
      </c>
      <c r="I243" t="n">
        <v>3.08</v>
      </c>
      <c r="J243" t="n">
        <v>23.98</v>
      </c>
      <c r="K243" t="n">
        <v>16.07</v>
      </c>
      <c r="L243" t="n">
        <v>30.79</v>
      </c>
      <c r="M243" t="n">
        <v>82.79000000000001</v>
      </c>
      <c r="N243" t="n">
        <v>98.45</v>
      </c>
      <c r="O243" t="n">
        <v>15.82</v>
      </c>
      <c r="P243" t="inlineStr">
        <is>
          <t>Silty Clay Loam</t>
        </is>
      </c>
      <c r="Y243" t="inlineStr">
        <is>
          <t>Wet Tillage (Puddling): 2 plowings + thorough harrowing under flooded condition</t>
        </is>
      </c>
      <c r="Z243" t="inlineStr">
        <is>
          <t>Continuous flooding 2–5 cm depth during vegetative stage; drain 2 weeks before harvest</t>
        </is>
      </c>
      <c r="AA243" t="inlineStr">
        <is>
          <t>Transplanting (Pindot) — optimal for clay-loam paddy fields</t>
        </is>
      </c>
      <c r="AP243" t="n">
        <v>5.15</v>
      </c>
    </row>
    <row r="244">
      <c r="B244" t="inlineStr">
        <is>
          <t>Palay</t>
        </is>
      </c>
      <c r="C244" t="inlineStr">
        <is>
          <t>Bugayong</t>
        </is>
      </c>
      <c r="D244" t="inlineStr">
        <is>
          <t>DS 2021</t>
        </is>
      </c>
      <c r="E244" t="n">
        <v>346.08</v>
      </c>
      <c r="F244" t="n">
        <v>1</v>
      </c>
      <c r="G244" t="n">
        <v>1</v>
      </c>
      <c r="H244" t="n">
        <v>37.8</v>
      </c>
      <c r="I244" t="n">
        <v>3.08</v>
      </c>
      <c r="J244" t="n">
        <v>23.98</v>
      </c>
      <c r="K244" t="n">
        <v>16.07</v>
      </c>
      <c r="L244" t="n">
        <v>30.79</v>
      </c>
      <c r="M244" t="n">
        <v>82.79000000000001</v>
      </c>
      <c r="N244" t="n">
        <v>98.45</v>
      </c>
      <c r="O244" t="n">
        <v>15.82</v>
      </c>
      <c r="P244" t="inlineStr">
        <is>
          <t>Sandy Loam / Silty Clay Loam</t>
        </is>
      </c>
      <c r="Y244" t="inlineStr">
        <is>
          <t>Conventional Tillage: 2 plowings + harrowing; puddle thoroughly for transplanting</t>
        </is>
      </c>
      <c r="Z244" t="inlineStr">
        <is>
          <t>Intermittent to continuous flooding; manage according to drainage section present</t>
        </is>
      </c>
      <c r="AA244" t="inlineStr">
        <is>
          <t>Transplanting (Pindot) — recommended; Direct Seeding possible in dry season</t>
        </is>
      </c>
      <c r="AP244" t="n">
        <v>4.5</v>
      </c>
    </row>
    <row r="245">
      <c r="B245" t="inlineStr">
        <is>
          <t>Palay</t>
        </is>
      </c>
      <c r="C245" t="inlineStr">
        <is>
          <t>Camanggaan</t>
        </is>
      </c>
      <c r="D245" t="inlineStr">
        <is>
          <t>DS 2021</t>
        </is>
      </c>
      <c r="E245" t="n">
        <v>244.44</v>
      </c>
      <c r="F245" t="n">
        <v>2.85</v>
      </c>
      <c r="G245" t="n">
        <v>2.85</v>
      </c>
      <c r="H245" t="n">
        <v>101.98</v>
      </c>
      <c r="I245" t="n">
        <v>3.08</v>
      </c>
      <c r="J245" t="n">
        <v>23.98</v>
      </c>
      <c r="K245" t="n">
        <v>16.07</v>
      </c>
      <c r="L245" t="n">
        <v>30.79</v>
      </c>
      <c r="M245" t="n">
        <v>82.79000000000001</v>
      </c>
      <c r="N245" t="n">
        <v>98.45</v>
      </c>
      <c r="O245" t="n">
        <v>15.82</v>
      </c>
      <c r="P245" t="inlineStr">
        <is>
          <t>Sandy Loam</t>
        </is>
      </c>
      <c r="Y245" t="inlineStr">
        <is>
          <t>Conventional Tillage: 2 plowings + 2 harrowings; soil workable when moist</t>
        </is>
      </c>
      <c r="Z245" t="inlineStr">
        <is>
          <t>Intermittent irrigation (Alternate Wetting and Drying — AWD); moderate retention</t>
        </is>
      </c>
      <c r="AA245" t="inlineStr">
        <is>
          <t>Transplanting (Pindot) or Direct Seeding (Pinaghandaan)</t>
        </is>
      </c>
      <c r="AP245" t="n">
        <v>5.66</v>
      </c>
    </row>
    <row r="246">
      <c r="B246" t="inlineStr">
        <is>
          <t>Palay</t>
        </is>
      </c>
      <c r="C246" t="inlineStr">
        <is>
          <t>Capas</t>
        </is>
      </c>
      <c r="D246" t="inlineStr">
        <is>
          <t>DS 2021</t>
        </is>
      </c>
      <c r="E246" t="n">
        <v>377.16</v>
      </c>
      <c r="F246" t="n">
        <v>3.8</v>
      </c>
      <c r="G246" t="n">
        <v>3.8</v>
      </c>
      <c r="H246" t="n">
        <v>154.52</v>
      </c>
      <c r="I246" t="n">
        <v>3.08</v>
      </c>
      <c r="J246" t="n">
        <v>23.98</v>
      </c>
      <c r="K246" t="n">
        <v>16.07</v>
      </c>
      <c r="L246" t="n">
        <v>30.79</v>
      </c>
      <c r="M246" t="n">
        <v>82.79000000000001</v>
      </c>
      <c r="N246" t="n">
        <v>98.45</v>
      </c>
      <c r="O246" t="n">
        <v>15.82</v>
      </c>
      <c r="P246" t="inlineStr">
        <is>
          <t>Sandy Loam</t>
        </is>
      </c>
      <c r="Y246" t="inlineStr">
        <is>
          <t>Conventional Tillage: 2 plowings + 2 harrowings; soil workable when moist</t>
        </is>
      </c>
      <c r="Z246" t="inlineStr">
        <is>
          <t>Intermittent irrigation (Alternate Wetting and Drying — AWD); moderate retention</t>
        </is>
      </c>
      <c r="AA246" t="inlineStr">
        <is>
          <t>Transplanting (Pindot) or Direct Seeding (Pinaghandaan)</t>
        </is>
      </c>
      <c r="AP246" t="n">
        <v>5.2</v>
      </c>
    </row>
    <row r="247">
      <c r="B247" t="inlineStr">
        <is>
          <t>Palay</t>
        </is>
      </c>
      <c r="C247" t="inlineStr">
        <is>
          <t>Mangkasuy</t>
        </is>
      </c>
      <c r="D247" t="inlineStr">
        <is>
          <t>DS 2021</t>
        </is>
      </c>
      <c r="E247" t="n">
        <v>802.2</v>
      </c>
      <c r="F247" t="n">
        <v>2.95</v>
      </c>
      <c r="G247" t="n">
        <v>2.95</v>
      </c>
      <c r="H247" t="n">
        <v>164</v>
      </c>
      <c r="I247" t="n">
        <v>3.08</v>
      </c>
      <c r="J247" t="n">
        <v>23.98</v>
      </c>
      <c r="K247" t="n">
        <v>16.07</v>
      </c>
      <c r="L247" t="n">
        <v>30.79</v>
      </c>
      <c r="M247" t="n">
        <v>82.79000000000001</v>
      </c>
      <c r="N247" t="n">
        <v>98.45</v>
      </c>
      <c r="O247" t="n">
        <v>15.82</v>
      </c>
      <c r="P247" t="inlineStr">
        <is>
          <t>Sandy Loam</t>
        </is>
      </c>
      <c r="Y247" t="inlineStr">
        <is>
          <t>Conventional Tillage: 2 plowings + 2 harrowings; soil workable when moist</t>
        </is>
      </c>
      <c r="Z247" t="inlineStr">
        <is>
          <t>Intermittent irrigation (Alternate Wetting and Drying — AWD); moderate retention</t>
        </is>
      </c>
      <c r="AA247" t="inlineStr">
        <is>
          <t>Transplanting (Pindot) or Direct Seeding (Pinaghandaan)</t>
        </is>
      </c>
      <c r="AP247" t="n">
        <v>6.57</v>
      </c>
    </row>
    <row r="248">
      <c r="B248" t="inlineStr">
        <is>
          <t>Palay</t>
        </is>
      </c>
      <c r="C248" t="inlineStr">
        <is>
          <t>Pasileng Norte</t>
        </is>
      </c>
      <c r="D248" t="inlineStr">
        <is>
          <t>DS 2021</t>
        </is>
      </c>
      <c r="E248" t="n">
        <v>140.28</v>
      </c>
      <c r="F248" t="n">
        <v>0.6</v>
      </c>
      <c r="G248" t="n">
        <v>0.6</v>
      </c>
      <c r="H248" t="n">
        <v>26.4</v>
      </c>
      <c r="I248" t="n">
        <v>3.08</v>
      </c>
      <c r="J248" t="n">
        <v>23.98</v>
      </c>
      <c r="K248" t="n">
        <v>16.07</v>
      </c>
      <c r="L248" t="n">
        <v>30.79</v>
      </c>
      <c r="M248" t="n">
        <v>82.79000000000001</v>
      </c>
      <c r="N248" t="n">
        <v>98.45</v>
      </c>
      <c r="O248" t="n">
        <v>15.82</v>
      </c>
      <c r="P248" t="inlineStr">
        <is>
          <t>Sandy Loam</t>
        </is>
      </c>
      <c r="Y248" t="inlineStr">
        <is>
          <t>Conventional Tillage: 2 plowings + 2 harrowings; soil workable when moist</t>
        </is>
      </c>
      <c r="Z248" t="inlineStr">
        <is>
          <t>Intermittent irrigation (Alternate Wetting and Drying — AWD); moderate retention</t>
        </is>
      </c>
      <c r="AA248" t="inlineStr">
        <is>
          <t>Transplanting (Pindot) or Direct Seeding (Pinaghandaan)</t>
        </is>
      </c>
      <c r="AP248" t="n">
        <v>5.1</v>
      </c>
    </row>
    <row r="249">
      <c r="B249" t="inlineStr">
        <is>
          <t>Palay</t>
        </is>
      </c>
      <c r="C249" t="inlineStr">
        <is>
          <t>Pasileng Sur</t>
        </is>
      </c>
      <c r="D249" t="inlineStr">
        <is>
          <t>DS 2021</t>
        </is>
      </c>
      <c r="E249" t="n">
        <v>414.96</v>
      </c>
      <c r="F249" t="n">
        <v>1.2</v>
      </c>
      <c r="G249" t="n">
        <v>1.2</v>
      </c>
      <c r="H249" t="n">
        <v>26.4</v>
      </c>
      <c r="I249" t="n">
        <v>3.08</v>
      </c>
      <c r="J249" t="n">
        <v>23.98</v>
      </c>
      <c r="K249" t="n">
        <v>16.07</v>
      </c>
      <c r="L249" t="n">
        <v>30.79</v>
      </c>
      <c r="M249" t="n">
        <v>82.79000000000001</v>
      </c>
      <c r="N249" t="n">
        <v>98.45</v>
      </c>
      <c r="O249" t="n">
        <v>15.82</v>
      </c>
      <c r="P249" t="inlineStr">
        <is>
          <t>Sandy Loam</t>
        </is>
      </c>
      <c r="Y249" t="inlineStr">
        <is>
          <t>Conventional Tillage: 2 plowings + 2 harrowings; soil workable when moist</t>
        </is>
      </c>
      <c r="Z249" t="inlineStr">
        <is>
          <t>Intermittent irrigation (Alternate Wetting and Drying — AWD); moderate retention</t>
        </is>
      </c>
      <c r="AA249" t="inlineStr">
        <is>
          <t>Transplanting (Pindot) or Direct Seeding (Pinaghandaan)</t>
        </is>
      </c>
      <c r="AP249" t="n">
        <v>4.87</v>
      </c>
    </row>
    <row r="250">
      <c r="B250" t="inlineStr">
        <is>
          <t>Palay</t>
        </is>
      </c>
      <c r="C250" t="inlineStr">
        <is>
          <t>San Felipe Central</t>
        </is>
      </c>
      <c r="D250" t="inlineStr">
        <is>
          <t>DS 2021</t>
        </is>
      </c>
      <c r="E250" t="n">
        <v>452.76</v>
      </c>
      <c r="F250" t="n">
        <v>4.15</v>
      </c>
      <c r="G250" t="n">
        <v>4.15</v>
      </c>
      <c r="H250" t="n">
        <v>32.1</v>
      </c>
      <c r="I250" t="n">
        <v>3.08</v>
      </c>
      <c r="J250" t="n">
        <v>23.98</v>
      </c>
      <c r="K250" t="n">
        <v>16.07</v>
      </c>
      <c r="L250" t="n">
        <v>30.79</v>
      </c>
      <c r="M250" t="n">
        <v>82.79000000000001</v>
      </c>
      <c r="N250" t="n">
        <v>98.45</v>
      </c>
      <c r="O250" t="n">
        <v>15.82</v>
      </c>
      <c r="P250" t="inlineStr">
        <is>
          <t>Sandy Loam</t>
        </is>
      </c>
      <c r="Y250" t="inlineStr">
        <is>
          <t>Conventional Tillage: 2 plowings + 2 harrowings; soil workable when moist</t>
        </is>
      </c>
      <c r="Z250" t="inlineStr">
        <is>
          <t>Intermittent irrigation (Alternate Wetting and Drying — AWD); moderate retention</t>
        </is>
      </c>
      <c r="AA250" t="inlineStr">
        <is>
          <t>Transplanting (Pindot) or Direct Seeding (Pinaghandaan)</t>
        </is>
      </c>
      <c r="AP250" t="n">
        <v>5.75</v>
      </c>
    </row>
    <row r="251">
      <c r="B251" t="inlineStr">
        <is>
          <t>Palay</t>
        </is>
      </c>
      <c r="C251" t="inlineStr">
        <is>
          <t>San Felipe Sur</t>
        </is>
      </c>
      <c r="D251" t="inlineStr">
        <is>
          <t>DS 2021</t>
        </is>
      </c>
      <c r="E251" t="n">
        <v>504</v>
      </c>
      <c r="F251" t="n">
        <v>3.2</v>
      </c>
      <c r="G251" t="n">
        <v>3.2</v>
      </c>
      <c r="H251" t="n">
        <v>32.1</v>
      </c>
      <c r="I251" t="n">
        <v>3.08</v>
      </c>
      <c r="J251" t="n">
        <v>23.98</v>
      </c>
      <c r="K251" t="n">
        <v>16.07</v>
      </c>
      <c r="L251" t="n">
        <v>30.79</v>
      </c>
      <c r="M251" t="n">
        <v>82.79000000000001</v>
      </c>
      <c r="N251" t="n">
        <v>98.45</v>
      </c>
      <c r="O251" t="n">
        <v>15.82</v>
      </c>
      <c r="P251" t="inlineStr">
        <is>
          <t>Sandy Loam</t>
        </is>
      </c>
      <c r="Y251" t="inlineStr">
        <is>
          <t>Conventional Tillage: 2 plowings + 2 harrowings; soil workable when moist</t>
        </is>
      </c>
      <c r="Z251" t="inlineStr">
        <is>
          <t>Intermittent irrigation (Alternate Wetting and Drying — AWD); moderate retention</t>
        </is>
      </c>
      <c r="AA251" t="inlineStr">
        <is>
          <t>Transplanting (Pindot) or Direct Seeding (Pinaghandaan)</t>
        </is>
      </c>
      <c r="AP251" t="n">
        <v>5.41</v>
      </c>
    </row>
    <row r="252">
      <c r="B252" t="inlineStr">
        <is>
          <t>Palay</t>
        </is>
      </c>
      <c r="C252" t="inlineStr">
        <is>
          <t>San Pablo</t>
        </is>
      </c>
      <c r="D252" t="inlineStr">
        <is>
          <t>DS 2021</t>
        </is>
      </c>
      <c r="E252" t="n">
        <v>215.04</v>
      </c>
      <c r="F252" t="n">
        <v>0.1</v>
      </c>
      <c r="G252" t="n">
        <v>0.1</v>
      </c>
      <c r="H252" t="n">
        <v>37.8</v>
      </c>
      <c r="I252" t="n">
        <v>3.08</v>
      </c>
      <c r="J252" t="n">
        <v>23.98</v>
      </c>
      <c r="K252" t="n">
        <v>16.07</v>
      </c>
      <c r="L252" t="n">
        <v>30.79</v>
      </c>
      <c r="M252" t="n">
        <v>82.79000000000001</v>
      </c>
      <c r="N252" t="n">
        <v>98.45</v>
      </c>
      <c r="O252" t="n">
        <v>15.82</v>
      </c>
      <c r="P252" t="inlineStr">
        <is>
          <t>Sandy Loam</t>
        </is>
      </c>
      <c r="Y252" t="inlineStr">
        <is>
          <t>Conventional Tillage: 2 plowings + 2 harrowings; soil workable when moist</t>
        </is>
      </c>
      <c r="Z252" t="inlineStr">
        <is>
          <t>Intermittent irrigation (Alternate Wetting and Drying — AWD); moderate retention</t>
        </is>
      </c>
      <c r="AA252" t="inlineStr">
        <is>
          <t>Transplanting (Pindot) or Direct Seeding (Pinaghandaan)</t>
        </is>
      </c>
      <c r="AP252" t="n">
        <v>4.7</v>
      </c>
    </row>
    <row r="253">
      <c r="B253" t="inlineStr">
        <is>
          <t>Palay</t>
        </is>
      </c>
      <c r="C253" t="inlineStr">
        <is>
          <t>Santiago</t>
        </is>
      </c>
      <c r="D253" t="inlineStr">
        <is>
          <t>DS 2021</t>
        </is>
      </c>
      <c r="E253" t="n">
        <v>283.08</v>
      </c>
      <c r="F253" t="n">
        <v>1.5</v>
      </c>
      <c r="G253" t="n">
        <v>1.5</v>
      </c>
      <c r="H253" t="n">
        <v>94.92</v>
      </c>
      <c r="I253" t="n">
        <v>3.08</v>
      </c>
      <c r="J253" t="n">
        <v>23.98</v>
      </c>
      <c r="K253" t="n">
        <v>16.07</v>
      </c>
      <c r="L253" t="n">
        <v>30.79</v>
      </c>
      <c r="M253" t="n">
        <v>82.79000000000001</v>
      </c>
      <c r="N253" t="n">
        <v>98.45</v>
      </c>
      <c r="O253" t="n">
        <v>15.82</v>
      </c>
      <c r="P253" t="inlineStr">
        <is>
          <t>Silty Clay Loam</t>
        </is>
      </c>
      <c r="Y253" t="inlineStr">
        <is>
          <t>Wet Tillage (Puddling): 2 plowings + thorough harrowing under flooded condition</t>
        </is>
      </c>
      <c r="Z253" t="inlineStr">
        <is>
          <t>Continuous flooding 2–5 cm depth during vegetative stage; drain 2 weeks before harvest</t>
        </is>
      </c>
      <c r="AA253" t="inlineStr">
        <is>
          <t>Transplanting (Pindot) — optimal for clay-loam paddy fields</t>
        </is>
      </c>
      <c r="AP253" t="n">
        <v>3.98</v>
      </c>
    </row>
    <row r="254">
      <c r="B254" t="inlineStr">
        <is>
          <t>Palay</t>
        </is>
      </c>
      <c r="C254" t="inlineStr">
        <is>
          <t>Sta. Catalina</t>
        </is>
      </c>
      <c r="D254" t="inlineStr">
        <is>
          <t>DS 2021</t>
        </is>
      </c>
      <c r="E254" t="n">
        <v>709.8</v>
      </c>
      <c r="F254" t="n">
        <v>1.3</v>
      </c>
      <c r="G254" t="n">
        <v>1.3</v>
      </c>
      <c r="H254" t="n">
        <v>164</v>
      </c>
      <c r="I254" t="n">
        <v>3.08</v>
      </c>
      <c r="J254" t="n">
        <v>23.98</v>
      </c>
      <c r="K254" t="n">
        <v>16.07</v>
      </c>
      <c r="L254" t="n">
        <v>30.79</v>
      </c>
      <c r="M254" t="n">
        <v>82.79000000000001</v>
      </c>
      <c r="N254" t="n">
        <v>98.45</v>
      </c>
      <c r="O254" t="n">
        <v>15.82</v>
      </c>
      <c r="P254" t="inlineStr">
        <is>
          <t>Fine Sand / Sandy Loam</t>
        </is>
      </c>
      <c r="Y254" t="inlineStr">
        <is>
          <t>Minimum Tillage (avoid compaction; sandy structure fragile)</t>
        </is>
      </c>
      <c r="Z254" t="inlineStr">
        <is>
          <t>Continuous flooding or frequent irrigation; high percolation risk; terrace or bund-assisted water retention essential on slopes</t>
        </is>
      </c>
      <c r="AA254" t="inlineStr">
        <is>
          <t>Transplanting (Pindot)</t>
        </is>
      </c>
      <c r="AP254" t="n">
        <v>4.92</v>
      </c>
    </row>
    <row r="255">
      <c r="B255" t="inlineStr">
        <is>
          <t>Palay</t>
        </is>
      </c>
      <c r="C255" t="inlineStr">
        <is>
          <t>Sumabnit</t>
        </is>
      </c>
      <c r="D255" t="inlineStr">
        <is>
          <t>DS 2021</t>
        </is>
      </c>
      <c r="E255" t="n">
        <v>406.56</v>
      </c>
      <c r="F255" t="n">
        <v>0.7</v>
      </c>
      <c r="G255" t="n">
        <v>0.7</v>
      </c>
      <c r="H255" t="n">
        <v>116.6</v>
      </c>
      <c r="I255" t="n">
        <v>3.08</v>
      </c>
      <c r="J255" t="n">
        <v>23.98</v>
      </c>
      <c r="K255" t="n">
        <v>16.07</v>
      </c>
      <c r="L255" t="n">
        <v>30.79</v>
      </c>
      <c r="M255" t="n">
        <v>82.79000000000001</v>
      </c>
      <c r="N255" t="n">
        <v>98.45</v>
      </c>
      <c r="O255" t="n">
        <v>15.82</v>
      </c>
      <c r="P255" t="inlineStr">
        <is>
          <t>Silty Clay Loam / Fine Sandy Loam</t>
        </is>
      </c>
      <c r="Y255" t="inlineStr">
        <is>
          <t>Minimum Tillage (avoid compaction; sandy structure fragile)</t>
        </is>
      </c>
      <c r="Z255" t="inlineStr">
        <is>
          <t>Continuous flooding or frequent irrigation; high percolation risk</t>
        </is>
      </c>
      <c r="AA255" t="inlineStr">
        <is>
          <t>Transplanting (Pindot)</t>
        </is>
      </c>
      <c r="AP255" t="n">
        <v>5.23</v>
      </c>
    </row>
    <row r="256">
      <c r="B256" t="inlineStr">
        <is>
          <t>Palay</t>
        </is>
      </c>
      <c r="C256" t="inlineStr">
        <is>
          <t>Tabuyoc</t>
        </is>
      </c>
      <c r="D256" t="inlineStr">
        <is>
          <t>DS 2021</t>
        </is>
      </c>
      <c r="E256" t="n">
        <v>277.2</v>
      </c>
      <c r="F256" t="n">
        <v>0.8</v>
      </c>
      <c r="G256" t="n">
        <v>0.8</v>
      </c>
      <c r="H256" t="n">
        <v>44.8</v>
      </c>
      <c r="I256" t="n">
        <v>3.08</v>
      </c>
      <c r="J256" t="n">
        <v>23.98</v>
      </c>
      <c r="K256" t="n">
        <v>16.07</v>
      </c>
      <c r="L256" t="n">
        <v>30.79</v>
      </c>
      <c r="M256" t="n">
        <v>82.79000000000001</v>
      </c>
      <c r="N256" t="n">
        <v>98.45</v>
      </c>
      <c r="O256" t="n">
        <v>15.82</v>
      </c>
      <c r="P256" t="inlineStr">
        <is>
          <t>Silty Clay Loam</t>
        </is>
      </c>
      <c r="Y256" t="inlineStr">
        <is>
          <t>Wet Tillage (Puddling): 2 plowings + thorough harrowing under flooded condition</t>
        </is>
      </c>
      <c r="Z256" t="inlineStr">
        <is>
          <t>Continuous flooding 2–5 cm depth during vegetative stage; drain 2 weeks before harvest</t>
        </is>
      </c>
      <c r="AA256" t="inlineStr">
        <is>
          <t>Transplanting (Pindot) — optimal for clay-loam paddy fields</t>
        </is>
      </c>
      <c r="AP256" t="n">
        <v>4.58</v>
      </c>
    </row>
    <row r="257">
      <c r="B257" t="inlineStr">
        <is>
          <t>Palay</t>
        </is>
      </c>
      <c r="C257" t="inlineStr">
        <is>
          <t>Balangobong</t>
        </is>
      </c>
      <c r="D257" t="inlineStr">
        <is>
          <t>DS 2022</t>
        </is>
      </c>
      <c r="E257" t="n">
        <v>281.4</v>
      </c>
      <c r="F257" t="n">
        <v>110</v>
      </c>
      <c r="G257" t="n">
        <v>75.5</v>
      </c>
      <c r="H257" t="n">
        <v>32.1</v>
      </c>
      <c r="I257" t="n">
        <v>3.07</v>
      </c>
      <c r="J257" t="n">
        <v>23.99</v>
      </c>
      <c r="K257" t="n">
        <v>16.71</v>
      </c>
      <c r="L257" t="n">
        <v>31.67</v>
      </c>
      <c r="M257" t="n">
        <v>78.95</v>
      </c>
      <c r="N257" t="n">
        <v>98.56999999999999</v>
      </c>
      <c r="O257" t="n">
        <v>16.75</v>
      </c>
      <c r="P257" t="inlineStr">
        <is>
          <t>Silty Clay Loam</t>
        </is>
      </c>
      <c r="Y257" t="inlineStr">
        <is>
          <t>Wet Tillage (Puddling): 2 plowings + thorough harrowing under flooded condition</t>
        </is>
      </c>
      <c r="Z257" t="inlineStr">
        <is>
          <t>Continuous flooding 2–5 cm depth during vegetative stage; drain 2 weeks before harvest</t>
        </is>
      </c>
      <c r="AA257" t="inlineStr">
        <is>
          <t>Transplanting (Pindot) — optimal for clay-loam paddy fields</t>
        </is>
      </c>
      <c r="AP257" t="n">
        <v>5.18</v>
      </c>
    </row>
    <row r="258">
      <c r="B258" t="inlineStr">
        <is>
          <t>Palay</t>
        </is>
      </c>
      <c r="C258" t="inlineStr">
        <is>
          <t>Bugayong</t>
        </is>
      </c>
      <c r="D258" t="inlineStr">
        <is>
          <t>DS 2022</t>
        </is>
      </c>
      <c r="E258" t="n">
        <v>346.08</v>
      </c>
      <c r="F258" t="n">
        <v>2</v>
      </c>
      <c r="G258" t="n">
        <v>21.9</v>
      </c>
      <c r="H258" t="n">
        <v>43.5</v>
      </c>
      <c r="I258" t="n">
        <v>3.07</v>
      </c>
      <c r="J258" t="n">
        <v>23.99</v>
      </c>
      <c r="K258" t="n">
        <v>16.71</v>
      </c>
      <c r="L258" t="n">
        <v>31.67</v>
      </c>
      <c r="M258" t="n">
        <v>78.95</v>
      </c>
      <c r="N258" t="n">
        <v>98.56999999999999</v>
      </c>
      <c r="O258" t="n">
        <v>16.75</v>
      </c>
      <c r="P258" t="inlineStr">
        <is>
          <t>Sandy Loam / Silty Clay Loam</t>
        </is>
      </c>
      <c r="Y258" t="inlineStr">
        <is>
          <t>Conventional Tillage: 2 plowings + harrowing; puddle thoroughly for transplanting</t>
        </is>
      </c>
      <c r="Z258" t="inlineStr">
        <is>
          <t>Intermittent to continuous flooding; manage according to drainage section present</t>
        </is>
      </c>
      <c r="AA258" t="inlineStr">
        <is>
          <t>Transplanting (Pindot) — recommended; Direct Seeding possible in dry season</t>
        </is>
      </c>
      <c r="AP258" t="n">
        <v>3.38</v>
      </c>
    </row>
    <row r="259">
      <c r="B259" t="inlineStr">
        <is>
          <t>Palay</t>
        </is>
      </c>
      <c r="C259" t="inlineStr">
        <is>
          <t>Camanggaan</t>
        </is>
      </c>
      <c r="D259" t="inlineStr">
        <is>
          <t>DS 2022</t>
        </is>
      </c>
      <c r="E259" t="n">
        <v>244.44</v>
      </c>
      <c r="F259" t="n">
        <v>7</v>
      </c>
      <c r="G259" t="n">
        <v>4.72</v>
      </c>
      <c r="H259" t="n">
        <v>116.6</v>
      </c>
      <c r="I259" t="n">
        <v>3.07</v>
      </c>
      <c r="J259" t="n">
        <v>23.99</v>
      </c>
      <c r="K259" t="n">
        <v>16.71</v>
      </c>
      <c r="L259" t="n">
        <v>31.67</v>
      </c>
      <c r="M259" t="n">
        <v>78.95</v>
      </c>
      <c r="N259" t="n">
        <v>98.56999999999999</v>
      </c>
      <c r="O259" t="n">
        <v>16.75</v>
      </c>
      <c r="P259" t="inlineStr">
        <is>
          <t>Sandy Loam</t>
        </is>
      </c>
      <c r="Y259" t="inlineStr">
        <is>
          <t>Conventional Tillage: 2 plowings + 2 harrowings; soil workable when moist</t>
        </is>
      </c>
      <c r="Z259" t="inlineStr">
        <is>
          <t>Intermittent irrigation (Alternate Wetting and Drying — AWD); moderate retention</t>
        </is>
      </c>
      <c r="AA259" t="inlineStr">
        <is>
          <t>Transplanting (Pindot) or Direct Seeding (Pinaghandaan)</t>
        </is>
      </c>
      <c r="AP259" t="n">
        <v>2.4</v>
      </c>
    </row>
    <row r="260">
      <c r="B260" t="inlineStr">
        <is>
          <t>Palay</t>
        </is>
      </c>
      <c r="C260" t="inlineStr">
        <is>
          <t>Capas</t>
        </is>
      </c>
      <c r="D260" t="inlineStr">
        <is>
          <t>DS 2022</t>
        </is>
      </c>
      <c r="E260" t="n">
        <v>377.16</v>
      </c>
      <c r="F260" t="n">
        <v>105</v>
      </c>
      <c r="G260" t="n">
        <v>19.4</v>
      </c>
      <c r="H260" t="n">
        <v>164</v>
      </c>
      <c r="I260" t="n">
        <v>3.07</v>
      </c>
      <c r="J260" t="n">
        <v>23.99</v>
      </c>
      <c r="K260" t="n">
        <v>16.71</v>
      </c>
      <c r="L260" t="n">
        <v>31.67</v>
      </c>
      <c r="M260" t="n">
        <v>78.95</v>
      </c>
      <c r="N260" t="n">
        <v>98.56999999999999</v>
      </c>
      <c r="O260" t="n">
        <v>16.75</v>
      </c>
      <c r="P260" t="inlineStr">
        <is>
          <t>Sandy Loam</t>
        </is>
      </c>
      <c r="Y260" t="inlineStr">
        <is>
          <t>Conventional Tillage: 2 plowings + 2 harrowings; soil workable when moist</t>
        </is>
      </c>
      <c r="Z260" t="inlineStr">
        <is>
          <t>Intermittent irrigation (Alternate Wetting and Drying — AWD); moderate retention</t>
        </is>
      </c>
      <c r="AA260" t="inlineStr">
        <is>
          <t>Transplanting (Pindot) or Direct Seeding (Pinaghandaan)</t>
        </is>
      </c>
      <c r="AP260" t="n">
        <v>5.49</v>
      </c>
    </row>
    <row r="261">
      <c r="B261" t="inlineStr">
        <is>
          <t>Palay</t>
        </is>
      </c>
      <c r="C261" t="inlineStr">
        <is>
          <t>Mangkasuy</t>
        </is>
      </c>
      <c r="D261" t="inlineStr">
        <is>
          <t>DS 2022</t>
        </is>
      </c>
      <c r="E261" t="n">
        <v>802.2</v>
      </c>
      <c r="F261" t="n">
        <v>50</v>
      </c>
      <c r="G261" t="n">
        <v>3</v>
      </c>
      <c r="H261" t="n">
        <v>164</v>
      </c>
      <c r="I261" t="n">
        <v>3.07</v>
      </c>
      <c r="J261" t="n">
        <v>23.99</v>
      </c>
      <c r="K261" t="n">
        <v>16.71</v>
      </c>
      <c r="L261" t="n">
        <v>31.67</v>
      </c>
      <c r="M261" t="n">
        <v>78.95</v>
      </c>
      <c r="N261" t="n">
        <v>98.56999999999999</v>
      </c>
      <c r="O261" t="n">
        <v>16.75</v>
      </c>
      <c r="P261" t="inlineStr">
        <is>
          <t>Sandy Loam</t>
        </is>
      </c>
      <c r="Y261" t="inlineStr">
        <is>
          <t>Conventional Tillage: 2 plowings + 2 harrowings; soil workable when moist</t>
        </is>
      </c>
      <c r="Z261" t="inlineStr">
        <is>
          <t>Intermittent irrigation (Alternate Wetting and Drying — AWD); moderate retention</t>
        </is>
      </c>
      <c r="AA261" t="inlineStr">
        <is>
          <t>Transplanting (Pindot) or Direct Seeding (Pinaghandaan)</t>
        </is>
      </c>
      <c r="AP261" t="n">
        <v>5.59</v>
      </c>
    </row>
    <row r="262">
      <c r="B262" t="inlineStr">
        <is>
          <t>Palay</t>
        </is>
      </c>
      <c r="C262" t="inlineStr">
        <is>
          <t>Pasileng Norte</t>
        </is>
      </c>
      <c r="D262" t="inlineStr">
        <is>
          <t>DS 2022</t>
        </is>
      </c>
      <c r="E262" t="n">
        <v>140.28</v>
      </c>
      <c r="F262" t="n">
        <v>75</v>
      </c>
      <c r="G262" t="n">
        <v>19.55</v>
      </c>
      <c r="H262" t="n">
        <v>20.7</v>
      </c>
      <c r="I262" t="n">
        <v>3.07</v>
      </c>
      <c r="J262" t="n">
        <v>23.99</v>
      </c>
      <c r="K262" t="n">
        <v>16.71</v>
      </c>
      <c r="L262" t="n">
        <v>31.67</v>
      </c>
      <c r="M262" t="n">
        <v>78.95</v>
      </c>
      <c r="N262" t="n">
        <v>98.56999999999999</v>
      </c>
      <c r="O262" t="n">
        <v>16.75</v>
      </c>
      <c r="P262" t="inlineStr">
        <is>
          <t>Sandy Loam</t>
        </is>
      </c>
      <c r="Y262" t="inlineStr">
        <is>
          <t>Conventional Tillage: 2 plowings + 2 harrowings; soil workable when moist</t>
        </is>
      </c>
      <c r="Z262" t="inlineStr">
        <is>
          <t>Intermittent irrigation (Alternate Wetting and Drying — AWD); moderate retention</t>
        </is>
      </c>
      <c r="AA262" t="inlineStr">
        <is>
          <t>Transplanting (Pindot) or Direct Seeding (Pinaghandaan)</t>
        </is>
      </c>
      <c r="AP262" t="n">
        <v>5.31</v>
      </c>
    </row>
    <row r="263">
      <c r="B263" t="inlineStr">
        <is>
          <t>Palay</t>
        </is>
      </c>
      <c r="C263" t="inlineStr">
        <is>
          <t>Pasileng Sur</t>
        </is>
      </c>
      <c r="D263" t="inlineStr">
        <is>
          <t>DS 2022</t>
        </is>
      </c>
      <c r="E263" t="n">
        <v>414.96</v>
      </c>
      <c r="F263" t="n">
        <v>120</v>
      </c>
      <c r="G263" t="n">
        <v>31.77</v>
      </c>
      <c r="H263" t="n">
        <v>26.4</v>
      </c>
      <c r="I263" t="n">
        <v>3.07</v>
      </c>
      <c r="J263" t="n">
        <v>23.99</v>
      </c>
      <c r="K263" t="n">
        <v>16.71</v>
      </c>
      <c r="L263" t="n">
        <v>31.67</v>
      </c>
      <c r="M263" t="n">
        <v>78.95</v>
      </c>
      <c r="N263" t="n">
        <v>98.56999999999999</v>
      </c>
      <c r="O263" t="n">
        <v>16.75</v>
      </c>
      <c r="P263" t="inlineStr">
        <is>
          <t>Sandy Loam</t>
        </is>
      </c>
      <c r="Y263" t="inlineStr">
        <is>
          <t>Conventional Tillage: 2 plowings + 2 harrowings; soil workable when moist</t>
        </is>
      </c>
      <c r="Z263" t="inlineStr">
        <is>
          <t>Intermittent irrigation (Alternate Wetting and Drying — AWD); moderate retention</t>
        </is>
      </c>
      <c r="AA263" t="inlineStr">
        <is>
          <t>Transplanting (Pindot) or Direct Seeding (Pinaghandaan)</t>
        </is>
      </c>
      <c r="AP263" t="n">
        <v>5.41</v>
      </c>
    </row>
    <row r="264">
      <c r="B264" t="inlineStr">
        <is>
          <t>Palay</t>
        </is>
      </c>
      <c r="C264" t="inlineStr">
        <is>
          <t>San Felipe Central</t>
        </is>
      </c>
      <c r="D264" t="inlineStr">
        <is>
          <t>DS 2022</t>
        </is>
      </c>
      <c r="E264" t="n">
        <v>452.76</v>
      </c>
      <c r="F264" t="n">
        <v>100</v>
      </c>
      <c r="G264" t="n">
        <v>10</v>
      </c>
      <c r="H264" t="n">
        <v>32.1</v>
      </c>
      <c r="I264" t="n">
        <v>3.07</v>
      </c>
      <c r="J264" t="n">
        <v>23.99</v>
      </c>
      <c r="K264" t="n">
        <v>16.71</v>
      </c>
      <c r="L264" t="n">
        <v>31.67</v>
      </c>
      <c r="M264" t="n">
        <v>78.95</v>
      </c>
      <c r="N264" t="n">
        <v>98.56999999999999</v>
      </c>
      <c r="O264" t="n">
        <v>16.75</v>
      </c>
      <c r="P264" t="inlineStr">
        <is>
          <t>Sandy Loam</t>
        </is>
      </c>
      <c r="Y264" t="inlineStr">
        <is>
          <t>Conventional Tillage: 2 plowings + 2 harrowings; soil workable when moist</t>
        </is>
      </c>
      <c r="Z264" t="inlineStr">
        <is>
          <t>Intermittent irrigation (Alternate Wetting and Drying — AWD); moderate retention</t>
        </is>
      </c>
      <c r="AA264" t="inlineStr">
        <is>
          <t>Transplanting (Pindot) or Direct Seeding (Pinaghandaan)</t>
        </is>
      </c>
      <c r="AP264" t="n">
        <v>5.17</v>
      </c>
    </row>
    <row r="265">
      <c r="B265" t="inlineStr">
        <is>
          <t>Palay</t>
        </is>
      </c>
      <c r="C265" t="inlineStr">
        <is>
          <t>San Felipe Sur</t>
        </is>
      </c>
      <c r="D265" t="inlineStr">
        <is>
          <t>DS 2022</t>
        </is>
      </c>
      <c r="E265" t="n">
        <v>504</v>
      </c>
      <c r="F265" t="n">
        <v>115</v>
      </c>
      <c r="G265" t="n">
        <v>6.8</v>
      </c>
      <c r="H265" t="n">
        <v>37.8</v>
      </c>
      <c r="I265" t="n">
        <v>3.07</v>
      </c>
      <c r="J265" t="n">
        <v>23.99</v>
      </c>
      <c r="K265" t="n">
        <v>16.71</v>
      </c>
      <c r="L265" t="n">
        <v>31.67</v>
      </c>
      <c r="M265" t="n">
        <v>78.95</v>
      </c>
      <c r="N265" t="n">
        <v>98.56999999999999</v>
      </c>
      <c r="O265" t="n">
        <v>16.75</v>
      </c>
      <c r="P265" t="inlineStr">
        <is>
          <t>Sandy Loam</t>
        </is>
      </c>
      <c r="Y265" t="inlineStr">
        <is>
          <t>Conventional Tillage: 2 plowings + 2 harrowings; soil workable when moist</t>
        </is>
      </c>
      <c r="Z265" t="inlineStr">
        <is>
          <t>Intermittent irrigation (Alternate Wetting and Drying — AWD); moderate retention</t>
        </is>
      </c>
      <c r="AA265" t="inlineStr">
        <is>
          <t>Transplanting (Pindot) or Direct Seeding (Pinaghandaan)</t>
        </is>
      </c>
      <c r="AP265" t="n">
        <v>5.35</v>
      </c>
    </row>
    <row r="266">
      <c r="B266" t="inlineStr">
        <is>
          <t>Palay</t>
        </is>
      </c>
      <c r="C266" t="inlineStr">
        <is>
          <t>San Pablo</t>
        </is>
      </c>
      <c r="D266" t="inlineStr">
        <is>
          <t>DS 2022</t>
        </is>
      </c>
      <c r="E266" t="n">
        <v>215.04</v>
      </c>
      <c r="F266" t="n">
        <v>103</v>
      </c>
      <c r="G266" t="n">
        <v>8.800000000000001</v>
      </c>
      <c r="H266" t="n">
        <v>43.5</v>
      </c>
      <c r="I266" t="n">
        <v>3.07</v>
      </c>
      <c r="J266" t="n">
        <v>23.99</v>
      </c>
      <c r="K266" t="n">
        <v>16.71</v>
      </c>
      <c r="L266" t="n">
        <v>31.67</v>
      </c>
      <c r="M266" t="n">
        <v>78.95</v>
      </c>
      <c r="N266" t="n">
        <v>98.56999999999999</v>
      </c>
      <c r="O266" t="n">
        <v>16.75</v>
      </c>
      <c r="P266" t="inlineStr">
        <is>
          <t>Sandy Loam</t>
        </is>
      </c>
      <c r="Y266" t="inlineStr">
        <is>
          <t>Conventional Tillage: 2 plowings + 2 harrowings; soil workable when moist</t>
        </is>
      </c>
      <c r="Z266" t="inlineStr">
        <is>
          <t>Intermittent irrigation (Alternate Wetting and Drying — AWD); moderate retention</t>
        </is>
      </c>
      <c r="AA266" t="inlineStr">
        <is>
          <t>Transplanting (Pindot) or Direct Seeding (Pinaghandaan)</t>
        </is>
      </c>
      <c r="AP266" t="n">
        <v>5.9</v>
      </c>
    </row>
    <row r="267">
      <c r="B267" t="inlineStr">
        <is>
          <t>Palay</t>
        </is>
      </c>
      <c r="C267" t="inlineStr">
        <is>
          <t>Santiago</t>
        </is>
      </c>
      <c r="D267" t="inlineStr">
        <is>
          <t>DS 2022</t>
        </is>
      </c>
      <c r="E267" t="n">
        <v>283.08</v>
      </c>
      <c r="F267" t="n">
        <v>18</v>
      </c>
      <c r="G267" t="n">
        <v>7.8</v>
      </c>
      <c r="H267" t="n">
        <v>134.2</v>
      </c>
      <c r="I267" t="n">
        <v>3.07</v>
      </c>
      <c r="J267" t="n">
        <v>23.99</v>
      </c>
      <c r="K267" t="n">
        <v>16.71</v>
      </c>
      <c r="L267" t="n">
        <v>31.67</v>
      </c>
      <c r="M267" t="n">
        <v>78.95</v>
      </c>
      <c r="N267" t="n">
        <v>98.56999999999999</v>
      </c>
      <c r="O267" t="n">
        <v>16.75</v>
      </c>
      <c r="P267" t="inlineStr">
        <is>
          <t>Silty Clay Loam</t>
        </is>
      </c>
      <c r="Y267" t="inlineStr">
        <is>
          <t>Wet Tillage (Puddling): 2 plowings + thorough harrowing under flooded condition</t>
        </is>
      </c>
      <c r="Z267" t="inlineStr">
        <is>
          <t>Continuous flooding 2–5 cm depth during vegetative stage; drain 2 weeks before harvest</t>
        </is>
      </c>
      <c r="AA267" t="inlineStr">
        <is>
          <t>Transplanting (Pindot) — optimal for clay-loam paddy fields</t>
        </is>
      </c>
      <c r="AP267" t="n">
        <v>5.77</v>
      </c>
    </row>
    <row r="268">
      <c r="B268" t="inlineStr">
        <is>
          <t>Palay</t>
        </is>
      </c>
      <c r="C268" t="inlineStr">
        <is>
          <t>Sta. Catalina</t>
        </is>
      </c>
      <c r="D268" t="inlineStr">
        <is>
          <t>DS 2022</t>
        </is>
      </c>
      <c r="E268" t="n">
        <v>709.8</v>
      </c>
      <c r="F268" t="n">
        <v>9</v>
      </c>
      <c r="G268" t="n">
        <v>10.24</v>
      </c>
      <c r="H268" t="n">
        <v>164</v>
      </c>
      <c r="I268" t="n">
        <v>3.07</v>
      </c>
      <c r="J268" t="n">
        <v>23.99</v>
      </c>
      <c r="K268" t="n">
        <v>16.71</v>
      </c>
      <c r="L268" t="n">
        <v>31.67</v>
      </c>
      <c r="M268" t="n">
        <v>78.95</v>
      </c>
      <c r="N268" t="n">
        <v>98.56999999999999</v>
      </c>
      <c r="O268" t="n">
        <v>16.75</v>
      </c>
      <c r="P268" t="inlineStr">
        <is>
          <t>Fine Sand / Sandy Loam</t>
        </is>
      </c>
      <c r="Y268" t="inlineStr">
        <is>
          <t>Minimum Tillage (avoid compaction; sandy structure fragile)</t>
        </is>
      </c>
      <c r="Z268" t="inlineStr">
        <is>
          <t>Continuous flooding or frequent irrigation; high percolation risk; terrace or bund-assisted water retention essential on slopes</t>
        </is>
      </c>
      <c r="AA268" t="inlineStr">
        <is>
          <t>Transplanting (Pindot)</t>
        </is>
      </c>
      <c r="AP268" t="n">
        <v>3.73</v>
      </c>
    </row>
    <row r="269">
      <c r="B269" t="inlineStr">
        <is>
          <t>Palay</t>
        </is>
      </c>
      <c r="C269" t="inlineStr">
        <is>
          <t>Sumabnit</t>
        </is>
      </c>
      <c r="D269" t="inlineStr">
        <is>
          <t>DS 2022</t>
        </is>
      </c>
      <c r="E269" t="n">
        <v>406.56</v>
      </c>
      <c r="F269" t="n">
        <v>72</v>
      </c>
      <c r="G269" t="n">
        <v>10.55</v>
      </c>
      <c r="H269" t="n">
        <v>116.6</v>
      </c>
      <c r="I269" t="n">
        <v>3.07</v>
      </c>
      <c r="J269" t="n">
        <v>23.99</v>
      </c>
      <c r="K269" t="n">
        <v>16.71</v>
      </c>
      <c r="L269" t="n">
        <v>31.67</v>
      </c>
      <c r="M269" t="n">
        <v>78.95</v>
      </c>
      <c r="N269" t="n">
        <v>98.56999999999999</v>
      </c>
      <c r="O269" t="n">
        <v>16.75</v>
      </c>
      <c r="P269" t="inlineStr">
        <is>
          <t>Silty Clay Loam / Fine Sandy Loam</t>
        </is>
      </c>
      <c r="Y269" t="inlineStr">
        <is>
          <t>Minimum Tillage (avoid compaction; sandy structure fragile)</t>
        </is>
      </c>
      <c r="Z269" t="inlineStr">
        <is>
          <t>Continuous flooding or frequent irrigation; high percolation risk</t>
        </is>
      </c>
      <c r="AA269" t="inlineStr">
        <is>
          <t>Transplanting (Pindot)</t>
        </is>
      </c>
      <c r="AP269" t="n">
        <v>4.97</v>
      </c>
    </row>
    <row r="270">
      <c r="B270" t="inlineStr">
        <is>
          <t>Palay</t>
        </is>
      </c>
      <c r="C270" t="inlineStr">
        <is>
          <t>Tabuyoc</t>
        </is>
      </c>
      <c r="D270" t="inlineStr">
        <is>
          <t>DS 2022</t>
        </is>
      </c>
      <c r="E270" t="n">
        <v>277.2</v>
      </c>
      <c r="F270" t="n">
        <v>130</v>
      </c>
      <c r="G270" t="n">
        <v>1.36</v>
      </c>
      <c r="H270" t="n">
        <v>44.8</v>
      </c>
      <c r="I270" t="n">
        <v>3.07</v>
      </c>
      <c r="J270" t="n">
        <v>23.99</v>
      </c>
      <c r="K270" t="n">
        <v>16.71</v>
      </c>
      <c r="L270" t="n">
        <v>31.67</v>
      </c>
      <c r="M270" t="n">
        <v>78.95</v>
      </c>
      <c r="N270" t="n">
        <v>98.56999999999999</v>
      </c>
      <c r="O270" t="n">
        <v>16.75</v>
      </c>
      <c r="P270" t="inlineStr">
        <is>
          <t>Silty Clay Loam</t>
        </is>
      </c>
      <c r="Y270" t="inlineStr">
        <is>
          <t>Wet Tillage (Puddling): 2 plowings + thorough harrowing under flooded condition</t>
        </is>
      </c>
      <c r="Z270" t="inlineStr">
        <is>
          <t>Continuous flooding 2–5 cm depth during vegetative stage; drain 2 weeks before harvest</t>
        </is>
      </c>
      <c r="AA270" t="inlineStr">
        <is>
          <t>Transplanting (Pindot) — optimal for clay-loam paddy fields</t>
        </is>
      </c>
      <c r="AP270" t="n">
        <v>5.58</v>
      </c>
    </row>
    <row r="271">
      <c r="B271" t="inlineStr">
        <is>
          <t>Palay</t>
        </is>
      </c>
      <c r="C271" t="inlineStr">
        <is>
          <t>Balangobong</t>
        </is>
      </c>
      <c r="D271" t="inlineStr">
        <is>
          <t>WS 2015</t>
        </is>
      </c>
      <c r="E271" t="n">
        <v>281.4</v>
      </c>
      <c r="F271" t="n">
        <v>135</v>
      </c>
      <c r="G271" t="n">
        <v>10</v>
      </c>
      <c r="H271" t="n">
        <v>10</v>
      </c>
      <c r="I271" t="n">
        <v>7.21</v>
      </c>
      <c r="J271" t="n">
        <v>28.46</v>
      </c>
      <c r="K271" t="n">
        <v>23.39</v>
      </c>
      <c r="L271" t="n">
        <v>37.03</v>
      </c>
      <c r="M271" t="n">
        <v>76.02</v>
      </c>
      <c r="N271" t="n">
        <v>98.26000000000001</v>
      </c>
      <c r="O271" t="n">
        <v>22.25</v>
      </c>
      <c r="P271" t="inlineStr">
        <is>
          <t>Silty Clay Loam</t>
        </is>
      </c>
      <c r="Y271" t="inlineStr">
        <is>
          <t>Wet Tillage (Puddling): 2 plowings + thorough harrowing under flooded condition</t>
        </is>
      </c>
      <c r="Z271" t="inlineStr">
        <is>
          <t>Continuous flooding 2–5 cm depth during vegetative stage; drain 2 weeks before harvest</t>
        </is>
      </c>
      <c r="AA271" t="inlineStr">
        <is>
          <t>Transplanting (Pindot) — optimal for clay-loam paddy fields</t>
        </is>
      </c>
      <c r="AP271" t="n">
        <v>4.6375</v>
      </c>
    </row>
    <row r="272">
      <c r="B272" t="inlineStr">
        <is>
          <t>Palay</t>
        </is>
      </c>
      <c r="C272" t="inlineStr">
        <is>
          <t>Bued</t>
        </is>
      </c>
      <c r="D272" t="inlineStr">
        <is>
          <t>WS 2015</t>
        </is>
      </c>
      <c r="E272" t="n">
        <v>210.84</v>
      </c>
      <c r="F272" t="n">
        <v>94</v>
      </c>
      <c r="G272" t="n">
        <v>50.8</v>
      </c>
      <c r="H272" t="n">
        <v>20</v>
      </c>
      <c r="I272" t="n">
        <v>7.21</v>
      </c>
      <c r="J272" t="n">
        <v>28.46</v>
      </c>
      <c r="K272" t="n">
        <v>23.39</v>
      </c>
      <c r="L272" t="n">
        <v>37.03</v>
      </c>
      <c r="M272" t="n">
        <v>76.02</v>
      </c>
      <c r="N272" t="n">
        <v>98.26000000000001</v>
      </c>
      <c r="O272" t="n">
        <v>22.25</v>
      </c>
      <c r="P272" t="inlineStr">
        <is>
          <t>Silty Clay Loam</t>
        </is>
      </c>
      <c r="Y272" t="inlineStr">
        <is>
          <t>Wet Tillage (Puddling): 2 plowings + thorough harrowing under flooded condition</t>
        </is>
      </c>
      <c r="Z272" t="inlineStr">
        <is>
          <t>Continuous flooding 2–5 cm depth during vegetative stage; drain 2 weeks before harvest</t>
        </is>
      </c>
      <c r="AA272" t="inlineStr">
        <is>
          <t>Transplanting (Pindot) — optimal for clay-loam paddy fields</t>
        </is>
      </c>
      <c r="AP272" t="n">
        <v>4.268</v>
      </c>
    </row>
    <row r="273">
      <c r="B273" t="inlineStr">
        <is>
          <t>Palay</t>
        </is>
      </c>
      <c r="C273" t="inlineStr">
        <is>
          <t>Bugayong</t>
        </is>
      </c>
      <c r="D273" t="inlineStr">
        <is>
          <t>WS 2015</t>
        </is>
      </c>
      <c r="E273" t="n">
        <v>346.08</v>
      </c>
      <c r="F273" t="n">
        <v>78</v>
      </c>
      <c r="G273" t="n">
        <v>24.5</v>
      </c>
      <c r="H273" t="n">
        <v>31</v>
      </c>
      <c r="I273" t="n">
        <v>7.21</v>
      </c>
      <c r="J273" t="n">
        <v>28.46</v>
      </c>
      <c r="K273" t="n">
        <v>23.39</v>
      </c>
      <c r="L273" t="n">
        <v>37.03</v>
      </c>
      <c r="M273" t="n">
        <v>76.02</v>
      </c>
      <c r="N273" t="n">
        <v>98.26000000000001</v>
      </c>
      <c r="O273" t="n">
        <v>22.25</v>
      </c>
      <c r="P273" t="inlineStr">
        <is>
          <t>Sandy Loam / Silty Clay Loam</t>
        </is>
      </c>
      <c r="Y273" t="inlineStr">
        <is>
          <t>Conventional Tillage: 2 plowings + harrowing; puddle thoroughly for transplanting</t>
        </is>
      </c>
      <c r="Z273" t="inlineStr">
        <is>
          <t>Intermittent to continuous flooding; manage according to drainage section present</t>
        </is>
      </c>
      <c r="AA273" t="inlineStr">
        <is>
          <t>Transplanting (Pindot) — recommended; Direct Seeding possible in dry season</t>
        </is>
      </c>
      <c r="AP273" t="n">
        <v>4.94</v>
      </c>
    </row>
    <row r="274">
      <c r="B274" t="inlineStr">
        <is>
          <t>Palay</t>
        </is>
      </c>
      <c r="C274" t="inlineStr">
        <is>
          <t>Camanggaan</t>
        </is>
      </c>
      <c r="D274" t="inlineStr">
        <is>
          <t>WS 2015</t>
        </is>
      </c>
      <c r="E274" t="n">
        <v>244.44</v>
      </c>
      <c r="F274" t="n">
        <v>87</v>
      </c>
      <c r="G274" t="n">
        <v>24.5</v>
      </c>
      <c r="H274" t="n">
        <v>38</v>
      </c>
      <c r="I274" t="n">
        <v>7.21</v>
      </c>
      <c r="J274" t="n">
        <v>28.46</v>
      </c>
      <c r="K274" t="n">
        <v>23.39</v>
      </c>
      <c r="L274" t="n">
        <v>37.03</v>
      </c>
      <c r="M274" t="n">
        <v>76.02</v>
      </c>
      <c r="N274" t="n">
        <v>98.26000000000001</v>
      </c>
      <c r="O274" t="n">
        <v>22.25</v>
      </c>
      <c r="P274" t="inlineStr">
        <is>
          <t>Sandy Loam</t>
        </is>
      </c>
      <c r="Y274" t="inlineStr">
        <is>
          <t>Conventional Tillage: 2 plowings + 2 harrowings; soil workable when moist</t>
        </is>
      </c>
      <c r="Z274" t="inlineStr">
        <is>
          <t>Intermittent irrigation (Alternate Wetting and Drying — AWD); moderate retention</t>
        </is>
      </c>
      <c r="AA274" t="inlineStr">
        <is>
          <t>Transplanting (Pindot) or Direct Seeding (Pinaghandaan)</t>
        </is>
      </c>
      <c r="AP274" t="n">
        <v>4.913125</v>
      </c>
    </row>
    <row r="275">
      <c r="B275" t="inlineStr">
        <is>
          <t>Palay</t>
        </is>
      </c>
      <c r="C275" t="inlineStr">
        <is>
          <t>Capas</t>
        </is>
      </c>
      <c r="D275" t="inlineStr">
        <is>
          <t>WS 2015</t>
        </is>
      </c>
      <c r="E275" t="n">
        <v>377.16</v>
      </c>
      <c r="F275" t="n">
        <v>303</v>
      </c>
      <c r="G275" t="n">
        <v>3</v>
      </c>
      <c r="H275" t="n">
        <v>91</v>
      </c>
      <c r="I275" t="n">
        <v>7.21</v>
      </c>
      <c r="J275" t="n">
        <v>28.46</v>
      </c>
      <c r="K275" t="n">
        <v>23.39</v>
      </c>
      <c r="L275" t="n">
        <v>37.03</v>
      </c>
      <c r="M275" t="n">
        <v>76.02</v>
      </c>
      <c r="N275" t="n">
        <v>98.26000000000001</v>
      </c>
      <c r="O275" t="n">
        <v>22.25</v>
      </c>
      <c r="P275" t="inlineStr">
        <is>
          <t>Sandy Loam</t>
        </is>
      </c>
      <c r="Y275" t="inlineStr">
        <is>
          <t>Conventional Tillage: 2 plowings + 2 harrowings; soil workable when moist</t>
        </is>
      </c>
      <c r="Z275" t="inlineStr">
        <is>
          <t>Intermittent irrigation (Alternate Wetting and Drying — AWD); moderate retention</t>
        </is>
      </c>
      <c r="AA275" t="inlineStr">
        <is>
          <t>Transplanting (Pindot) or Direct Seeding (Pinaghandaan)</t>
        </is>
      </c>
      <c r="AP275" t="n">
        <v>5.768750000000001</v>
      </c>
    </row>
    <row r="276">
      <c r="B276" t="inlineStr">
        <is>
          <t>Palay</t>
        </is>
      </c>
      <c r="C276" t="inlineStr">
        <is>
          <t>Cili</t>
        </is>
      </c>
      <c r="D276" t="inlineStr">
        <is>
          <t>WS 2015</t>
        </is>
      </c>
      <c r="E276" t="n">
        <v>264.6</v>
      </c>
      <c r="F276" t="n">
        <v>168</v>
      </c>
      <c r="G276" t="n">
        <v>35.21</v>
      </c>
      <c r="H276" t="n">
        <v>75</v>
      </c>
      <c r="I276" t="n">
        <v>7.21</v>
      </c>
      <c r="J276" t="n">
        <v>28.46</v>
      </c>
      <c r="K276" t="n">
        <v>23.39</v>
      </c>
      <c r="L276" t="n">
        <v>37.03</v>
      </c>
      <c r="M276" t="n">
        <v>76.02</v>
      </c>
      <c r="N276" t="n">
        <v>98.26000000000001</v>
      </c>
      <c r="O276" t="n">
        <v>22.25</v>
      </c>
      <c r="P276" t="inlineStr">
        <is>
          <t>Silty Clay Loam</t>
        </is>
      </c>
      <c r="Y276" t="inlineStr">
        <is>
          <t>Wet Tillage (Puddling): 2 plowings + thorough harrowing under flooded condition</t>
        </is>
      </c>
      <c r="Z276" t="inlineStr">
        <is>
          <t>Continuous flooding 2–5 cm depth during vegetative stage; drain 2 weeks before harvest</t>
        </is>
      </c>
      <c r="AA276" t="inlineStr">
        <is>
          <t>Transplanting (Pindot) — optimal for clay-loam paddy fields</t>
        </is>
      </c>
      <c r="AP276" t="n">
        <v>3.386153846153846</v>
      </c>
    </row>
    <row r="277">
      <c r="B277" t="inlineStr">
        <is>
          <t>Palay</t>
        </is>
      </c>
      <c r="C277" t="inlineStr">
        <is>
          <t>Dumayat</t>
        </is>
      </c>
      <c r="D277" t="inlineStr">
        <is>
          <t>WS 2015</t>
        </is>
      </c>
      <c r="E277" t="n">
        <v>266.28</v>
      </c>
      <c r="F277" t="n">
        <v>86</v>
      </c>
      <c r="G277" t="n">
        <v>42.88</v>
      </c>
      <c r="H277" t="n">
        <v>16</v>
      </c>
      <c r="I277" t="n">
        <v>7.21</v>
      </c>
      <c r="J277" t="n">
        <v>28.46</v>
      </c>
      <c r="K277" t="n">
        <v>23.39</v>
      </c>
      <c r="L277" t="n">
        <v>37.03</v>
      </c>
      <c r="M277" t="n">
        <v>76.02</v>
      </c>
      <c r="N277" t="n">
        <v>98.26000000000001</v>
      </c>
      <c r="O277" t="n">
        <v>22.25</v>
      </c>
      <c r="P277" t="inlineStr">
        <is>
          <t>Silty Clay Loam</t>
        </is>
      </c>
      <c r="Y277" t="inlineStr">
        <is>
          <t>Wet Tillage (Puddling): 2 plowings + thorough harrowing under flooded condition</t>
        </is>
      </c>
      <c r="Z277" t="inlineStr">
        <is>
          <t>Continuous flooding 2–5 cm depth during vegetative stage; drain 2 weeks before harvest</t>
        </is>
      </c>
      <c r="AA277" t="inlineStr">
        <is>
          <t>Transplanting (Pindot) — optimal for clay-loam paddy fields</t>
        </is>
      </c>
      <c r="AP277" t="n">
        <v>3.111</v>
      </c>
    </row>
    <row r="278">
      <c r="B278" t="inlineStr">
        <is>
          <t>Palay</t>
        </is>
      </c>
      <c r="C278" t="inlineStr">
        <is>
          <t>Linmansangan</t>
        </is>
      </c>
      <c r="D278" t="inlineStr">
        <is>
          <t>WS 2015</t>
        </is>
      </c>
      <c r="E278" t="n">
        <v>492.24</v>
      </c>
      <c r="F278" t="n">
        <v>216</v>
      </c>
      <c r="G278" t="n">
        <v>65.5</v>
      </c>
      <c r="H278" t="n">
        <v>83</v>
      </c>
      <c r="I278" t="n">
        <v>7.21</v>
      </c>
      <c r="J278" t="n">
        <v>28.46</v>
      </c>
      <c r="K278" t="n">
        <v>23.39</v>
      </c>
      <c r="L278" t="n">
        <v>37.03</v>
      </c>
      <c r="M278" t="n">
        <v>76.02</v>
      </c>
      <c r="N278" t="n">
        <v>98.26000000000001</v>
      </c>
      <c r="O278" t="n">
        <v>22.25</v>
      </c>
      <c r="P278" t="inlineStr">
        <is>
          <t>Silty Clay Loam</t>
        </is>
      </c>
      <c r="Y278" t="inlineStr">
        <is>
          <t>Wet Tillage (Puddling): 2 plowings + thorough harrowing under flooded condition</t>
        </is>
      </c>
      <c r="Z278" t="inlineStr">
        <is>
          <t>Continuous flooding 2–5 cm depth during vegetative stage; drain 2 weeks before harvest</t>
        </is>
      </c>
      <c r="AA278" t="inlineStr">
        <is>
          <t>Transplanting (Pindot) — optimal for clay-loam paddy fields</t>
        </is>
      </c>
      <c r="AP278" t="n">
        <v>2.436</v>
      </c>
    </row>
    <row r="279">
      <c r="B279" t="inlineStr">
        <is>
          <t>Palay</t>
        </is>
      </c>
      <c r="C279" t="inlineStr">
        <is>
          <t>Mangkasuy</t>
        </is>
      </c>
      <c r="D279" t="inlineStr">
        <is>
          <t>WS 2015</t>
        </is>
      </c>
      <c r="E279" t="n">
        <v>802.2</v>
      </c>
      <c r="F279" t="n">
        <v>352</v>
      </c>
      <c r="G279" t="n">
        <v>5</v>
      </c>
      <c r="H279" t="n">
        <v>158</v>
      </c>
      <c r="I279" t="n">
        <v>7.21</v>
      </c>
      <c r="J279" t="n">
        <v>28.46</v>
      </c>
      <c r="K279" t="n">
        <v>23.39</v>
      </c>
      <c r="L279" t="n">
        <v>37.03</v>
      </c>
      <c r="M279" t="n">
        <v>76.02</v>
      </c>
      <c r="N279" t="n">
        <v>98.26000000000001</v>
      </c>
      <c r="O279" t="n">
        <v>22.25</v>
      </c>
      <c r="P279" t="inlineStr">
        <is>
          <t>Sandy Loam</t>
        </is>
      </c>
      <c r="Y279" t="inlineStr">
        <is>
          <t>Conventional Tillage: 2 plowings + 2 harrowings; soil workable when moist</t>
        </is>
      </c>
      <c r="Z279" t="inlineStr">
        <is>
          <t>Intermittent irrigation (Alternate Wetting and Drying — AWD); moderate retention</t>
        </is>
      </c>
      <c r="AA279" t="inlineStr">
        <is>
          <t>Transplanting (Pindot) or Direct Seeding (Pinaghandaan)</t>
        </is>
      </c>
      <c r="AP279" t="n">
        <v>4.494375</v>
      </c>
    </row>
    <row r="280">
      <c r="B280" t="inlineStr">
        <is>
          <t>Palay</t>
        </is>
      </c>
      <c r="C280" t="inlineStr">
        <is>
          <t>Moreno</t>
        </is>
      </c>
      <c r="D280" t="inlineStr">
        <is>
          <t>WS 2015</t>
        </is>
      </c>
      <c r="E280" t="n">
        <v>641.76</v>
      </c>
      <c r="F280" t="n">
        <v>164</v>
      </c>
      <c r="G280" t="n">
        <v>65.5</v>
      </c>
      <c r="H280" t="n">
        <v>79</v>
      </c>
      <c r="I280" t="n">
        <v>7.21</v>
      </c>
      <c r="J280" t="n">
        <v>28.46</v>
      </c>
      <c r="K280" t="n">
        <v>23.39</v>
      </c>
      <c r="L280" t="n">
        <v>37.03</v>
      </c>
      <c r="M280" t="n">
        <v>76.02</v>
      </c>
      <c r="N280" t="n">
        <v>98.26000000000001</v>
      </c>
      <c r="O280" t="n">
        <v>22.25</v>
      </c>
      <c r="P280" t="inlineStr">
        <is>
          <t>Sandy Loam</t>
        </is>
      </c>
      <c r="Y280" t="inlineStr">
        <is>
          <t>Conventional Tillage: 2 plowings + 2 harrowings; soil workable when moist</t>
        </is>
      </c>
      <c r="Z280" t="inlineStr">
        <is>
          <t>Intermittent irrigation (Alternate Wetting and Drying — AWD); moderate retention; terrace or bund-assisted water retention essential on slopes</t>
        </is>
      </c>
      <c r="AA280" t="inlineStr">
        <is>
          <t>Transplanting (Pindot) or Direct Seeding (Pinaghandaan)</t>
        </is>
      </c>
      <c r="AP280" t="n">
        <v>4.684545454545455</v>
      </c>
    </row>
    <row r="281">
      <c r="B281" t="inlineStr">
        <is>
          <t>Palay</t>
        </is>
      </c>
      <c r="C281" t="inlineStr">
        <is>
          <t>Pasileng Norte</t>
        </is>
      </c>
      <c r="D281" t="inlineStr">
        <is>
          <t>WS 2015</t>
        </is>
      </c>
      <c r="E281" t="n">
        <v>140.28</v>
      </c>
      <c r="F281" t="n">
        <v>81</v>
      </c>
      <c r="G281" t="n">
        <v>2</v>
      </c>
      <c r="H281" t="n">
        <v>19.81</v>
      </c>
      <c r="I281" t="n">
        <v>7.21</v>
      </c>
      <c r="J281" t="n">
        <v>28.46</v>
      </c>
      <c r="K281" t="n">
        <v>23.39</v>
      </c>
      <c r="L281" t="n">
        <v>37.03</v>
      </c>
      <c r="M281" t="n">
        <v>76.02</v>
      </c>
      <c r="N281" t="n">
        <v>98.26000000000001</v>
      </c>
      <c r="O281" t="n">
        <v>22.25</v>
      </c>
      <c r="P281" t="inlineStr">
        <is>
          <t>Sandy Loam</t>
        </is>
      </c>
      <c r="Y281" t="inlineStr">
        <is>
          <t>Conventional Tillage: 2 plowings + 2 harrowings; soil workable when moist</t>
        </is>
      </c>
      <c r="Z281" t="inlineStr">
        <is>
          <t>Intermittent irrigation (Alternate Wetting and Drying — AWD); moderate retention</t>
        </is>
      </c>
      <c r="AA281" t="inlineStr">
        <is>
          <t>Transplanting (Pindot) or Direct Seeding (Pinaghandaan)</t>
        </is>
      </c>
      <c r="AP281" t="n">
        <v>5.75125</v>
      </c>
    </row>
    <row r="282">
      <c r="B282" t="inlineStr">
        <is>
          <t>Palay</t>
        </is>
      </c>
      <c r="C282" t="inlineStr">
        <is>
          <t>Pasileng Sur</t>
        </is>
      </c>
      <c r="D282" t="inlineStr">
        <is>
          <t>WS 2015</t>
        </is>
      </c>
      <c r="E282" t="n">
        <v>414.96</v>
      </c>
      <c r="F282" t="n">
        <v>180</v>
      </c>
      <c r="G282" t="n">
        <v>10</v>
      </c>
      <c r="H282" t="n">
        <v>15</v>
      </c>
      <c r="I282" t="n">
        <v>7.21</v>
      </c>
      <c r="J282" t="n">
        <v>28.46</v>
      </c>
      <c r="K282" t="n">
        <v>23.39</v>
      </c>
      <c r="L282" t="n">
        <v>37.03</v>
      </c>
      <c r="M282" t="n">
        <v>76.02</v>
      </c>
      <c r="N282" t="n">
        <v>98.26000000000001</v>
      </c>
      <c r="O282" t="n">
        <v>22.25</v>
      </c>
      <c r="P282" t="inlineStr">
        <is>
          <t>Sandy Loam</t>
        </is>
      </c>
      <c r="Y282" t="inlineStr">
        <is>
          <t>Conventional Tillage: 2 plowings + 2 harrowings; soil workable when moist</t>
        </is>
      </c>
      <c r="Z282" t="inlineStr">
        <is>
          <t>Intermittent irrigation (Alternate Wetting and Drying — AWD); moderate retention</t>
        </is>
      </c>
      <c r="AA282" t="inlineStr">
        <is>
          <t>Transplanting (Pindot) or Direct Seeding (Pinaghandaan)</t>
        </is>
      </c>
      <c r="AP282" t="n">
        <v>5.21</v>
      </c>
    </row>
    <row r="283">
      <c r="B283" t="inlineStr">
        <is>
          <t>Palay</t>
        </is>
      </c>
      <c r="C283" t="inlineStr">
        <is>
          <t>San Felipe Central</t>
        </is>
      </c>
      <c r="D283" t="inlineStr">
        <is>
          <t>WS 2015</t>
        </is>
      </c>
      <c r="E283" t="n">
        <v>452.76</v>
      </c>
      <c r="F283" t="n">
        <v>179</v>
      </c>
      <c r="G283" t="n">
        <v>5</v>
      </c>
      <c r="H283" t="n">
        <v>39</v>
      </c>
      <c r="I283" t="n">
        <v>7.21</v>
      </c>
      <c r="J283" t="n">
        <v>28.46</v>
      </c>
      <c r="K283" t="n">
        <v>23.39</v>
      </c>
      <c r="L283" t="n">
        <v>37.03</v>
      </c>
      <c r="M283" t="n">
        <v>76.02</v>
      </c>
      <c r="N283" t="n">
        <v>98.26000000000001</v>
      </c>
      <c r="O283" t="n">
        <v>22.25</v>
      </c>
      <c r="P283" t="inlineStr">
        <is>
          <t>Sandy Loam</t>
        </is>
      </c>
      <c r="Y283" t="inlineStr">
        <is>
          <t>Conventional Tillage: 2 plowings + 2 harrowings; soil workable when moist</t>
        </is>
      </c>
      <c r="Z283" t="inlineStr">
        <is>
          <t>Intermittent irrigation (Alternate Wetting and Drying — AWD); moderate retention</t>
        </is>
      </c>
      <c r="AA283" t="inlineStr">
        <is>
          <t>Transplanting (Pindot) or Direct Seeding (Pinaghandaan)</t>
        </is>
      </c>
      <c r="AP283" t="n">
        <v>4.781999999999999</v>
      </c>
    </row>
    <row r="284">
      <c r="B284" t="inlineStr">
        <is>
          <t>Palay</t>
        </is>
      </c>
      <c r="C284" t="inlineStr">
        <is>
          <t>San Felipe Sur</t>
        </is>
      </c>
      <c r="D284" t="inlineStr">
        <is>
          <t>WS 2015</t>
        </is>
      </c>
      <c r="E284" t="n">
        <v>504</v>
      </c>
      <c r="F284" t="n">
        <v>178</v>
      </c>
      <c r="G284" t="n">
        <v>5</v>
      </c>
      <c r="H284" t="n">
        <v>27</v>
      </c>
      <c r="I284" t="n">
        <v>7.21</v>
      </c>
      <c r="J284" t="n">
        <v>28.46</v>
      </c>
      <c r="K284" t="n">
        <v>23.39</v>
      </c>
      <c r="L284" t="n">
        <v>37.03</v>
      </c>
      <c r="M284" t="n">
        <v>76.02</v>
      </c>
      <c r="N284" t="n">
        <v>98.26000000000001</v>
      </c>
      <c r="O284" t="n">
        <v>22.25</v>
      </c>
      <c r="P284" t="inlineStr">
        <is>
          <t>Sandy Loam</t>
        </is>
      </c>
      <c r="Y284" t="inlineStr">
        <is>
          <t>Conventional Tillage: 2 plowings + 2 harrowings; soil workable when moist</t>
        </is>
      </c>
      <c r="Z284" t="inlineStr">
        <is>
          <t>Intermittent irrigation (Alternate Wetting and Drying — AWD); moderate retention</t>
        </is>
      </c>
      <c r="AA284" t="inlineStr">
        <is>
          <t>Transplanting (Pindot) or Direct Seeding (Pinaghandaan)</t>
        </is>
      </c>
      <c r="AP284" t="n">
        <v>4.83375</v>
      </c>
    </row>
    <row r="285">
      <c r="B285" t="inlineStr">
        <is>
          <t>Palay</t>
        </is>
      </c>
      <c r="C285" t="inlineStr">
        <is>
          <t>San Pablo</t>
        </is>
      </c>
      <c r="D285" t="inlineStr">
        <is>
          <t>WS 2015</t>
        </is>
      </c>
      <c r="E285" t="n">
        <v>215.04</v>
      </c>
      <c r="F285" t="n">
        <v>134</v>
      </c>
      <c r="G285" t="n">
        <v>5</v>
      </c>
      <c r="H285" t="n">
        <v>19</v>
      </c>
      <c r="I285" t="n">
        <v>7.21</v>
      </c>
      <c r="J285" t="n">
        <v>28.46</v>
      </c>
      <c r="K285" t="n">
        <v>23.39</v>
      </c>
      <c r="L285" t="n">
        <v>37.03</v>
      </c>
      <c r="M285" t="n">
        <v>76.02</v>
      </c>
      <c r="N285" t="n">
        <v>98.26000000000001</v>
      </c>
      <c r="O285" t="n">
        <v>22.25</v>
      </c>
      <c r="P285" t="inlineStr">
        <is>
          <t>Sandy Loam</t>
        </is>
      </c>
      <c r="Y285" t="inlineStr">
        <is>
          <t>Conventional Tillage: 2 plowings + 2 harrowings; soil workable when moist</t>
        </is>
      </c>
      <c r="Z285" t="inlineStr">
        <is>
          <t>Intermittent irrigation (Alternate Wetting and Drying — AWD); moderate retention</t>
        </is>
      </c>
      <c r="AA285" t="inlineStr">
        <is>
          <t>Transplanting (Pindot) or Direct Seeding (Pinaghandaan)</t>
        </is>
      </c>
      <c r="AP285" t="n">
        <v>5.113125</v>
      </c>
    </row>
    <row r="286">
      <c r="B286" t="inlineStr">
        <is>
          <t>Palay</t>
        </is>
      </c>
      <c r="C286" t="inlineStr">
        <is>
          <t>Santiago</t>
        </is>
      </c>
      <c r="D286" t="inlineStr">
        <is>
          <t>WS 2015</t>
        </is>
      </c>
      <c r="E286" t="n">
        <v>283.08</v>
      </c>
      <c r="F286" t="n">
        <v>251</v>
      </c>
      <c r="G286" t="n">
        <v>130.4</v>
      </c>
      <c r="H286" t="n">
        <v>84</v>
      </c>
      <c r="I286" t="n">
        <v>7.21</v>
      </c>
      <c r="J286" t="n">
        <v>28.46</v>
      </c>
      <c r="K286" t="n">
        <v>23.39</v>
      </c>
      <c r="L286" t="n">
        <v>37.03</v>
      </c>
      <c r="M286" t="n">
        <v>76.02</v>
      </c>
      <c r="N286" t="n">
        <v>98.26000000000001</v>
      </c>
      <c r="O286" t="n">
        <v>22.25</v>
      </c>
      <c r="P286" t="inlineStr">
        <is>
          <t>Silty Clay Loam</t>
        </is>
      </c>
      <c r="Y286" t="inlineStr">
        <is>
          <t>Wet Tillage (Puddling): 2 plowings + thorough harrowing under flooded condition</t>
        </is>
      </c>
      <c r="Z286" t="inlineStr">
        <is>
          <t>Continuous flooding 2–5 cm depth during vegetative stage; drain 2 weeks before harvest</t>
        </is>
      </c>
      <c r="AA286" t="inlineStr">
        <is>
          <t>Transplanting (Pindot) — optimal for clay-loam paddy fields</t>
        </is>
      </c>
      <c r="AP286" t="n">
        <v>5.240625</v>
      </c>
    </row>
    <row r="287">
      <c r="B287" t="inlineStr">
        <is>
          <t>Palay</t>
        </is>
      </c>
      <c r="C287" t="inlineStr">
        <is>
          <t>Sta. Catalina</t>
        </is>
      </c>
      <c r="D287" t="inlineStr">
        <is>
          <t>WS 2015</t>
        </is>
      </c>
      <c r="E287" t="n">
        <v>709.8</v>
      </c>
      <c r="F287" t="n">
        <v>229</v>
      </c>
      <c r="G287" t="n">
        <v>65.5</v>
      </c>
      <c r="H287" t="n">
        <v>130</v>
      </c>
      <c r="I287" t="n">
        <v>7.21</v>
      </c>
      <c r="J287" t="n">
        <v>28.46</v>
      </c>
      <c r="K287" t="n">
        <v>23.39</v>
      </c>
      <c r="L287" t="n">
        <v>37.03</v>
      </c>
      <c r="M287" t="n">
        <v>76.02</v>
      </c>
      <c r="N287" t="n">
        <v>98.26000000000001</v>
      </c>
      <c r="O287" t="n">
        <v>22.25</v>
      </c>
      <c r="P287" t="inlineStr">
        <is>
          <t>Fine Sand / Sandy Loam</t>
        </is>
      </c>
      <c r="Y287" t="inlineStr">
        <is>
          <t>Minimum Tillage (avoid compaction; sandy structure fragile)</t>
        </is>
      </c>
      <c r="Z287" t="inlineStr">
        <is>
          <t>Continuous flooding or frequent irrigation; high percolation risk; terrace or bund-assisted water retention essential on slopes</t>
        </is>
      </c>
      <c r="AA287" t="inlineStr">
        <is>
          <t>Transplanting (Pindot)</t>
        </is>
      </c>
      <c r="AP287" t="n">
        <v>4.6925</v>
      </c>
    </row>
    <row r="288">
      <c r="B288" t="inlineStr">
        <is>
          <t>Palay</t>
        </is>
      </c>
      <c r="C288" t="inlineStr">
        <is>
          <t>Sta. Maria Norte</t>
        </is>
      </c>
      <c r="D288" t="inlineStr">
        <is>
          <t>WS 2015</t>
        </is>
      </c>
      <c r="E288" t="n">
        <v>157.08</v>
      </c>
      <c r="F288" t="n">
        <v>68</v>
      </c>
      <c r="G288" t="n">
        <v>26.92</v>
      </c>
      <c r="H288" t="n">
        <v>28</v>
      </c>
      <c r="I288" t="n">
        <v>7.21</v>
      </c>
      <c r="J288" t="n">
        <v>28.46</v>
      </c>
      <c r="K288" t="n">
        <v>23.39</v>
      </c>
      <c r="L288" t="n">
        <v>37.03</v>
      </c>
      <c r="M288" t="n">
        <v>76.02</v>
      </c>
      <c r="N288" t="n">
        <v>98.26000000000001</v>
      </c>
      <c r="O288" t="n">
        <v>22.25</v>
      </c>
      <c r="P288" t="inlineStr">
        <is>
          <t>Sandy Loam</t>
        </is>
      </c>
      <c r="Y288" t="inlineStr">
        <is>
          <t>Conventional Tillage: 2 plowings + 2 harrowings; soil workable when moist</t>
        </is>
      </c>
      <c r="Z288" t="inlineStr">
        <is>
          <t>Intermittent irrigation (Alternate Wetting and Drying — AWD); moderate retention</t>
        </is>
      </c>
      <c r="AA288" t="inlineStr">
        <is>
          <t>Transplanting (Pindot) or Direct Seeding (Pinaghandaan)</t>
        </is>
      </c>
      <c r="AP288" t="n">
        <v>3.915</v>
      </c>
    </row>
    <row r="289">
      <c r="B289" t="inlineStr">
        <is>
          <t>Palay</t>
        </is>
      </c>
      <c r="C289" t="inlineStr">
        <is>
          <t>Sumabnit</t>
        </is>
      </c>
      <c r="D289" t="inlineStr">
        <is>
          <t>WS 2015</t>
        </is>
      </c>
      <c r="E289" t="n">
        <v>406.56</v>
      </c>
      <c r="F289" t="n">
        <v>257</v>
      </c>
      <c r="G289" t="n">
        <v>130.4</v>
      </c>
      <c r="H289" t="n">
        <v>71</v>
      </c>
      <c r="I289" t="n">
        <v>7.21</v>
      </c>
      <c r="J289" t="n">
        <v>28.46</v>
      </c>
      <c r="K289" t="n">
        <v>23.39</v>
      </c>
      <c r="L289" t="n">
        <v>37.03</v>
      </c>
      <c r="M289" t="n">
        <v>76.02</v>
      </c>
      <c r="N289" t="n">
        <v>98.26000000000001</v>
      </c>
      <c r="O289" t="n">
        <v>22.25</v>
      </c>
      <c r="P289" t="inlineStr">
        <is>
          <t>Silty Clay Loam / Fine Sandy Loam</t>
        </is>
      </c>
      <c r="Y289" t="inlineStr">
        <is>
          <t>Minimum Tillage (avoid compaction; sandy structure fragile)</t>
        </is>
      </c>
      <c r="Z289" t="inlineStr">
        <is>
          <t>Continuous flooding or frequent irrigation; high percolation risk</t>
        </is>
      </c>
      <c r="AA289" t="inlineStr">
        <is>
          <t>Transplanting (Pindot)</t>
        </is>
      </c>
      <c r="AP289" t="n">
        <v>4.894375</v>
      </c>
    </row>
    <row r="290">
      <c r="B290" t="inlineStr">
        <is>
          <t>Palay</t>
        </is>
      </c>
      <c r="C290" t="inlineStr">
        <is>
          <t>Tabuyoc</t>
        </is>
      </c>
      <c r="D290" t="inlineStr">
        <is>
          <t>WS 2015</t>
        </is>
      </c>
      <c r="E290" t="n">
        <v>277.2</v>
      </c>
      <c r="F290" t="n">
        <v>139</v>
      </c>
      <c r="G290" t="n">
        <v>130.4</v>
      </c>
      <c r="H290" t="n">
        <v>5</v>
      </c>
      <c r="I290" t="n">
        <v>7.21</v>
      </c>
      <c r="J290" t="n">
        <v>28.46</v>
      </c>
      <c r="K290" t="n">
        <v>23.39</v>
      </c>
      <c r="L290" t="n">
        <v>37.03</v>
      </c>
      <c r="M290" t="n">
        <v>76.02</v>
      </c>
      <c r="N290" t="n">
        <v>98.26000000000001</v>
      </c>
      <c r="O290" t="n">
        <v>22.25</v>
      </c>
      <c r="P290" t="inlineStr">
        <is>
          <t>Silty Clay Loam</t>
        </is>
      </c>
      <c r="Y290" t="inlineStr">
        <is>
          <t>Wet Tillage (Puddling): 2 plowings + thorough harrowing under flooded condition</t>
        </is>
      </c>
      <c r="Z290" t="inlineStr">
        <is>
          <t>Continuous flooding 2–5 cm depth during vegetative stage; drain 2 weeks before harvest</t>
        </is>
      </c>
      <c r="AA290" t="inlineStr">
        <is>
          <t>Transplanting (Pindot) — optimal for clay-loam paddy fields</t>
        </is>
      </c>
      <c r="AP290" t="n">
        <v>4.3925</v>
      </c>
    </row>
    <row r="291">
      <c r="B291" t="inlineStr">
        <is>
          <t>Palay</t>
        </is>
      </c>
      <c r="C291" t="inlineStr">
        <is>
          <t>Vacante</t>
        </is>
      </c>
      <c r="D291" t="inlineStr">
        <is>
          <t>WS 2015</t>
        </is>
      </c>
      <c r="E291" t="n">
        <v>484.68</v>
      </c>
      <c r="F291" t="n">
        <v>109</v>
      </c>
      <c r="G291" t="n">
        <v>24.5</v>
      </c>
      <c r="H291" t="n">
        <v>47</v>
      </c>
      <c r="I291" t="n">
        <v>7.21</v>
      </c>
      <c r="J291" t="n">
        <v>28.46</v>
      </c>
      <c r="K291" t="n">
        <v>23.39</v>
      </c>
      <c r="L291" t="n">
        <v>37.03</v>
      </c>
      <c r="M291" t="n">
        <v>76.02</v>
      </c>
      <c r="N291" t="n">
        <v>98.26000000000001</v>
      </c>
      <c r="O291" t="n">
        <v>22.25</v>
      </c>
      <c r="P291" t="inlineStr">
        <is>
          <t>Silty Clay Loam</t>
        </is>
      </c>
      <c r="Y291" t="inlineStr">
        <is>
          <t>Wet Tillage (Puddling): 2 plowings + thorough harrowing under flooded condition</t>
        </is>
      </c>
      <c r="Z291" t="inlineStr">
        <is>
          <t>Continuous flooding 2–5 cm depth during vegetative stage; drain 2 weeks before harvest</t>
        </is>
      </c>
      <c r="AA291" t="inlineStr">
        <is>
          <t>Transplanting (Pindot) — optimal for clay-loam paddy fields</t>
        </is>
      </c>
      <c r="AP291" t="n">
        <v>3.59</v>
      </c>
    </row>
    <row r="292">
      <c r="B292" t="inlineStr">
        <is>
          <t>Palay</t>
        </is>
      </c>
      <c r="C292" t="inlineStr">
        <is>
          <t>Balangobong</t>
        </is>
      </c>
      <c r="D292" t="inlineStr">
        <is>
          <t>WS 2016</t>
        </is>
      </c>
      <c r="E292" t="n">
        <v>281.4</v>
      </c>
      <c r="F292" t="n">
        <v>135</v>
      </c>
      <c r="G292" t="n">
        <v>120</v>
      </c>
      <c r="H292" t="n">
        <v>15</v>
      </c>
      <c r="I292" t="n">
        <v>6.97</v>
      </c>
      <c r="J292" t="n">
        <v>27.43</v>
      </c>
      <c r="K292" t="n">
        <v>23.57</v>
      </c>
      <c r="L292" t="n">
        <v>33.6</v>
      </c>
      <c r="M292" t="n">
        <v>81.41</v>
      </c>
      <c r="N292" t="n">
        <v>98.33</v>
      </c>
      <c r="O292" t="n">
        <v>20.67</v>
      </c>
      <c r="P292" t="inlineStr">
        <is>
          <t>Silty Clay Loam</t>
        </is>
      </c>
      <c r="Y292" t="inlineStr">
        <is>
          <t>Wet Tillage (Puddling): 2 plowings + thorough harrowing under flooded condition</t>
        </is>
      </c>
      <c r="Z292" t="inlineStr">
        <is>
          <t>Continuous flooding 2–5 cm depth during vegetative stage; drain 2 weeks before harvest</t>
        </is>
      </c>
      <c r="AA292" t="inlineStr">
        <is>
          <t>Transplanting (Pindot) — optimal for clay-loam paddy fields</t>
        </is>
      </c>
      <c r="AP292" t="n">
        <v>4.81</v>
      </c>
    </row>
    <row r="293">
      <c r="B293" t="inlineStr">
        <is>
          <t>Palay</t>
        </is>
      </c>
      <c r="C293" t="inlineStr">
        <is>
          <t>Bued</t>
        </is>
      </c>
      <c r="D293" t="inlineStr">
        <is>
          <t>WS 2016</t>
        </is>
      </c>
      <c r="E293" t="n">
        <v>210.84</v>
      </c>
      <c r="F293" t="n">
        <v>94</v>
      </c>
      <c r="G293" t="n">
        <v>56.5</v>
      </c>
      <c r="H293" t="n">
        <v>37.5</v>
      </c>
      <c r="I293" t="n">
        <v>6.97</v>
      </c>
      <c r="J293" t="n">
        <v>27.43</v>
      </c>
      <c r="K293" t="n">
        <v>23.57</v>
      </c>
      <c r="L293" t="n">
        <v>33.6</v>
      </c>
      <c r="M293" t="n">
        <v>81.41</v>
      </c>
      <c r="N293" t="n">
        <v>98.33</v>
      </c>
      <c r="O293" t="n">
        <v>20.67</v>
      </c>
      <c r="P293" t="inlineStr">
        <is>
          <t>Silty Clay Loam</t>
        </is>
      </c>
      <c r="Y293" t="inlineStr">
        <is>
          <t>Wet Tillage (Puddling): 2 plowings + thorough harrowing under flooded condition</t>
        </is>
      </c>
      <c r="Z293" t="inlineStr">
        <is>
          <t>Continuous flooding 2–5 cm depth during vegetative stage; drain 2 weeks before harvest</t>
        </is>
      </c>
      <c r="AA293" t="inlineStr">
        <is>
          <t>Transplanting (Pindot) — optimal for clay-loam paddy fields</t>
        </is>
      </c>
      <c r="AP293" t="n">
        <v>4.43</v>
      </c>
    </row>
    <row r="294">
      <c r="B294" t="inlineStr">
        <is>
          <t>Palay</t>
        </is>
      </c>
      <c r="C294" t="inlineStr">
        <is>
          <t>Bugayong</t>
        </is>
      </c>
      <c r="D294" t="inlineStr">
        <is>
          <t>WS 2016</t>
        </is>
      </c>
      <c r="E294" t="n">
        <v>346.08</v>
      </c>
      <c r="F294" t="n">
        <v>78</v>
      </c>
      <c r="G294" t="n">
        <v>25.95</v>
      </c>
      <c r="H294" t="n">
        <v>52.05</v>
      </c>
      <c r="I294" t="n">
        <v>6.97</v>
      </c>
      <c r="J294" t="n">
        <v>27.43</v>
      </c>
      <c r="K294" t="n">
        <v>23.57</v>
      </c>
      <c r="L294" t="n">
        <v>33.6</v>
      </c>
      <c r="M294" t="n">
        <v>81.41</v>
      </c>
      <c r="N294" t="n">
        <v>98.33</v>
      </c>
      <c r="O294" t="n">
        <v>20.67</v>
      </c>
      <c r="P294" t="inlineStr">
        <is>
          <t>Sandy Loam / Silty Clay Loam</t>
        </is>
      </c>
      <c r="Y294" t="inlineStr">
        <is>
          <t>Conventional Tillage: 2 plowings + harrowing; puddle thoroughly for transplanting</t>
        </is>
      </c>
      <c r="Z294" t="inlineStr">
        <is>
          <t>Intermittent to continuous flooding; manage according to drainage section present</t>
        </is>
      </c>
      <c r="AA294" t="inlineStr">
        <is>
          <t>Transplanting (Pindot) — recommended; Direct Seeding possible in dry season</t>
        </is>
      </c>
      <c r="AP294" t="n">
        <v>4.67</v>
      </c>
    </row>
    <row r="295">
      <c r="B295" t="inlineStr">
        <is>
          <t>Palay</t>
        </is>
      </c>
      <c r="C295" t="inlineStr">
        <is>
          <t>Camanggaan</t>
        </is>
      </c>
      <c r="D295" t="inlineStr">
        <is>
          <t>WS 2016</t>
        </is>
      </c>
      <c r="E295" t="n">
        <v>244.44</v>
      </c>
      <c r="F295" t="n">
        <v>87</v>
      </c>
      <c r="G295" t="n">
        <v>19</v>
      </c>
      <c r="H295" t="n">
        <v>68</v>
      </c>
      <c r="I295" t="n">
        <v>6.97</v>
      </c>
      <c r="J295" t="n">
        <v>27.43</v>
      </c>
      <c r="K295" t="n">
        <v>23.57</v>
      </c>
      <c r="L295" t="n">
        <v>33.6</v>
      </c>
      <c r="M295" t="n">
        <v>81.41</v>
      </c>
      <c r="N295" t="n">
        <v>98.33</v>
      </c>
      <c r="O295" t="n">
        <v>20.67</v>
      </c>
      <c r="P295" t="inlineStr">
        <is>
          <t>Sandy Loam</t>
        </is>
      </c>
      <c r="Y295" t="inlineStr">
        <is>
          <t>Conventional Tillage: 2 plowings + 2 harrowings; soil workable when moist</t>
        </is>
      </c>
      <c r="Z295" t="inlineStr">
        <is>
          <t>Intermittent irrigation (Alternate Wetting and Drying — AWD); moderate retention</t>
        </is>
      </c>
      <c r="AA295" t="inlineStr">
        <is>
          <t>Transplanting (Pindot) or Direct Seeding (Pinaghandaan)</t>
        </is>
      </c>
      <c r="AP295" t="n">
        <v>3.75</v>
      </c>
    </row>
    <row r="296">
      <c r="B296" t="inlineStr">
        <is>
          <t>Palay</t>
        </is>
      </c>
      <c r="C296" t="inlineStr">
        <is>
          <t>Capas</t>
        </is>
      </c>
      <c r="D296" t="inlineStr">
        <is>
          <t>WS 2016</t>
        </is>
      </c>
      <c r="E296" t="n">
        <v>377.16</v>
      </c>
      <c r="F296" t="n">
        <v>303</v>
      </c>
      <c r="G296" t="n">
        <v>139</v>
      </c>
      <c r="H296" t="n">
        <v>164</v>
      </c>
      <c r="I296" t="n">
        <v>6.97</v>
      </c>
      <c r="J296" t="n">
        <v>27.43</v>
      </c>
      <c r="K296" t="n">
        <v>23.57</v>
      </c>
      <c r="L296" t="n">
        <v>33.6</v>
      </c>
      <c r="M296" t="n">
        <v>81.41</v>
      </c>
      <c r="N296" t="n">
        <v>98.33</v>
      </c>
      <c r="O296" t="n">
        <v>20.67</v>
      </c>
      <c r="P296" t="inlineStr">
        <is>
          <t>Sandy Loam</t>
        </is>
      </c>
      <c r="Y296" t="inlineStr">
        <is>
          <t>Conventional Tillage: 2 plowings + 2 harrowings; soil workable when moist</t>
        </is>
      </c>
      <c r="Z296" t="inlineStr">
        <is>
          <t>Intermittent irrigation (Alternate Wetting and Drying — AWD); moderate retention</t>
        </is>
      </c>
      <c r="AA296" t="inlineStr">
        <is>
          <t>Transplanting (Pindot) or Direct Seeding (Pinaghandaan)</t>
        </is>
      </c>
      <c r="AP296" t="n">
        <v>3.01</v>
      </c>
    </row>
    <row r="297">
      <c r="B297" t="inlineStr">
        <is>
          <t>Palay</t>
        </is>
      </c>
      <c r="C297" t="inlineStr">
        <is>
          <t>Cili</t>
        </is>
      </c>
      <c r="D297" t="inlineStr">
        <is>
          <t>WS 2016</t>
        </is>
      </c>
      <c r="E297" t="n">
        <v>264.6</v>
      </c>
      <c r="F297" t="n">
        <v>168</v>
      </c>
      <c r="G297" t="n">
        <v>40</v>
      </c>
      <c r="H297" t="n">
        <v>128</v>
      </c>
      <c r="I297" t="n">
        <v>6.97</v>
      </c>
      <c r="J297" t="n">
        <v>27.43</v>
      </c>
      <c r="K297" t="n">
        <v>23.57</v>
      </c>
      <c r="L297" t="n">
        <v>33.6</v>
      </c>
      <c r="M297" t="n">
        <v>81.41</v>
      </c>
      <c r="N297" t="n">
        <v>98.33</v>
      </c>
      <c r="O297" t="n">
        <v>20.67</v>
      </c>
      <c r="P297" t="inlineStr">
        <is>
          <t>Silty Clay Loam</t>
        </is>
      </c>
      <c r="Y297" t="inlineStr">
        <is>
          <t>Wet Tillage (Puddling): 2 plowings + thorough harrowing under flooded condition</t>
        </is>
      </c>
      <c r="Z297" t="inlineStr">
        <is>
          <t>Continuous flooding 2–5 cm depth during vegetative stage; drain 2 weeks before harvest</t>
        </is>
      </c>
      <c r="AA297" t="inlineStr">
        <is>
          <t>Transplanting (Pindot) — optimal for clay-loam paddy fields</t>
        </is>
      </c>
      <c r="AP297" t="n">
        <v>1.77</v>
      </c>
    </row>
    <row r="298">
      <c r="B298" t="inlineStr">
        <is>
          <t>Palay</t>
        </is>
      </c>
      <c r="C298" t="inlineStr">
        <is>
          <t>Dumayat</t>
        </is>
      </c>
      <c r="D298" t="inlineStr">
        <is>
          <t>WS 2016</t>
        </is>
      </c>
      <c r="E298" t="n">
        <v>266.28</v>
      </c>
      <c r="F298" t="n">
        <v>86</v>
      </c>
      <c r="G298" t="n">
        <v>56</v>
      </c>
      <c r="H298" t="n">
        <v>30</v>
      </c>
      <c r="I298" t="n">
        <v>6.97</v>
      </c>
      <c r="J298" t="n">
        <v>27.43</v>
      </c>
      <c r="K298" t="n">
        <v>23.57</v>
      </c>
      <c r="L298" t="n">
        <v>33.6</v>
      </c>
      <c r="M298" t="n">
        <v>81.41</v>
      </c>
      <c r="N298" t="n">
        <v>98.33</v>
      </c>
      <c r="O298" t="n">
        <v>20.67</v>
      </c>
      <c r="P298" t="inlineStr">
        <is>
          <t>Silty Clay Loam</t>
        </is>
      </c>
      <c r="Y298" t="inlineStr">
        <is>
          <t>Wet Tillage (Puddling): 2 plowings + thorough harrowing under flooded condition</t>
        </is>
      </c>
      <c r="Z298" t="inlineStr">
        <is>
          <t>Continuous flooding 2–5 cm depth during vegetative stage; drain 2 weeks before harvest</t>
        </is>
      </c>
      <c r="AA298" t="inlineStr">
        <is>
          <t>Transplanting (Pindot) — optimal for clay-loam paddy fields</t>
        </is>
      </c>
      <c r="AP298" t="n">
        <v>3.78</v>
      </c>
    </row>
    <row r="299">
      <c r="B299" t="inlineStr">
        <is>
          <t>Palay</t>
        </is>
      </c>
      <c r="C299" t="inlineStr">
        <is>
          <t>Linmansangan</t>
        </is>
      </c>
      <c r="D299" t="inlineStr">
        <is>
          <t>WS 2016</t>
        </is>
      </c>
      <c r="E299" t="n">
        <v>492.24</v>
      </c>
      <c r="F299" t="n">
        <v>216</v>
      </c>
      <c r="G299" t="n">
        <v>65.5</v>
      </c>
      <c r="H299" t="n">
        <v>150.5</v>
      </c>
      <c r="I299" t="n">
        <v>6.97</v>
      </c>
      <c r="J299" t="n">
        <v>27.43</v>
      </c>
      <c r="K299" t="n">
        <v>23.57</v>
      </c>
      <c r="L299" t="n">
        <v>33.6</v>
      </c>
      <c r="M299" t="n">
        <v>81.41</v>
      </c>
      <c r="N299" t="n">
        <v>98.33</v>
      </c>
      <c r="O299" t="n">
        <v>20.67</v>
      </c>
      <c r="P299" t="inlineStr">
        <is>
          <t>Silty Clay Loam</t>
        </is>
      </c>
      <c r="Y299" t="inlineStr">
        <is>
          <t>Wet Tillage (Puddling): 2 plowings + thorough harrowing under flooded condition</t>
        </is>
      </c>
      <c r="Z299" t="inlineStr">
        <is>
          <t>Continuous flooding 2–5 cm depth during vegetative stage; drain 2 weeks before harvest</t>
        </is>
      </c>
      <c r="AA299" t="inlineStr">
        <is>
          <t>Transplanting (Pindot) — optimal for clay-loam paddy fields</t>
        </is>
      </c>
      <c r="AP299" t="n">
        <v>0.5</v>
      </c>
    </row>
    <row r="300">
      <c r="B300" t="inlineStr">
        <is>
          <t>Palay</t>
        </is>
      </c>
      <c r="C300" t="inlineStr">
        <is>
          <t>Mangkasuy</t>
        </is>
      </c>
      <c r="D300" t="inlineStr">
        <is>
          <t>WS 2016</t>
        </is>
      </c>
      <c r="E300" t="n">
        <v>802.2</v>
      </c>
      <c r="F300" t="n">
        <v>352</v>
      </c>
      <c r="G300" t="n">
        <v>90</v>
      </c>
      <c r="H300" t="n">
        <v>262</v>
      </c>
      <c r="I300" t="n">
        <v>6.97</v>
      </c>
      <c r="J300" t="n">
        <v>27.43</v>
      </c>
      <c r="K300" t="n">
        <v>23.57</v>
      </c>
      <c r="L300" t="n">
        <v>33.6</v>
      </c>
      <c r="M300" t="n">
        <v>81.41</v>
      </c>
      <c r="N300" t="n">
        <v>98.33</v>
      </c>
      <c r="O300" t="n">
        <v>20.67</v>
      </c>
      <c r="P300" t="inlineStr">
        <is>
          <t>Sandy Loam</t>
        </is>
      </c>
      <c r="Y300" t="inlineStr">
        <is>
          <t>Conventional Tillage: 2 plowings + 2 harrowings; soil workable when moist</t>
        </is>
      </c>
      <c r="Z300" t="inlineStr">
        <is>
          <t>Intermittent irrigation (Alternate Wetting and Drying — AWD); moderate retention</t>
        </is>
      </c>
      <c r="AA300" t="inlineStr">
        <is>
          <t>Transplanting (Pindot) or Direct Seeding (Pinaghandaan)</t>
        </is>
      </c>
      <c r="AP300" t="n">
        <v>5.09</v>
      </c>
    </row>
    <row r="301">
      <c r="B301" t="inlineStr">
        <is>
          <t>Palay</t>
        </is>
      </c>
      <c r="C301" t="inlineStr">
        <is>
          <t>Moreno</t>
        </is>
      </c>
      <c r="D301" t="inlineStr">
        <is>
          <t>WS 2016</t>
        </is>
      </c>
      <c r="E301" t="n">
        <v>641.76</v>
      </c>
      <c r="F301" t="n">
        <v>164</v>
      </c>
      <c r="G301" t="n">
        <v>47.4</v>
      </c>
      <c r="H301" t="n">
        <v>116.6</v>
      </c>
      <c r="I301" t="n">
        <v>6.97</v>
      </c>
      <c r="J301" t="n">
        <v>27.43</v>
      </c>
      <c r="K301" t="n">
        <v>23.57</v>
      </c>
      <c r="L301" t="n">
        <v>33.6</v>
      </c>
      <c r="M301" t="n">
        <v>81.41</v>
      </c>
      <c r="N301" t="n">
        <v>98.33</v>
      </c>
      <c r="O301" t="n">
        <v>20.67</v>
      </c>
      <c r="P301" t="inlineStr">
        <is>
          <t>Sandy Loam</t>
        </is>
      </c>
      <c r="Y301" t="inlineStr">
        <is>
          <t>Conventional Tillage: 2 plowings + 2 harrowings; soil workable when moist</t>
        </is>
      </c>
      <c r="Z301" t="inlineStr">
        <is>
          <t>Intermittent irrigation (Alternate Wetting and Drying — AWD); moderate retention; terrace or bund-assisted water retention essential on slopes</t>
        </is>
      </c>
      <c r="AA301" t="inlineStr">
        <is>
          <t>Transplanting (Pindot) or Direct Seeding (Pinaghandaan)</t>
        </is>
      </c>
      <c r="AP301" t="n">
        <v>4.01</v>
      </c>
    </row>
    <row r="302">
      <c r="B302" t="inlineStr">
        <is>
          <t>Palay</t>
        </is>
      </c>
      <c r="C302" t="inlineStr">
        <is>
          <t>Pasileng Norte</t>
        </is>
      </c>
      <c r="D302" t="inlineStr">
        <is>
          <t>WS 2016</t>
        </is>
      </c>
      <c r="E302" t="n">
        <v>140.28</v>
      </c>
      <c r="F302" t="n">
        <v>81</v>
      </c>
      <c r="G302" t="n">
        <v>78.34999999999999</v>
      </c>
      <c r="H302" t="n">
        <v>2.65</v>
      </c>
      <c r="I302" t="n">
        <v>6.97</v>
      </c>
      <c r="J302" t="n">
        <v>27.43</v>
      </c>
      <c r="K302" t="n">
        <v>23.57</v>
      </c>
      <c r="L302" t="n">
        <v>33.6</v>
      </c>
      <c r="M302" t="n">
        <v>81.41</v>
      </c>
      <c r="N302" t="n">
        <v>98.33</v>
      </c>
      <c r="O302" t="n">
        <v>20.67</v>
      </c>
      <c r="P302" t="inlineStr">
        <is>
          <t>Sandy Loam</t>
        </is>
      </c>
      <c r="Y302" t="inlineStr">
        <is>
          <t>Conventional Tillage: 2 plowings + 2 harrowings; soil workable when moist</t>
        </is>
      </c>
      <c r="Z302" t="inlineStr">
        <is>
          <t>Intermittent irrigation (Alternate Wetting and Drying — AWD); moderate retention</t>
        </is>
      </c>
      <c r="AA302" t="inlineStr">
        <is>
          <t>Transplanting (Pindot) or Direct Seeding (Pinaghandaan)</t>
        </is>
      </c>
      <c r="AP302" t="n">
        <v>8</v>
      </c>
    </row>
    <row r="303">
      <c r="B303" t="inlineStr">
        <is>
          <t>Palay</t>
        </is>
      </c>
      <c r="C303" t="inlineStr">
        <is>
          <t>Pasileng Sur</t>
        </is>
      </c>
      <c r="D303" t="inlineStr">
        <is>
          <t>WS 2016</t>
        </is>
      </c>
      <c r="E303" t="n">
        <v>414.96</v>
      </c>
      <c r="F303" t="n">
        <v>180</v>
      </c>
      <c r="G303" t="n">
        <v>150.9</v>
      </c>
      <c r="H303" t="n">
        <v>29.1</v>
      </c>
      <c r="I303" t="n">
        <v>6.97</v>
      </c>
      <c r="J303" t="n">
        <v>27.43</v>
      </c>
      <c r="K303" t="n">
        <v>23.57</v>
      </c>
      <c r="L303" t="n">
        <v>33.6</v>
      </c>
      <c r="M303" t="n">
        <v>81.41</v>
      </c>
      <c r="N303" t="n">
        <v>98.33</v>
      </c>
      <c r="O303" t="n">
        <v>20.67</v>
      </c>
      <c r="P303" t="inlineStr">
        <is>
          <t>Sandy Loam</t>
        </is>
      </c>
      <c r="Y303" t="inlineStr">
        <is>
          <t>Conventional Tillage: 2 plowings + 2 harrowings; soil workable when moist</t>
        </is>
      </c>
      <c r="Z303" t="inlineStr">
        <is>
          <t>Intermittent irrigation (Alternate Wetting and Drying — AWD); moderate retention</t>
        </is>
      </c>
      <c r="AA303" t="inlineStr">
        <is>
          <t>Transplanting (Pindot) or Direct Seeding (Pinaghandaan)</t>
        </is>
      </c>
      <c r="AP303" t="n">
        <v>4.79</v>
      </c>
    </row>
    <row r="304">
      <c r="B304" t="inlineStr">
        <is>
          <t>Palay</t>
        </is>
      </c>
      <c r="C304" t="inlineStr">
        <is>
          <t>San Felipe Central</t>
        </is>
      </c>
      <c r="D304" t="inlineStr">
        <is>
          <t>WS 2016</t>
        </is>
      </c>
      <c r="E304" t="n">
        <v>452.76</v>
      </c>
      <c r="F304" t="n">
        <v>179</v>
      </c>
      <c r="G304" t="n">
        <v>117</v>
      </c>
      <c r="H304" t="n">
        <v>62</v>
      </c>
      <c r="I304" t="n">
        <v>6.97</v>
      </c>
      <c r="J304" t="n">
        <v>27.43</v>
      </c>
      <c r="K304" t="n">
        <v>23.57</v>
      </c>
      <c r="L304" t="n">
        <v>33.6</v>
      </c>
      <c r="M304" t="n">
        <v>81.41</v>
      </c>
      <c r="N304" t="n">
        <v>98.33</v>
      </c>
      <c r="O304" t="n">
        <v>20.67</v>
      </c>
      <c r="P304" t="inlineStr">
        <is>
          <t>Sandy Loam</t>
        </is>
      </c>
      <c r="Y304" t="inlineStr">
        <is>
          <t>Conventional Tillage: 2 plowings + 2 harrowings; soil workable when moist</t>
        </is>
      </c>
      <c r="Z304" t="inlineStr">
        <is>
          <t>Intermittent irrigation (Alternate Wetting and Drying — AWD); moderate retention</t>
        </is>
      </c>
      <c r="AA304" t="inlineStr">
        <is>
          <t>Transplanting (Pindot) or Direct Seeding (Pinaghandaan)</t>
        </is>
      </c>
      <c r="AP304" t="n">
        <v>4.62</v>
      </c>
    </row>
    <row r="305">
      <c r="B305" t="inlineStr">
        <is>
          <t>Palay</t>
        </is>
      </c>
      <c r="C305" t="inlineStr">
        <is>
          <t>San Felipe Sur</t>
        </is>
      </c>
      <c r="D305" t="inlineStr">
        <is>
          <t>WS 2016</t>
        </is>
      </c>
      <c r="E305" t="n">
        <v>504</v>
      </c>
      <c r="F305" t="n">
        <v>178</v>
      </c>
      <c r="G305" t="n">
        <v>127.5</v>
      </c>
      <c r="H305" t="n">
        <v>50.5</v>
      </c>
      <c r="I305" t="n">
        <v>6.97</v>
      </c>
      <c r="J305" t="n">
        <v>27.43</v>
      </c>
      <c r="K305" t="n">
        <v>23.57</v>
      </c>
      <c r="L305" t="n">
        <v>33.6</v>
      </c>
      <c r="M305" t="n">
        <v>81.41</v>
      </c>
      <c r="N305" t="n">
        <v>98.33</v>
      </c>
      <c r="O305" t="n">
        <v>20.67</v>
      </c>
      <c r="P305" t="inlineStr">
        <is>
          <t>Sandy Loam</t>
        </is>
      </c>
      <c r="Y305" t="inlineStr">
        <is>
          <t>Conventional Tillage: 2 plowings + 2 harrowings; soil workable when moist</t>
        </is>
      </c>
      <c r="Z305" t="inlineStr">
        <is>
          <t>Intermittent irrigation (Alternate Wetting and Drying — AWD); moderate retention</t>
        </is>
      </c>
      <c r="AA305" t="inlineStr">
        <is>
          <t>Transplanting (Pindot) or Direct Seeding (Pinaghandaan)</t>
        </is>
      </c>
      <c r="AP305" t="n">
        <v>4.45</v>
      </c>
    </row>
    <row r="306">
      <c r="B306" t="inlineStr">
        <is>
          <t>Palay</t>
        </is>
      </c>
      <c r="C306" t="inlineStr">
        <is>
          <t>San Pablo</t>
        </is>
      </c>
      <c r="D306" t="inlineStr">
        <is>
          <t>WS 2016</t>
        </is>
      </c>
      <c r="E306" t="n">
        <v>215.04</v>
      </c>
      <c r="F306" t="n">
        <v>134</v>
      </c>
      <c r="G306" t="n">
        <v>103.5</v>
      </c>
      <c r="H306" t="n">
        <v>30.5</v>
      </c>
      <c r="I306" t="n">
        <v>6.97</v>
      </c>
      <c r="J306" t="n">
        <v>27.43</v>
      </c>
      <c r="K306" t="n">
        <v>23.57</v>
      </c>
      <c r="L306" t="n">
        <v>33.6</v>
      </c>
      <c r="M306" t="n">
        <v>81.41</v>
      </c>
      <c r="N306" t="n">
        <v>98.33</v>
      </c>
      <c r="O306" t="n">
        <v>20.67</v>
      </c>
      <c r="P306" t="inlineStr">
        <is>
          <t>Sandy Loam</t>
        </is>
      </c>
      <c r="Y306" t="inlineStr">
        <is>
          <t>Conventional Tillage: 2 plowings + 2 harrowings; soil workable when moist</t>
        </is>
      </c>
      <c r="Z306" t="inlineStr">
        <is>
          <t>Intermittent irrigation (Alternate Wetting and Drying — AWD); moderate retention</t>
        </is>
      </c>
      <c r="AA306" t="inlineStr">
        <is>
          <t>Transplanting (Pindot) or Direct Seeding (Pinaghandaan)</t>
        </is>
      </c>
      <c r="AP306" t="n">
        <v>8</v>
      </c>
    </row>
    <row r="307">
      <c r="B307" t="inlineStr">
        <is>
          <t>Palay</t>
        </is>
      </c>
      <c r="C307" t="inlineStr">
        <is>
          <t>Santiago</t>
        </is>
      </c>
      <c r="D307" t="inlineStr">
        <is>
          <t>WS 2016</t>
        </is>
      </c>
      <c r="E307" t="n">
        <v>283.08</v>
      </c>
      <c r="F307" t="n">
        <v>251</v>
      </c>
      <c r="G307" t="n">
        <v>103.6</v>
      </c>
      <c r="H307" t="n">
        <v>147.4</v>
      </c>
      <c r="I307" t="n">
        <v>6.97</v>
      </c>
      <c r="J307" t="n">
        <v>27.43</v>
      </c>
      <c r="K307" t="n">
        <v>23.57</v>
      </c>
      <c r="L307" t="n">
        <v>33.6</v>
      </c>
      <c r="M307" t="n">
        <v>81.41</v>
      </c>
      <c r="N307" t="n">
        <v>98.33</v>
      </c>
      <c r="O307" t="n">
        <v>20.67</v>
      </c>
      <c r="P307" t="inlineStr">
        <is>
          <t>Silty Clay Loam</t>
        </is>
      </c>
      <c r="Y307" t="inlineStr">
        <is>
          <t>Wet Tillage (Puddling): 2 plowings + thorough harrowing under flooded condition</t>
        </is>
      </c>
      <c r="Z307" t="inlineStr">
        <is>
          <t>Continuous flooding 2–5 cm depth during vegetative stage; drain 2 weeks before harvest</t>
        </is>
      </c>
      <c r="AA307" t="inlineStr">
        <is>
          <t>Transplanting (Pindot) — optimal for clay-loam paddy fields</t>
        </is>
      </c>
      <c r="AP307" t="n">
        <v>3.15</v>
      </c>
    </row>
    <row r="308">
      <c r="B308" t="inlineStr">
        <is>
          <t>Palay</t>
        </is>
      </c>
      <c r="C308" t="inlineStr">
        <is>
          <t>Sta. Catalina</t>
        </is>
      </c>
      <c r="D308" t="inlineStr">
        <is>
          <t>WS 2016</t>
        </is>
      </c>
      <c r="E308" t="n">
        <v>709.8</v>
      </c>
      <c r="F308" t="n">
        <v>229</v>
      </c>
      <c r="G308" t="n">
        <v>49</v>
      </c>
      <c r="H308" t="n">
        <v>180</v>
      </c>
      <c r="I308" t="n">
        <v>6.97</v>
      </c>
      <c r="J308" t="n">
        <v>27.43</v>
      </c>
      <c r="K308" t="n">
        <v>23.57</v>
      </c>
      <c r="L308" t="n">
        <v>33.6</v>
      </c>
      <c r="M308" t="n">
        <v>81.41</v>
      </c>
      <c r="N308" t="n">
        <v>98.33</v>
      </c>
      <c r="O308" t="n">
        <v>20.67</v>
      </c>
      <c r="P308" t="inlineStr">
        <is>
          <t>Fine Sand / Sandy Loam</t>
        </is>
      </c>
      <c r="Y308" t="inlineStr">
        <is>
          <t>Minimum Tillage (avoid compaction; sandy structure fragile)</t>
        </is>
      </c>
      <c r="Z308" t="inlineStr">
        <is>
          <t>Continuous flooding or frequent irrigation; high percolation risk; terrace or bund-assisted water retention essential on slopes</t>
        </is>
      </c>
      <c r="AA308" t="inlineStr">
        <is>
          <t>Transplanting (Pindot)</t>
        </is>
      </c>
      <c r="AP308" t="n">
        <v>3.98</v>
      </c>
    </row>
    <row r="309">
      <c r="B309" t="inlineStr">
        <is>
          <t>Palay</t>
        </is>
      </c>
      <c r="C309" t="inlineStr">
        <is>
          <t>Sta. Maria Norte</t>
        </is>
      </c>
      <c r="D309" t="inlineStr">
        <is>
          <t>WS 2016</t>
        </is>
      </c>
      <c r="E309" t="n">
        <v>157.08</v>
      </c>
      <c r="F309" t="n">
        <v>68</v>
      </c>
      <c r="G309" t="n">
        <v>24.5</v>
      </c>
      <c r="H309" t="n">
        <v>43.5</v>
      </c>
      <c r="I309" t="n">
        <v>6.97</v>
      </c>
      <c r="J309" t="n">
        <v>27.43</v>
      </c>
      <c r="K309" t="n">
        <v>23.57</v>
      </c>
      <c r="L309" t="n">
        <v>33.6</v>
      </c>
      <c r="M309" t="n">
        <v>81.41</v>
      </c>
      <c r="N309" t="n">
        <v>98.33</v>
      </c>
      <c r="O309" t="n">
        <v>20.67</v>
      </c>
      <c r="P309" t="inlineStr">
        <is>
          <t>Sandy Loam</t>
        </is>
      </c>
      <c r="Y309" t="inlineStr">
        <is>
          <t>Conventional Tillage: 2 plowings + 2 harrowings; soil workable when moist</t>
        </is>
      </c>
      <c r="Z309" t="inlineStr">
        <is>
          <t>Intermittent irrigation (Alternate Wetting and Drying — AWD); moderate retention</t>
        </is>
      </c>
      <c r="AA309" t="inlineStr">
        <is>
          <t>Transplanting (Pindot) or Direct Seeding (Pinaghandaan)</t>
        </is>
      </c>
      <c r="AP309" t="n">
        <v>5.12</v>
      </c>
    </row>
    <row r="310">
      <c r="B310" t="inlineStr">
        <is>
          <t>Palay</t>
        </is>
      </c>
      <c r="C310" t="inlineStr">
        <is>
          <t>Sumabnit</t>
        </is>
      </c>
      <c r="D310" t="inlineStr">
        <is>
          <t>WS 2016</t>
        </is>
      </c>
      <c r="E310" t="n">
        <v>406.56</v>
      </c>
      <c r="F310" t="n">
        <v>257</v>
      </c>
      <c r="G310" t="n">
        <v>133.3</v>
      </c>
      <c r="H310" t="n">
        <v>123.7</v>
      </c>
      <c r="I310" t="n">
        <v>6.97</v>
      </c>
      <c r="J310" t="n">
        <v>27.43</v>
      </c>
      <c r="K310" t="n">
        <v>23.57</v>
      </c>
      <c r="L310" t="n">
        <v>33.6</v>
      </c>
      <c r="M310" t="n">
        <v>81.41</v>
      </c>
      <c r="N310" t="n">
        <v>98.33</v>
      </c>
      <c r="O310" t="n">
        <v>20.67</v>
      </c>
      <c r="P310" t="inlineStr">
        <is>
          <t>Silty Clay Loam / Fine Sandy Loam</t>
        </is>
      </c>
      <c r="Y310" t="inlineStr">
        <is>
          <t>Minimum Tillage (avoid compaction; sandy structure fragile)</t>
        </is>
      </c>
      <c r="Z310" t="inlineStr">
        <is>
          <t>Continuous flooding or frequent irrigation; high percolation risk</t>
        </is>
      </c>
      <c r="AA310" t="inlineStr">
        <is>
          <t>Transplanting (Pindot)</t>
        </is>
      </c>
      <c r="AP310" t="n">
        <v>2.96</v>
      </c>
    </row>
    <row r="311">
      <c r="B311" t="inlineStr">
        <is>
          <t>Palay</t>
        </is>
      </c>
      <c r="C311" t="inlineStr">
        <is>
          <t>Tabuyoc</t>
        </is>
      </c>
      <c r="D311" t="inlineStr">
        <is>
          <t>WS 2016</t>
        </is>
      </c>
      <c r="E311" t="n">
        <v>277.2</v>
      </c>
      <c r="F311" t="n">
        <v>139</v>
      </c>
      <c r="G311" t="n">
        <v>134</v>
      </c>
      <c r="H311" t="n">
        <v>5</v>
      </c>
      <c r="I311" t="n">
        <v>6.97</v>
      </c>
      <c r="J311" t="n">
        <v>27.43</v>
      </c>
      <c r="K311" t="n">
        <v>23.57</v>
      </c>
      <c r="L311" t="n">
        <v>33.6</v>
      </c>
      <c r="M311" t="n">
        <v>81.41</v>
      </c>
      <c r="N311" t="n">
        <v>98.33</v>
      </c>
      <c r="O311" t="n">
        <v>20.67</v>
      </c>
      <c r="P311" t="inlineStr">
        <is>
          <t>Silty Clay Loam</t>
        </is>
      </c>
      <c r="Y311" t="inlineStr">
        <is>
          <t>Wet Tillage (Puddling): 2 plowings + thorough harrowing under flooded condition</t>
        </is>
      </c>
      <c r="Z311" t="inlineStr">
        <is>
          <t>Continuous flooding 2–5 cm depth during vegetative stage; drain 2 weeks before harvest</t>
        </is>
      </c>
      <c r="AA311" t="inlineStr">
        <is>
          <t>Transplanting (Pindot) — optimal for clay-loam paddy fields</t>
        </is>
      </c>
      <c r="AP311" t="n">
        <v>2.72</v>
      </c>
    </row>
    <row r="312">
      <c r="B312" t="inlineStr">
        <is>
          <t>Palay</t>
        </is>
      </c>
      <c r="C312" t="inlineStr">
        <is>
          <t>Vacante</t>
        </is>
      </c>
      <c r="D312" t="inlineStr">
        <is>
          <t>WS 2016</t>
        </is>
      </c>
      <c r="E312" t="n">
        <v>484.68</v>
      </c>
      <c r="F312" t="n">
        <v>109</v>
      </c>
      <c r="G312" t="n">
        <v>28</v>
      </c>
      <c r="H312" t="n">
        <v>81</v>
      </c>
      <c r="I312" t="n">
        <v>6.97</v>
      </c>
      <c r="J312" t="n">
        <v>27.43</v>
      </c>
      <c r="K312" t="n">
        <v>23.57</v>
      </c>
      <c r="L312" t="n">
        <v>33.6</v>
      </c>
      <c r="M312" t="n">
        <v>81.41</v>
      </c>
      <c r="N312" t="n">
        <v>98.33</v>
      </c>
      <c r="O312" t="n">
        <v>20.67</v>
      </c>
      <c r="P312" t="inlineStr">
        <is>
          <t>Silty Clay Loam</t>
        </is>
      </c>
      <c r="Y312" t="inlineStr">
        <is>
          <t>Wet Tillage (Puddling): 2 plowings + thorough harrowing under flooded condition</t>
        </is>
      </c>
      <c r="Z312" t="inlineStr">
        <is>
          <t>Continuous flooding 2–5 cm depth during vegetative stage; drain 2 weeks before harvest</t>
        </is>
      </c>
      <c r="AA312" t="inlineStr">
        <is>
          <t>Transplanting (Pindot) — optimal for clay-loam paddy fields</t>
        </is>
      </c>
      <c r="AP312" t="n">
        <v>2.9</v>
      </c>
    </row>
    <row r="313">
      <c r="B313" t="inlineStr">
        <is>
          <t>Palay</t>
        </is>
      </c>
      <c r="C313" t="inlineStr">
        <is>
          <t>Balangobong</t>
        </is>
      </c>
      <c r="D313" t="inlineStr">
        <is>
          <t>WS 2017</t>
        </is>
      </c>
      <c r="E313" t="n">
        <v>281.4</v>
      </c>
      <c r="F313" t="n">
        <v>135</v>
      </c>
      <c r="G313" t="n">
        <v>120</v>
      </c>
      <c r="H313" t="n">
        <v>15</v>
      </c>
      <c r="I313" t="n">
        <v>8.73</v>
      </c>
      <c r="J313" t="n">
        <v>27.2</v>
      </c>
      <c r="K313" t="n">
        <v>22.27</v>
      </c>
      <c r="L313" t="n">
        <v>32.27</v>
      </c>
      <c r="M313" t="n">
        <v>83.43000000000001</v>
      </c>
      <c r="N313" t="n">
        <v>98.3</v>
      </c>
      <c r="O313" t="n">
        <v>21.97</v>
      </c>
      <c r="P313" t="inlineStr">
        <is>
          <t>Silty Clay Loam</t>
        </is>
      </c>
      <c r="Y313" t="inlineStr">
        <is>
          <t>Wet Tillage (Puddling): 2 plowings + thorough harrowing under flooded condition</t>
        </is>
      </c>
      <c r="Z313" t="inlineStr">
        <is>
          <t>Continuous flooding 2–5 cm depth during vegetative stage; drain 2 weeks before harvest</t>
        </is>
      </c>
      <c r="AA313" t="inlineStr">
        <is>
          <t>Transplanting (Pindot) — optimal for clay-loam paddy fields</t>
        </is>
      </c>
      <c r="AP313" t="n">
        <v>4.87</v>
      </c>
    </row>
    <row r="314">
      <c r="B314" t="inlineStr">
        <is>
          <t>Palay</t>
        </is>
      </c>
      <c r="C314" t="inlineStr">
        <is>
          <t>Bued</t>
        </is>
      </c>
      <c r="D314" t="inlineStr">
        <is>
          <t>WS 2017</t>
        </is>
      </c>
      <c r="E314" t="n">
        <v>210.84</v>
      </c>
      <c r="F314" t="n">
        <v>94</v>
      </c>
      <c r="G314" t="n">
        <v>56.5</v>
      </c>
      <c r="H314" t="n">
        <v>37.5</v>
      </c>
      <c r="I314" t="n">
        <v>8.73</v>
      </c>
      <c r="J314" t="n">
        <v>27.2</v>
      </c>
      <c r="K314" t="n">
        <v>22.27</v>
      </c>
      <c r="L314" t="n">
        <v>32.27</v>
      </c>
      <c r="M314" t="n">
        <v>83.43000000000001</v>
      </c>
      <c r="N314" t="n">
        <v>98.3</v>
      </c>
      <c r="O314" t="n">
        <v>21.97</v>
      </c>
      <c r="P314" t="inlineStr">
        <is>
          <t>Silty Clay Loam</t>
        </is>
      </c>
      <c r="Y314" t="inlineStr">
        <is>
          <t>Wet Tillage (Puddling): 2 plowings + thorough harrowing under flooded condition</t>
        </is>
      </c>
      <c r="Z314" t="inlineStr">
        <is>
          <t>Continuous flooding 2–5 cm depth during vegetative stage; drain 2 weeks before harvest</t>
        </is>
      </c>
      <c r="AA314" t="inlineStr">
        <is>
          <t>Transplanting (Pindot) — optimal for clay-loam paddy fields</t>
        </is>
      </c>
      <c r="AP314" t="n">
        <v>4.46</v>
      </c>
    </row>
    <row r="315">
      <c r="B315" t="inlineStr">
        <is>
          <t>Palay</t>
        </is>
      </c>
      <c r="C315" t="inlineStr">
        <is>
          <t>Bugayong</t>
        </is>
      </c>
      <c r="D315" t="inlineStr">
        <is>
          <t>WS 2017</t>
        </is>
      </c>
      <c r="E315" t="n">
        <v>346.08</v>
      </c>
      <c r="F315" t="n">
        <v>78</v>
      </c>
      <c r="G315" t="n">
        <v>25.95</v>
      </c>
      <c r="H315" t="n">
        <v>52.05</v>
      </c>
      <c r="I315" t="n">
        <v>8.73</v>
      </c>
      <c r="J315" t="n">
        <v>27.2</v>
      </c>
      <c r="K315" t="n">
        <v>22.27</v>
      </c>
      <c r="L315" t="n">
        <v>32.27</v>
      </c>
      <c r="M315" t="n">
        <v>83.43000000000001</v>
      </c>
      <c r="N315" t="n">
        <v>98.3</v>
      </c>
      <c r="O315" t="n">
        <v>21.97</v>
      </c>
      <c r="P315" t="inlineStr">
        <is>
          <t>Sandy Loam / Silty Clay Loam</t>
        </is>
      </c>
      <c r="Y315" t="inlineStr">
        <is>
          <t>Conventional Tillage: 2 plowings + harrowing; puddle thoroughly for transplanting</t>
        </is>
      </c>
      <c r="Z315" t="inlineStr">
        <is>
          <t>Intermittent to continuous flooding; manage according to drainage section present</t>
        </is>
      </c>
      <c r="AA315" t="inlineStr">
        <is>
          <t>Transplanting (Pindot) — recommended; Direct Seeding possible in dry season</t>
        </is>
      </c>
      <c r="AP315" t="n">
        <v>7.98</v>
      </c>
    </row>
    <row r="316">
      <c r="B316" t="inlineStr">
        <is>
          <t>Palay</t>
        </is>
      </c>
      <c r="C316" t="inlineStr">
        <is>
          <t>Camanggaan</t>
        </is>
      </c>
      <c r="D316" t="inlineStr">
        <is>
          <t>WS 2017</t>
        </is>
      </c>
      <c r="E316" t="n">
        <v>244.44</v>
      </c>
      <c r="F316" t="n">
        <v>87</v>
      </c>
      <c r="G316" t="n">
        <v>19</v>
      </c>
      <c r="H316" t="n">
        <v>68</v>
      </c>
      <c r="I316" t="n">
        <v>8.73</v>
      </c>
      <c r="J316" t="n">
        <v>27.2</v>
      </c>
      <c r="K316" t="n">
        <v>22.27</v>
      </c>
      <c r="L316" t="n">
        <v>32.27</v>
      </c>
      <c r="M316" t="n">
        <v>83.43000000000001</v>
      </c>
      <c r="N316" t="n">
        <v>98.3</v>
      </c>
      <c r="O316" t="n">
        <v>21.97</v>
      </c>
      <c r="P316" t="inlineStr">
        <is>
          <t>Sandy Loam</t>
        </is>
      </c>
      <c r="Y316" t="inlineStr">
        <is>
          <t>Conventional Tillage: 2 plowings + 2 harrowings; soil workable when moist</t>
        </is>
      </c>
      <c r="Z316" t="inlineStr">
        <is>
          <t>Intermittent irrigation (Alternate Wetting and Drying — AWD); moderate retention</t>
        </is>
      </c>
      <c r="AA316" t="inlineStr">
        <is>
          <t>Transplanting (Pindot) or Direct Seeding (Pinaghandaan)</t>
        </is>
      </c>
      <c r="AP316" t="n">
        <v>8</v>
      </c>
    </row>
    <row r="317">
      <c r="B317" t="inlineStr">
        <is>
          <t>Palay</t>
        </is>
      </c>
      <c r="C317" t="inlineStr">
        <is>
          <t>Capas</t>
        </is>
      </c>
      <c r="D317" t="inlineStr">
        <is>
          <t>WS 2017</t>
        </is>
      </c>
      <c r="E317" t="n">
        <v>377.16</v>
      </c>
      <c r="F317" t="n">
        <v>303</v>
      </c>
      <c r="G317" t="n">
        <v>139</v>
      </c>
      <c r="H317" t="n">
        <v>164</v>
      </c>
      <c r="I317" t="n">
        <v>8.73</v>
      </c>
      <c r="J317" t="n">
        <v>27.2</v>
      </c>
      <c r="K317" t="n">
        <v>22.27</v>
      </c>
      <c r="L317" t="n">
        <v>32.27</v>
      </c>
      <c r="M317" t="n">
        <v>83.43000000000001</v>
      </c>
      <c r="N317" t="n">
        <v>98.3</v>
      </c>
      <c r="O317" t="n">
        <v>21.97</v>
      </c>
      <c r="P317" t="inlineStr">
        <is>
          <t>Sandy Loam</t>
        </is>
      </c>
      <c r="Y317" t="inlineStr">
        <is>
          <t>Conventional Tillage: 2 plowings + 2 harrowings; soil workable when moist</t>
        </is>
      </c>
      <c r="Z317" t="inlineStr">
        <is>
          <t>Intermittent irrigation (Alternate Wetting and Drying — AWD); moderate retention</t>
        </is>
      </c>
      <c r="AA317" t="inlineStr">
        <is>
          <t>Transplanting (Pindot) or Direct Seeding (Pinaghandaan)</t>
        </is>
      </c>
      <c r="AP317" t="n">
        <v>8</v>
      </c>
    </row>
    <row r="318">
      <c r="B318" t="inlineStr">
        <is>
          <t>Palay</t>
        </is>
      </c>
      <c r="C318" t="inlineStr">
        <is>
          <t>Cili</t>
        </is>
      </c>
      <c r="D318" t="inlineStr">
        <is>
          <t>WS 2017</t>
        </is>
      </c>
      <c r="E318" t="n">
        <v>264.6</v>
      </c>
      <c r="F318" t="n">
        <v>168</v>
      </c>
      <c r="G318" t="n">
        <v>40</v>
      </c>
      <c r="H318" t="n">
        <v>128</v>
      </c>
      <c r="I318" t="n">
        <v>8.73</v>
      </c>
      <c r="J318" t="n">
        <v>27.2</v>
      </c>
      <c r="K318" t="n">
        <v>22.27</v>
      </c>
      <c r="L318" t="n">
        <v>32.27</v>
      </c>
      <c r="M318" t="n">
        <v>83.43000000000001</v>
      </c>
      <c r="N318" t="n">
        <v>98.3</v>
      </c>
      <c r="O318" t="n">
        <v>21.97</v>
      </c>
      <c r="P318" t="inlineStr">
        <is>
          <t>Silty Clay Loam</t>
        </is>
      </c>
      <c r="Y318" t="inlineStr">
        <is>
          <t>Wet Tillage (Puddling): 2 plowings + thorough harrowing under flooded condition</t>
        </is>
      </c>
      <c r="Z318" t="inlineStr">
        <is>
          <t>Continuous flooding 2–5 cm depth during vegetative stage; drain 2 weeks before harvest</t>
        </is>
      </c>
      <c r="AA318" t="inlineStr">
        <is>
          <t>Transplanting (Pindot) — optimal for clay-loam paddy fields</t>
        </is>
      </c>
      <c r="AP318" t="n">
        <v>1.22</v>
      </c>
    </row>
    <row r="319">
      <c r="B319" t="inlineStr">
        <is>
          <t>Palay</t>
        </is>
      </c>
      <c r="C319" t="inlineStr">
        <is>
          <t>Dumayat</t>
        </is>
      </c>
      <c r="D319" t="inlineStr">
        <is>
          <t>WS 2017</t>
        </is>
      </c>
      <c r="E319" t="n">
        <v>266.28</v>
      </c>
      <c r="F319" t="n">
        <v>86</v>
      </c>
      <c r="G319" t="n">
        <v>56</v>
      </c>
      <c r="H319" t="n">
        <v>30</v>
      </c>
      <c r="I319" t="n">
        <v>8.73</v>
      </c>
      <c r="J319" t="n">
        <v>27.2</v>
      </c>
      <c r="K319" t="n">
        <v>22.27</v>
      </c>
      <c r="L319" t="n">
        <v>32.27</v>
      </c>
      <c r="M319" t="n">
        <v>83.43000000000001</v>
      </c>
      <c r="N319" t="n">
        <v>98.3</v>
      </c>
      <c r="O319" t="n">
        <v>21.97</v>
      </c>
      <c r="P319" t="inlineStr">
        <is>
          <t>Silty Clay Loam</t>
        </is>
      </c>
      <c r="Y319" t="inlineStr">
        <is>
          <t>Wet Tillage (Puddling): 2 plowings + thorough harrowing under flooded condition</t>
        </is>
      </c>
      <c r="Z319" t="inlineStr">
        <is>
          <t>Continuous flooding 2–5 cm depth during vegetative stage; drain 2 weeks before harvest</t>
        </is>
      </c>
      <c r="AA319" t="inlineStr">
        <is>
          <t>Transplanting (Pindot) — optimal for clay-loam paddy fields</t>
        </is>
      </c>
      <c r="AP319" t="n">
        <v>1.32</v>
      </c>
    </row>
    <row r="320">
      <c r="B320" t="inlineStr">
        <is>
          <t>Palay</t>
        </is>
      </c>
      <c r="C320" t="inlineStr">
        <is>
          <t>Linmansangan</t>
        </is>
      </c>
      <c r="D320" t="inlineStr">
        <is>
          <t>WS 2017</t>
        </is>
      </c>
      <c r="E320" t="n">
        <v>492.24</v>
      </c>
      <c r="F320" t="n">
        <v>216</v>
      </c>
      <c r="G320" t="n">
        <v>65.5</v>
      </c>
      <c r="H320" t="n">
        <v>150.5</v>
      </c>
      <c r="I320" t="n">
        <v>8.73</v>
      </c>
      <c r="J320" t="n">
        <v>27.2</v>
      </c>
      <c r="K320" t="n">
        <v>22.27</v>
      </c>
      <c r="L320" t="n">
        <v>32.27</v>
      </c>
      <c r="M320" t="n">
        <v>83.43000000000001</v>
      </c>
      <c r="N320" t="n">
        <v>98.3</v>
      </c>
      <c r="O320" t="n">
        <v>21.97</v>
      </c>
      <c r="P320" t="inlineStr">
        <is>
          <t>Silty Clay Loam</t>
        </is>
      </c>
      <c r="Y320" t="inlineStr">
        <is>
          <t>Wet Tillage (Puddling): 2 plowings + thorough harrowing under flooded condition</t>
        </is>
      </c>
      <c r="Z320" t="inlineStr">
        <is>
          <t>Continuous flooding 2–5 cm depth during vegetative stage; drain 2 weeks before harvest</t>
        </is>
      </c>
      <c r="AA320" t="inlineStr">
        <is>
          <t>Transplanting (Pindot) — optimal for clay-loam paddy fields</t>
        </is>
      </c>
      <c r="AP320" t="n">
        <v>0.39</v>
      </c>
    </row>
    <row r="321">
      <c r="B321" t="inlineStr">
        <is>
          <t>Palay</t>
        </is>
      </c>
      <c r="C321" t="inlineStr">
        <is>
          <t>Mangkasuy</t>
        </is>
      </c>
      <c r="D321" t="inlineStr">
        <is>
          <t>WS 2017</t>
        </is>
      </c>
      <c r="E321" t="n">
        <v>802.2</v>
      </c>
      <c r="F321" t="n">
        <v>352</v>
      </c>
      <c r="G321" t="n">
        <v>90</v>
      </c>
      <c r="H321" t="n">
        <v>262</v>
      </c>
      <c r="I321" t="n">
        <v>8.73</v>
      </c>
      <c r="J321" t="n">
        <v>27.2</v>
      </c>
      <c r="K321" t="n">
        <v>22.27</v>
      </c>
      <c r="L321" t="n">
        <v>32.27</v>
      </c>
      <c r="M321" t="n">
        <v>83.43000000000001</v>
      </c>
      <c r="N321" t="n">
        <v>98.3</v>
      </c>
      <c r="O321" t="n">
        <v>21.97</v>
      </c>
      <c r="P321" t="inlineStr">
        <is>
          <t>Sandy Loam</t>
        </is>
      </c>
      <c r="Y321" t="inlineStr">
        <is>
          <t>Conventional Tillage: 2 plowings + 2 harrowings; soil workable when moist</t>
        </is>
      </c>
      <c r="Z321" t="inlineStr">
        <is>
          <t>Intermittent irrigation (Alternate Wetting and Drying — AWD); moderate retention</t>
        </is>
      </c>
      <c r="AA321" t="inlineStr">
        <is>
          <t>Transplanting (Pindot) or Direct Seeding (Pinaghandaan)</t>
        </is>
      </c>
      <c r="AP321" t="n">
        <v>2.82</v>
      </c>
    </row>
    <row r="322">
      <c r="B322" t="inlineStr">
        <is>
          <t>Palay</t>
        </is>
      </c>
      <c r="C322" t="inlineStr">
        <is>
          <t>Moreno</t>
        </is>
      </c>
      <c r="D322" t="inlineStr">
        <is>
          <t>WS 2017</t>
        </is>
      </c>
      <c r="E322" t="n">
        <v>641.76</v>
      </c>
      <c r="F322" t="n">
        <v>164</v>
      </c>
      <c r="G322" t="n">
        <v>47.4</v>
      </c>
      <c r="H322" t="n">
        <v>116.6</v>
      </c>
      <c r="I322" t="n">
        <v>8.73</v>
      </c>
      <c r="J322" t="n">
        <v>27.2</v>
      </c>
      <c r="K322" t="n">
        <v>22.27</v>
      </c>
      <c r="L322" t="n">
        <v>32.27</v>
      </c>
      <c r="M322" t="n">
        <v>83.43000000000001</v>
      </c>
      <c r="N322" t="n">
        <v>98.3</v>
      </c>
      <c r="O322" t="n">
        <v>21.97</v>
      </c>
      <c r="P322" t="inlineStr">
        <is>
          <t>Sandy Loam</t>
        </is>
      </c>
      <c r="Y322" t="inlineStr">
        <is>
          <t>Conventional Tillage: 2 plowings + 2 harrowings; soil workable when moist</t>
        </is>
      </c>
      <c r="Z322" t="inlineStr">
        <is>
          <t>Intermittent irrigation (Alternate Wetting and Drying — AWD); moderate retention; terrace or bund-assisted water retention essential on slopes</t>
        </is>
      </c>
      <c r="AA322" t="inlineStr">
        <is>
          <t>Transplanting (Pindot) or Direct Seeding (Pinaghandaan)</t>
        </is>
      </c>
      <c r="AP322" t="n">
        <v>2.91</v>
      </c>
    </row>
    <row r="323">
      <c r="B323" t="inlineStr">
        <is>
          <t>Palay</t>
        </is>
      </c>
      <c r="C323" t="inlineStr">
        <is>
          <t>Pasileng Norte</t>
        </is>
      </c>
      <c r="D323" t="inlineStr">
        <is>
          <t>WS 2017</t>
        </is>
      </c>
      <c r="E323" t="n">
        <v>140.28</v>
      </c>
      <c r="F323" t="n">
        <v>81</v>
      </c>
      <c r="G323" t="n">
        <v>78.34999999999999</v>
      </c>
      <c r="H323" t="n">
        <v>2.65</v>
      </c>
      <c r="I323" t="n">
        <v>8.73</v>
      </c>
      <c r="J323" t="n">
        <v>27.2</v>
      </c>
      <c r="K323" t="n">
        <v>22.27</v>
      </c>
      <c r="L323" t="n">
        <v>32.27</v>
      </c>
      <c r="M323" t="n">
        <v>83.43000000000001</v>
      </c>
      <c r="N323" t="n">
        <v>98.3</v>
      </c>
      <c r="O323" t="n">
        <v>21.97</v>
      </c>
      <c r="P323" t="inlineStr">
        <is>
          <t>Sandy Loam</t>
        </is>
      </c>
      <c r="Y323" t="inlineStr">
        <is>
          <t>Conventional Tillage: 2 plowings + 2 harrowings; soil workable when moist</t>
        </is>
      </c>
      <c r="Z323" t="inlineStr">
        <is>
          <t>Intermittent irrigation (Alternate Wetting and Drying — AWD); moderate retention</t>
        </is>
      </c>
      <c r="AA323" t="inlineStr">
        <is>
          <t>Transplanting (Pindot) or Direct Seeding (Pinaghandaan)</t>
        </is>
      </c>
      <c r="AP323" t="n">
        <v>8</v>
      </c>
    </row>
    <row r="324">
      <c r="B324" t="inlineStr">
        <is>
          <t>Palay</t>
        </is>
      </c>
      <c r="C324" t="inlineStr">
        <is>
          <t>Pasileng Sur</t>
        </is>
      </c>
      <c r="D324" t="inlineStr">
        <is>
          <t>WS 2017</t>
        </is>
      </c>
      <c r="E324" t="n">
        <v>414.96</v>
      </c>
      <c r="F324" t="n">
        <v>180</v>
      </c>
      <c r="G324" t="n">
        <v>150.9</v>
      </c>
      <c r="H324" t="n">
        <v>29.1</v>
      </c>
      <c r="I324" t="n">
        <v>8.73</v>
      </c>
      <c r="J324" t="n">
        <v>27.2</v>
      </c>
      <c r="K324" t="n">
        <v>22.27</v>
      </c>
      <c r="L324" t="n">
        <v>32.27</v>
      </c>
      <c r="M324" t="n">
        <v>83.43000000000001</v>
      </c>
      <c r="N324" t="n">
        <v>98.3</v>
      </c>
      <c r="O324" t="n">
        <v>21.97</v>
      </c>
      <c r="P324" t="inlineStr">
        <is>
          <t>Sandy Loam</t>
        </is>
      </c>
      <c r="Y324" t="inlineStr">
        <is>
          <t>Conventional Tillage: 2 plowings + 2 harrowings; soil workable when moist</t>
        </is>
      </c>
      <c r="Z324" t="inlineStr">
        <is>
          <t>Intermittent irrigation (Alternate Wetting and Drying — AWD); moderate retention</t>
        </is>
      </c>
      <c r="AA324" t="inlineStr">
        <is>
          <t>Transplanting (Pindot) or Direct Seeding (Pinaghandaan)</t>
        </is>
      </c>
      <c r="AP324" t="n">
        <v>4.27</v>
      </c>
    </row>
    <row r="325">
      <c r="B325" t="inlineStr">
        <is>
          <t>Palay</t>
        </is>
      </c>
      <c r="C325" t="inlineStr">
        <is>
          <t>San Felipe Central</t>
        </is>
      </c>
      <c r="D325" t="inlineStr">
        <is>
          <t>WS 2017</t>
        </is>
      </c>
      <c r="E325" t="n">
        <v>452.76</v>
      </c>
      <c r="F325" t="n">
        <v>179</v>
      </c>
      <c r="G325" t="n">
        <v>117</v>
      </c>
      <c r="H325" t="n">
        <v>62</v>
      </c>
      <c r="I325" t="n">
        <v>8.73</v>
      </c>
      <c r="J325" t="n">
        <v>27.2</v>
      </c>
      <c r="K325" t="n">
        <v>22.27</v>
      </c>
      <c r="L325" t="n">
        <v>32.27</v>
      </c>
      <c r="M325" t="n">
        <v>83.43000000000001</v>
      </c>
      <c r="N325" t="n">
        <v>98.3</v>
      </c>
      <c r="O325" t="n">
        <v>21.97</v>
      </c>
      <c r="P325" t="inlineStr">
        <is>
          <t>Sandy Loam</t>
        </is>
      </c>
      <c r="Y325" t="inlineStr">
        <is>
          <t>Conventional Tillage: 2 plowings + 2 harrowings; soil workable when moist</t>
        </is>
      </c>
      <c r="Z325" t="inlineStr">
        <is>
          <t>Intermittent irrigation (Alternate Wetting and Drying — AWD); moderate retention</t>
        </is>
      </c>
      <c r="AA325" t="inlineStr">
        <is>
          <t>Transplanting (Pindot) or Direct Seeding (Pinaghandaan)</t>
        </is>
      </c>
      <c r="AP325" t="n">
        <v>4.5</v>
      </c>
    </row>
    <row r="326">
      <c r="B326" t="inlineStr">
        <is>
          <t>Palay</t>
        </is>
      </c>
      <c r="C326" t="inlineStr">
        <is>
          <t>San Felipe Sur</t>
        </is>
      </c>
      <c r="D326" t="inlineStr">
        <is>
          <t>WS 2017</t>
        </is>
      </c>
      <c r="E326" t="n">
        <v>504</v>
      </c>
      <c r="F326" t="n">
        <v>178</v>
      </c>
      <c r="G326" t="n">
        <v>127.5</v>
      </c>
      <c r="H326" t="n">
        <v>50.5</v>
      </c>
      <c r="I326" t="n">
        <v>8.73</v>
      </c>
      <c r="J326" t="n">
        <v>27.2</v>
      </c>
      <c r="K326" t="n">
        <v>22.27</v>
      </c>
      <c r="L326" t="n">
        <v>32.27</v>
      </c>
      <c r="M326" t="n">
        <v>83.43000000000001</v>
      </c>
      <c r="N326" t="n">
        <v>98.3</v>
      </c>
      <c r="O326" t="n">
        <v>21.97</v>
      </c>
      <c r="P326" t="inlineStr">
        <is>
          <t>Sandy Loam</t>
        </is>
      </c>
      <c r="Y326" t="inlineStr">
        <is>
          <t>Conventional Tillage: 2 plowings + 2 harrowings; soil workable when moist</t>
        </is>
      </c>
      <c r="Z326" t="inlineStr">
        <is>
          <t>Intermittent irrigation (Alternate Wetting and Drying — AWD); moderate retention</t>
        </is>
      </c>
      <c r="AA326" t="inlineStr">
        <is>
          <t>Transplanting (Pindot) or Direct Seeding (Pinaghandaan)</t>
        </is>
      </c>
      <c r="AP326" t="n">
        <v>3.63</v>
      </c>
    </row>
    <row r="327">
      <c r="B327" t="inlineStr">
        <is>
          <t>Palay</t>
        </is>
      </c>
      <c r="C327" t="inlineStr">
        <is>
          <t>San Pablo</t>
        </is>
      </c>
      <c r="D327" t="inlineStr">
        <is>
          <t>WS 2017</t>
        </is>
      </c>
      <c r="E327" t="n">
        <v>215.04</v>
      </c>
      <c r="F327" t="n">
        <v>134</v>
      </c>
      <c r="G327" t="n">
        <v>103.5</v>
      </c>
      <c r="H327" t="n">
        <v>30.5</v>
      </c>
      <c r="I327" t="n">
        <v>8.73</v>
      </c>
      <c r="J327" t="n">
        <v>27.2</v>
      </c>
      <c r="K327" t="n">
        <v>22.27</v>
      </c>
      <c r="L327" t="n">
        <v>32.27</v>
      </c>
      <c r="M327" t="n">
        <v>83.43000000000001</v>
      </c>
      <c r="N327" t="n">
        <v>98.3</v>
      </c>
      <c r="O327" t="n">
        <v>21.97</v>
      </c>
      <c r="P327" t="inlineStr">
        <is>
          <t>Sandy Loam</t>
        </is>
      </c>
      <c r="Y327" t="inlineStr">
        <is>
          <t>Conventional Tillage: 2 plowings + 2 harrowings; soil workable when moist</t>
        </is>
      </c>
      <c r="Z327" t="inlineStr">
        <is>
          <t>Intermittent irrigation (Alternate Wetting and Drying — AWD); moderate retention</t>
        </is>
      </c>
      <c r="AA327" t="inlineStr">
        <is>
          <t>Transplanting (Pindot) or Direct Seeding (Pinaghandaan)</t>
        </is>
      </c>
      <c r="AP327" t="n">
        <v>6.34</v>
      </c>
    </row>
    <row r="328">
      <c r="B328" t="inlineStr">
        <is>
          <t>Palay</t>
        </is>
      </c>
      <c r="C328" t="inlineStr">
        <is>
          <t>Santiago</t>
        </is>
      </c>
      <c r="D328" t="inlineStr">
        <is>
          <t>WS 2017</t>
        </is>
      </c>
      <c r="E328" t="n">
        <v>283.08</v>
      </c>
      <c r="F328" t="n">
        <v>251</v>
      </c>
      <c r="G328" t="n">
        <v>103.6</v>
      </c>
      <c r="H328" t="n">
        <v>147.4</v>
      </c>
      <c r="I328" t="n">
        <v>8.73</v>
      </c>
      <c r="J328" t="n">
        <v>27.2</v>
      </c>
      <c r="K328" t="n">
        <v>22.27</v>
      </c>
      <c r="L328" t="n">
        <v>32.27</v>
      </c>
      <c r="M328" t="n">
        <v>83.43000000000001</v>
      </c>
      <c r="N328" t="n">
        <v>98.3</v>
      </c>
      <c r="O328" t="n">
        <v>21.97</v>
      </c>
      <c r="P328" t="inlineStr">
        <is>
          <t>Silty Clay Loam</t>
        </is>
      </c>
      <c r="Y328" t="inlineStr">
        <is>
          <t>Wet Tillage (Puddling): 2 plowings + thorough harrowing under flooded condition</t>
        </is>
      </c>
      <c r="Z328" t="inlineStr">
        <is>
          <t>Continuous flooding 2–5 cm depth during vegetative stage; drain 2 weeks before harvest</t>
        </is>
      </c>
      <c r="AA328" t="inlineStr">
        <is>
          <t>Transplanting (Pindot) — optimal for clay-loam paddy fields</t>
        </is>
      </c>
      <c r="AP328" t="n">
        <v>2.78</v>
      </c>
    </row>
    <row r="329">
      <c r="B329" t="inlineStr">
        <is>
          <t>Palay</t>
        </is>
      </c>
      <c r="C329" t="inlineStr">
        <is>
          <t>Sta. Catalina</t>
        </is>
      </c>
      <c r="D329" t="inlineStr">
        <is>
          <t>WS 2017</t>
        </is>
      </c>
      <c r="E329" t="n">
        <v>709.8</v>
      </c>
      <c r="F329" t="n">
        <v>229</v>
      </c>
      <c r="G329" t="n">
        <v>49</v>
      </c>
      <c r="H329" t="n">
        <v>180</v>
      </c>
      <c r="I329" t="n">
        <v>8.73</v>
      </c>
      <c r="J329" t="n">
        <v>27.2</v>
      </c>
      <c r="K329" t="n">
        <v>22.27</v>
      </c>
      <c r="L329" t="n">
        <v>32.27</v>
      </c>
      <c r="M329" t="n">
        <v>83.43000000000001</v>
      </c>
      <c r="N329" t="n">
        <v>98.3</v>
      </c>
      <c r="O329" t="n">
        <v>21.97</v>
      </c>
      <c r="P329" t="inlineStr">
        <is>
          <t>Fine Sand / Sandy Loam</t>
        </is>
      </c>
      <c r="Y329" t="inlineStr">
        <is>
          <t>Minimum Tillage (avoid compaction; sandy structure fragile)</t>
        </is>
      </c>
      <c r="Z329" t="inlineStr">
        <is>
          <t>Continuous flooding or frequent irrigation; high percolation risk; terrace or bund-assisted water retention essential on slopes</t>
        </is>
      </c>
      <c r="AA329" t="inlineStr">
        <is>
          <t>Transplanting (Pindot)</t>
        </is>
      </c>
      <c r="AP329" t="n">
        <v>2.48</v>
      </c>
    </row>
    <row r="330">
      <c r="B330" t="inlineStr">
        <is>
          <t>Palay</t>
        </is>
      </c>
      <c r="C330" t="inlineStr">
        <is>
          <t>Sta. Maria Norte</t>
        </is>
      </c>
      <c r="D330" t="inlineStr">
        <is>
          <t>WS 2017</t>
        </is>
      </c>
      <c r="E330" t="n">
        <v>157.08</v>
      </c>
      <c r="F330" t="n">
        <v>68</v>
      </c>
      <c r="G330" t="n">
        <v>24.5</v>
      </c>
      <c r="H330" t="n">
        <v>43.5</v>
      </c>
      <c r="I330" t="n">
        <v>8.73</v>
      </c>
      <c r="J330" t="n">
        <v>27.2</v>
      </c>
      <c r="K330" t="n">
        <v>22.27</v>
      </c>
      <c r="L330" t="n">
        <v>32.27</v>
      </c>
      <c r="M330" t="n">
        <v>83.43000000000001</v>
      </c>
      <c r="N330" t="n">
        <v>98.3</v>
      </c>
      <c r="O330" t="n">
        <v>21.97</v>
      </c>
      <c r="P330" t="inlineStr">
        <is>
          <t>Sandy Loam</t>
        </is>
      </c>
      <c r="Y330" t="inlineStr">
        <is>
          <t>Conventional Tillage: 2 plowings + 2 harrowings; soil workable when moist</t>
        </is>
      </c>
      <c r="Z330" t="inlineStr">
        <is>
          <t>Intermittent irrigation (Alternate Wetting and Drying — AWD); moderate retention</t>
        </is>
      </c>
      <c r="AA330" t="inlineStr">
        <is>
          <t>Transplanting (Pindot) or Direct Seeding (Pinaghandaan)</t>
        </is>
      </c>
      <c r="AP330" t="n">
        <v>2.95</v>
      </c>
    </row>
    <row r="331">
      <c r="B331" t="inlineStr">
        <is>
          <t>Palay</t>
        </is>
      </c>
      <c r="C331" t="inlineStr">
        <is>
          <t>Sumabnit</t>
        </is>
      </c>
      <c r="D331" t="inlineStr">
        <is>
          <t>WS 2017</t>
        </is>
      </c>
      <c r="E331" t="n">
        <v>406.56</v>
      </c>
      <c r="F331" t="n">
        <v>257</v>
      </c>
      <c r="G331" t="n">
        <v>133.3</v>
      </c>
      <c r="H331" t="n">
        <v>123.7</v>
      </c>
      <c r="I331" t="n">
        <v>8.73</v>
      </c>
      <c r="J331" t="n">
        <v>27.2</v>
      </c>
      <c r="K331" t="n">
        <v>22.27</v>
      </c>
      <c r="L331" t="n">
        <v>32.27</v>
      </c>
      <c r="M331" t="n">
        <v>83.43000000000001</v>
      </c>
      <c r="N331" t="n">
        <v>98.3</v>
      </c>
      <c r="O331" t="n">
        <v>21.97</v>
      </c>
      <c r="P331" t="inlineStr">
        <is>
          <t>Silty Clay Loam / Fine Sandy Loam</t>
        </is>
      </c>
      <c r="Y331" t="inlineStr">
        <is>
          <t>Minimum Tillage (avoid compaction; sandy structure fragile)</t>
        </is>
      </c>
      <c r="Z331" t="inlineStr">
        <is>
          <t>Continuous flooding or frequent irrigation; high percolation risk</t>
        </is>
      </c>
      <c r="AA331" t="inlineStr">
        <is>
          <t>Transplanting (Pindot)</t>
        </is>
      </c>
      <c r="AP331" t="n">
        <v>2.85</v>
      </c>
    </row>
    <row r="332">
      <c r="B332" t="inlineStr">
        <is>
          <t>Palay</t>
        </is>
      </c>
      <c r="C332" t="inlineStr">
        <is>
          <t>Tabuyoc</t>
        </is>
      </c>
      <c r="D332" t="inlineStr">
        <is>
          <t>WS 2017</t>
        </is>
      </c>
      <c r="E332" t="n">
        <v>277.2</v>
      </c>
      <c r="F332" t="n">
        <v>139</v>
      </c>
      <c r="G332" t="n">
        <v>134</v>
      </c>
      <c r="H332" t="n">
        <v>5</v>
      </c>
      <c r="I332" t="n">
        <v>8.73</v>
      </c>
      <c r="J332" t="n">
        <v>27.2</v>
      </c>
      <c r="K332" t="n">
        <v>22.27</v>
      </c>
      <c r="L332" t="n">
        <v>32.27</v>
      </c>
      <c r="M332" t="n">
        <v>83.43000000000001</v>
      </c>
      <c r="N332" t="n">
        <v>98.3</v>
      </c>
      <c r="O332" t="n">
        <v>21.97</v>
      </c>
      <c r="P332" t="inlineStr">
        <is>
          <t>Silty Clay Loam</t>
        </is>
      </c>
      <c r="Y332" t="inlineStr">
        <is>
          <t>Wet Tillage (Puddling): 2 plowings + thorough harrowing under flooded condition</t>
        </is>
      </c>
      <c r="Z332" t="inlineStr">
        <is>
          <t>Continuous flooding 2–5 cm depth during vegetative stage; drain 2 weeks before harvest</t>
        </is>
      </c>
      <c r="AA332" t="inlineStr">
        <is>
          <t>Transplanting (Pindot) — optimal for clay-loam paddy fields</t>
        </is>
      </c>
      <c r="AP332" t="n">
        <v>2.77</v>
      </c>
    </row>
    <row r="333">
      <c r="B333" t="inlineStr">
        <is>
          <t>Palay</t>
        </is>
      </c>
      <c r="C333" t="inlineStr">
        <is>
          <t>Vacante</t>
        </is>
      </c>
      <c r="D333" t="inlineStr">
        <is>
          <t>WS 2017</t>
        </is>
      </c>
      <c r="E333" t="n">
        <v>484.68</v>
      </c>
      <c r="F333" t="n">
        <v>109</v>
      </c>
      <c r="G333" t="n">
        <v>28</v>
      </c>
      <c r="H333" t="n">
        <v>81</v>
      </c>
      <c r="I333" t="n">
        <v>8.73</v>
      </c>
      <c r="J333" t="n">
        <v>27.2</v>
      </c>
      <c r="K333" t="n">
        <v>22.27</v>
      </c>
      <c r="L333" t="n">
        <v>32.27</v>
      </c>
      <c r="M333" t="n">
        <v>83.43000000000001</v>
      </c>
      <c r="N333" t="n">
        <v>98.3</v>
      </c>
      <c r="O333" t="n">
        <v>21.97</v>
      </c>
      <c r="P333" t="inlineStr">
        <is>
          <t>Silty Clay Loam</t>
        </is>
      </c>
      <c r="Y333" t="inlineStr">
        <is>
          <t>Wet Tillage (Puddling): 2 plowings + thorough harrowing under flooded condition</t>
        </is>
      </c>
      <c r="Z333" t="inlineStr">
        <is>
          <t>Continuous flooding 2–5 cm depth during vegetative stage; drain 2 weeks before harvest</t>
        </is>
      </c>
      <c r="AA333" t="inlineStr">
        <is>
          <t>Transplanting (Pindot) — optimal for clay-loam paddy fields</t>
        </is>
      </c>
      <c r="AP333" t="n">
        <v>2</v>
      </c>
    </row>
    <row r="334">
      <c r="B334" t="inlineStr">
        <is>
          <t>Palay</t>
        </is>
      </c>
      <c r="C334" t="inlineStr">
        <is>
          <t>Balangobong</t>
        </is>
      </c>
      <c r="D334" t="inlineStr">
        <is>
          <t>WS 2018</t>
        </is>
      </c>
      <c r="E334" t="n">
        <v>281.4</v>
      </c>
      <c r="F334" t="n">
        <v>135</v>
      </c>
      <c r="G334" t="n">
        <v>120</v>
      </c>
      <c r="H334" t="n">
        <v>15</v>
      </c>
      <c r="I334" t="n">
        <v>18.3</v>
      </c>
      <c r="J334" t="n">
        <v>26.62</v>
      </c>
      <c r="K334" t="n">
        <v>22.61</v>
      </c>
      <c r="L334" t="n">
        <v>33.57</v>
      </c>
      <c r="M334" t="n">
        <v>86.8</v>
      </c>
      <c r="N334" t="n">
        <v>98.13</v>
      </c>
      <c r="O334" t="n">
        <v>16.51</v>
      </c>
      <c r="P334" t="inlineStr">
        <is>
          <t>Silty Clay Loam</t>
        </is>
      </c>
      <c r="Y334" t="inlineStr">
        <is>
          <t>Wet Tillage (Puddling): 2 plowings + thorough harrowing under flooded condition</t>
        </is>
      </c>
      <c r="Z334" t="inlineStr">
        <is>
          <t>Continuous flooding 2–5 cm depth during vegetative stage; drain 2 weeks before harvest</t>
        </is>
      </c>
      <c r="AA334" t="inlineStr">
        <is>
          <t>Transplanting (Pindot) — optimal for clay-loam paddy fields</t>
        </is>
      </c>
      <c r="AP334" t="n">
        <v>3.82</v>
      </c>
    </row>
    <row r="335">
      <c r="B335" t="inlineStr">
        <is>
          <t>Palay</t>
        </is>
      </c>
      <c r="C335" t="inlineStr">
        <is>
          <t>Bued</t>
        </is>
      </c>
      <c r="D335" t="inlineStr">
        <is>
          <t>WS 2018</t>
        </is>
      </c>
      <c r="E335" t="n">
        <v>210.84</v>
      </c>
      <c r="F335" t="n">
        <v>94</v>
      </c>
      <c r="G335" t="n">
        <v>56.5</v>
      </c>
      <c r="H335" t="n">
        <v>37.5</v>
      </c>
      <c r="I335" t="n">
        <v>18.3</v>
      </c>
      <c r="J335" t="n">
        <v>26.62</v>
      </c>
      <c r="K335" t="n">
        <v>22.61</v>
      </c>
      <c r="L335" t="n">
        <v>33.57</v>
      </c>
      <c r="M335" t="n">
        <v>86.8</v>
      </c>
      <c r="N335" t="n">
        <v>98.13</v>
      </c>
      <c r="O335" t="n">
        <v>16.51</v>
      </c>
      <c r="P335" t="inlineStr">
        <is>
          <t>Silty Clay Loam</t>
        </is>
      </c>
      <c r="Y335" t="inlineStr">
        <is>
          <t>Wet Tillage (Puddling): 2 plowings + thorough harrowing under flooded condition</t>
        </is>
      </c>
      <c r="Z335" t="inlineStr">
        <is>
          <t>Continuous flooding 2–5 cm depth during vegetative stage; drain 2 weeks before harvest</t>
        </is>
      </c>
      <c r="AA335" t="inlineStr">
        <is>
          <t>Transplanting (Pindot) — optimal for clay-loam paddy fields</t>
        </is>
      </c>
      <c r="AP335" t="n">
        <v>4.68</v>
      </c>
    </row>
    <row r="336">
      <c r="B336" t="inlineStr">
        <is>
          <t>Palay</t>
        </is>
      </c>
      <c r="C336" t="inlineStr">
        <is>
          <t>Bugayong</t>
        </is>
      </c>
      <c r="D336" t="inlineStr">
        <is>
          <t>WS 2018</t>
        </is>
      </c>
      <c r="E336" t="n">
        <v>346.08</v>
      </c>
      <c r="F336" t="n">
        <v>78</v>
      </c>
      <c r="G336" t="n">
        <v>25.95</v>
      </c>
      <c r="H336" t="n">
        <v>52.05</v>
      </c>
      <c r="I336" t="n">
        <v>18.3</v>
      </c>
      <c r="J336" t="n">
        <v>26.62</v>
      </c>
      <c r="K336" t="n">
        <v>22.61</v>
      </c>
      <c r="L336" t="n">
        <v>33.57</v>
      </c>
      <c r="M336" t="n">
        <v>86.8</v>
      </c>
      <c r="N336" t="n">
        <v>98.13</v>
      </c>
      <c r="O336" t="n">
        <v>16.51</v>
      </c>
      <c r="P336" t="inlineStr">
        <is>
          <t>Sandy Loam / Silty Clay Loam</t>
        </is>
      </c>
      <c r="Y336" t="inlineStr">
        <is>
          <t>Conventional Tillage: 2 plowings + harrowing; puddle thoroughly for transplanting</t>
        </is>
      </c>
      <c r="Z336" t="inlineStr">
        <is>
          <t>Intermittent to continuous flooding; manage according to drainage section present</t>
        </is>
      </c>
      <c r="AA336" t="inlineStr">
        <is>
          <t>Transplanting (Pindot) — recommended; Direct Seeding possible in dry season</t>
        </is>
      </c>
      <c r="AP336" t="n">
        <v>8</v>
      </c>
    </row>
    <row r="337">
      <c r="B337" t="inlineStr">
        <is>
          <t>Palay</t>
        </is>
      </c>
      <c r="C337" t="inlineStr">
        <is>
          <t>Camanggaan</t>
        </is>
      </c>
      <c r="D337" t="inlineStr">
        <is>
          <t>WS 2018</t>
        </is>
      </c>
      <c r="E337" t="n">
        <v>244.44</v>
      </c>
      <c r="F337" t="n">
        <v>87</v>
      </c>
      <c r="G337" t="n">
        <v>19</v>
      </c>
      <c r="H337" t="n">
        <v>68</v>
      </c>
      <c r="I337" t="n">
        <v>18.3</v>
      </c>
      <c r="J337" t="n">
        <v>26.62</v>
      </c>
      <c r="K337" t="n">
        <v>22.61</v>
      </c>
      <c r="L337" t="n">
        <v>33.57</v>
      </c>
      <c r="M337" t="n">
        <v>86.8</v>
      </c>
      <c r="N337" t="n">
        <v>98.13</v>
      </c>
      <c r="O337" t="n">
        <v>16.51</v>
      </c>
      <c r="P337" t="inlineStr">
        <is>
          <t>Sandy Loam</t>
        </is>
      </c>
      <c r="Y337" t="inlineStr">
        <is>
          <t>Conventional Tillage: 2 plowings + 2 harrowings; soil workable when moist</t>
        </is>
      </c>
      <c r="Z337" t="inlineStr">
        <is>
          <t>Intermittent irrigation (Alternate Wetting and Drying — AWD); moderate retention</t>
        </is>
      </c>
      <c r="AA337" t="inlineStr">
        <is>
          <t>Transplanting (Pindot) or Direct Seeding (Pinaghandaan)</t>
        </is>
      </c>
      <c r="AP337" t="n">
        <v>3.8</v>
      </c>
    </row>
    <row r="338">
      <c r="B338" t="inlineStr">
        <is>
          <t>Palay</t>
        </is>
      </c>
      <c r="C338" t="inlineStr">
        <is>
          <t>Capas</t>
        </is>
      </c>
      <c r="D338" t="inlineStr">
        <is>
          <t>WS 2018</t>
        </is>
      </c>
      <c r="E338" t="n">
        <v>377.16</v>
      </c>
      <c r="F338" t="n">
        <v>303</v>
      </c>
      <c r="G338" t="n">
        <v>139</v>
      </c>
      <c r="H338" t="n">
        <v>164</v>
      </c>
      <c r="I338" t="n">
        <v>18.3</v>
      </c>
      <c r="J338" t="n">
        <v>26.62</v>
      </c>
      <c r="K338" t="n">
        <v>22.61</v>
      </c>
      <c r="L338" t="n">
        <v>33.57</v>
      </c>
      <c r="M338" t="n">
        <v>86.8</v>
      </c>
      <c r="N338" t="n">
        <v>98.13</v>
      </c>
      <c r="O338" t="n">
        <v>16.51</v>
      </c>
      <c r="P338" t="inlineStr">
        <is>
          <t>Sandy Loam</t>
        </is>
      </c>
      <c r="Y338" t="inlineStr">
        <is>
          <t>Conventional Tillage: 2 plowings + 2 harrowings; soil workable when moist</t>
        </is>
      </c>
      <c r="Z338" t="inlineStr">
        <is>
          <t>Intermittent irrigation (Alternate Wetting and Drying — AWD); moderate retention</t>
        </is>
      </c>
      <c r="AA338" t="inlineStr">
        <is>
          <t>Transplanting (Pindot) or Direct Seeding (Pinaghandaan)</t>
        </is>
      </c>
      <c r="AP338" t="n">
        <v>5.44</v>
      </c>
    </row>
    <row r="339">
      <c r="B339" t="inlineStr">
        <is>
          <t>Palay</t>
        </is>
      </c>
      <c r="C339" t="inlineStr">
        <is>
          <t>Cili</t>
        </is>
      </c>
      <c r="D339" t="inlineStr">
        <is>
          <t>WS 2018</t>
        </is>
      </c>
      <c r="E339" t="n">
        <v>264.6</v>
      </c>
      <c r="F339" t="n">
        <v>168</v>
      </c>
      <c r="G339" t="n">
        <v>40</v>
      </c>
      <c r="H339" t="n">
        <v>128</v>
      </c>
      <c r="I339" t="n">
        <v>18.3</v>
      </c>
      <c r="J339" t="n">
        <v>26.62</v>
      </c>
      <c r="K339" t="n">
        <v>22.61</v>
      </c>
      <c r="L339" t="n">
        <v>33.57</v>
      </c>
      <c r="M339" t="n">
        <v>86.8</v>
      </c>
      <c r="N339" t="n">
        <v>98.13</v>
      </c>
      <c r="O339" t="n">
        <v>16.51</v>
      </c>
      <c r="P339" t="inlineStr">
        <is>
          <t>Silty Clay Loam</t>
        </is>
      </c>
      <c r="Y339" t="inlineStr">
        <is>
          <t>Wet Tillage (Puddling): 2 plowings + thorough harrowing under flooded condition</t>
        </is>
      </c>
      <c r="Z339" t="inlineStr">
        <is>
          <t>Continuous flooding 2–5 cm depth during vegetative stage; drain 2 weeks before harvest</t>
        </is>
      </c>
      <c r="AA339" t="inlineStr">
        <is>
          <t>Transplanting (Pindot) — optimal for clay-loam paddy fields</t>
        </is>
      </c>
      <c r="AP339" t="n">
        <v>0.89</v>
      </c>
    </row>
    <row r="340">
      <c r="B340" t="inlineStr">
        <is>
          <t>Palay</t>
        </is>
      </c>
      <c r="C340" t="inlineStr">
        <is>
          <t>Dumayat</t>
        </is>
      </c>
      <c r="D340" t="inlineStr">
        <is>
          <t>WS 2018</t>
        </is>
      </c>
      <c r="E340" t="n">
        <v>266.28</v>
      </c>
      <c r="F340" t="n">
        <v>86</v>
      </c>
      <c r="G340" t="n">
        <v>56</v>
      </c>
      <c r="H340" t="n">
        <v>30</v>
      </c>
      <c r="I340" t="n">
        <v>18.3</v>
      </c>
      <c r="J340" t="n">
        <v>26.62</v>
      </c>
      <c r="K340" t="n">
        <v>22.61</v>
      </c>
      <c r="L340" t="n">
        <v>33.57</v>
      </c>
      <c r="M340" t="n">
        <v>86.8</v>
      </c>
      <c r="N340" t="n">
        <v>98.13</v>
      </c>
      <c r="O340" t="n">
        <v>16.51</v>
      </c>
      <c r="P340" t="inlineStr">
        <is>
          <t>Silty Clay Loam</t>
        </is>
      </c>
      <c r="Y340" t="inlineStr">
        <is>
          <t>Wet Tillage (Puddling): 2 plowings + thorough harrowing under flooded condition</t>
        </is>
      </c>
      <c r="Z340" t="inlineStr">
        <is>
          <t>Continuous flooding 2–5 cm depth during vegetative stage; drain 2 weeks before harvest</t>
        </is>
      </c>
      <c r="AA340" t="inlineStr">
        <is>
          <t>Transplanting (Pindot) — optimal for clay-loam paddy fields</t>
        </is>
      </c>
      <c r="AP340" t="n">
        <v>0.9399999999999999</v>
      </c>
    </row>
    <row r="341">
      <c r="B341" t="inlineStr">
        <is>
          <t>Palay</t>
        </is>
      </c>
      <c r="C341" t="inlineStr">
        <is>
          <t>Linmansangan</t>
        </is>
      </c>
      <c r="D341" t="inlineStr">
        <is>
          <t>WS 2018</t>
        </is>
      </c>
      <c r="E341" t="n">
        <v>492.24</v>
      </c>
      <c r="F341" t="n">
        <v>216</v>
      </c>
      <c r="G341" t="n">
        <v>65.5</v>
      </c>
      <c r="H341" t="n">
        <v>150.5</v>
      </c>
      <c r="I341" t="n">
        <v>18.3</v>
      </c>
      <c r="J341" t="n">
        <v>26.62</v>
      </c>
      <c r="K341" t="n">
        <v>22.61</v>
      </c>
      <c r="L341" t="n">
        <v>33.57</v>
      </c>
      <c r="M341" t="n">
        <v>86.8</v>
      </c>
      <c r="N341" t="n">
        <v>98.13</v>
      </c>
      <c r="O341" t="n">
        <v>16.51</v>
      </c>
      <c r="P341" t="inlineStr">
        <is>
          <t>Silty Clay Loam</t>
        </is>
      </c>
      <c r="Y341" t="inlineStr">
        <is>
          <t>Wet Tillage (Puddling): 2 plowings + thorough harrowing under flooded condition</t>
        </is>
      </c>
      <c r="Z341" t="inlineStr">
        <is>
          <t>Continuous flooding 2–5 cm depth during vegetative stage; drain 2 weeks before harvest</t>
        </is>
      </c>
      <c r="AA341" t="inlineStr">
        <is>
          <t>Transplanting (Pindot) — optimal for clay-loam paddy fields</t>
        </is>
      </c>
      <c r="AP341" t="n">
        <v>0.11</v>
      </c>
    </row>
    <row r="342">
      <c r="B342" t="inlineStr">
        <is>
          <t>Palay</t>
        </is>
      </c>
      <c r="C342" t="inlineStr">
        <is>
          <t>Mangkasuy</t>
        </is>
      </c>
      <c r="D342" t="inlineStr">
        <is>
          <t>WS 2018</t>
        </is>
      </c>
      <c r="E342" t="n">
        <v>802.2</v>
      </c>
      <c r="F342" t="n">
        <v>352</v>
      </c>
      <c r="G342" t="n">
        <v>90</v>
      </c>
      <c r="H342" t="n">
        <v>262</v>
      </c>
      <c r="I342" t="n">
        <v>18.3</v>
      </c>
      <c r="J342" t="n">
        <v>26.62</v>
      </c>
      <c r="K342" t="n">
        <v>22.61</v>
      </c>
      <c r="L342" t="n">
        <v>33.57</v>
      </c>
      <c r="M342" t="n">
        <v>86.8</v>
      </c>
      <c r="N342" t="n">
        <v>98.13</v>
      </c>
      <c r="O342" t="n">
        <v>16.51</v>
      </c>
      <c r="P342" t="inlineStr">
        <is>
          <t>Sandy Loam</t>
        </is>
      </c>
      <c r="Y342" t="inlineStr">
        <is>
          <t>Conventional Tillage: 2 plowings + 2 harrowings; soil workable when moist</t>
        </is>
      </c>
      <c r="Z342" t="inlineStr">
        <is>
          <t>Intermittent irrigation (Alternate Wetting and Drying — AWD); moderate retention</t>
        </is>
      </c>
      <c r="AA342" t="inlineStr">
        <is>
          <t>Transplanting (Pindot) or Direct Seeding (Pinaghandaan)</t>
        </is>
      </c>
      <c r="AP342" t="n">
        <v>4.25</v>
      </c>
    </row>
    <row r="343">
      <c r="B343" t="inlineStr">
        <is>
          <t>Palay</t>
        </is>
      </c>
      <c r="C343" t="inlineStr">
        <is>
          <t>Moreno</t>
        </is>
      </c>
      <c r="D343" t="inlineStr">
        <is>
          <t>WS 2018</t>
        </is>
      </c>
      <c r="E343" t="n">
        <v>641.76</v>
      </c>
      <c r="F343" t="n">
        <v>164</v>
      </c>
      <c r="G343" t="n">
        <v>47.4</v>
      </c>
      <c r="H343" t="n">
        <v>116.6</v>
      </c>
      <c r="I343" t="n">
        <v>18.3</v>
      </c>
      <c r="J343" t="n">
        <v>26.62</v>
      </c>
      <c r="K343" t="n">
        <v>22.61</v>
      </c>
      <c r="L343" t="n">
        <v>33.57</v>
      </c>
      <c r="M343" t="n">
        <v>86.8</v>
      </c>
      <c r="N343" t="n">
        <v>98.13</v>
      </c>
      <c r="O343" t="n">
        <v>16.51</v>
      </c>
      <c r="P343" t="inlineStr">
        <is>
          <t>Sandy Loam</t>
        </is>
      </c>
      <c r="Y343" t="inlineStr">
        <is>
          <t>Conventional Tillage: 2 plowings + 2 harrowings; soil workable when moist</t>
        </is>
      </c>
      <c r="Z343" t="inlineStr">
        <is>
          <t>Intermittent irrigation (Alternate Wetting and Drying — AWD); moderate retention; terrace or bund-assisted water retention essential on slopes</t>
        </is>
      </c>
      <c r="AA343" t="inlineStr">
        <is>
          <t>Transplanting (Pindot) or Direct Seeding (Pinaghandaan)</t>
        </is>
      </c>
      <c r="AP343" t="n">
        <v>4.73</v>
      </c>
    </row>
    <row r="344">
      <c r="B344" t="inlineStr">
        <is>
          <t>Palay</t>
        </is>
      </c>
      <c r="C344" t="inlineStr">
        <is>
          <t>Pasileng Norte</t>
        </is>
      </c>
      <c r="D344" t="inlineStr">
        <is>
          <t>WS 2018</t>
        </is>
      </c>
      <c r="E344" t="n">
        <v>140.28</v>
      </c>
      <c r="F344" t="n">
        <v>81</v>
      </c>
      <c r="G344" t="n">
        <v>78.34999999999999</v>
      </c>
      <c r="H344" t="n">
        <v>2.65</v>
      </c>
      <c r="I344" t="n">
        <v>18.3</v>
      </c>
      <c r="J344" t="n">
        <v>26.62</v>
      </c>
      <c r="K344" t="n">
        <v>22.61</v>
      </c>
      <c r="L344" t="n">
        <v>33.57</v>
      </c>
      <c r="M344" t="n">
        <v>86.8</v>
      </c>
      <c r="N344" t="n">
        <v>98.13</v>
      </c>
      <c r="O344" t="n">
        <v>16.51</v>
      </c>
      <c r="P344" t="inlineStr">
        <is>
          <t>Sandy Loam</t>
        </is>
      </c>
      <c r="Y344" t="inlineStr">
        <is>
          <t>Conventional Tillage: 2 plowings + 2 harrowings; soil workable when moist</t>
        </is>
      </c>
      <c r="Z344" t="inlineStr">
        <is>
          <t>Intermittent irrigation (Alternate Wetting and Drying — AWD); moderate retention</t>
        </is>
      </c>
      <c r="AA344" t="inlineStr">
        <is>
          <t>Transplanting (Pindot) or Direct Seeding (Pinaghandaan)</t>
        </is>
      </c>
      <c r="AP344" t="n">
        <v>8</v>
      </c>
    </row>
    <row r="345">
      <c r="B345" t="inlineStr">
        <is>
          <t>Palay</t>
        </is>
      </c>
      <c r="C345" t="inlineStr">
        <is>
          <t>Pasileng Sur</t>
        </is>
      </c>
      <c r="D345" t="inlineStr">
        <is>
          <t>WS 2018</t>
        </is>
      </c>
      <c r="E345" t="n">
        <v>414.96</v>
      </c>
      <c r="F345" t="n">
        <v>180</v>
      </c>
      <c r="G345" t="n">
        <v>150.9</v>
      </c>
      <c r="H345" t="n">
        <v>29.1</v>
      </c>
      <c r="I345" t="n">
        <v>18.3</v>
      </c>
      <c r="J345" t="n">
        <v>26.62</v>
      </c>
      <c r="K345" t="n">
        <v>22.61</v>
      </c>
      <c r="L345" t="n">
        <v>33.57</v>
      </c>
      <c r="M345" t="n">
        <v>86.8</v>
      </c>
      <c r="N345" t="n">
        <v>98.13</v>
      </c>
      <c r="O345" t="n">
        <v>16.51</v>
      </c>
      <c r="P345" t="inlineStr">
        <is>
          <t>Sandy Loam</t>
        </is>
      </c>
      <c r="Y345" t="inlineStr">
        <is>
          <t>Conventional Tillage: 2 plowings + 2 harrowings; soil workable when moist</t>
        </is>
      </c>
      <c r="Z345" t="inlineStr">
        <is>
          <t>Intermittent irrigation (Alternate Wetting and Drying — AWD); moderate retention</t>
        </is>
      </c>
      <c r="AA345" t="inlineStr">
        <is>
          <t>Transplanting (Pindot) or Direct Seeding (Pinaghandaan)</t>
        </is>
      </c>
      <c r="AP345" t="n">
        <v>5.23</v>
      </c>
    </row>
    <row r="346">
      <c r="B346" t="inlineStr">
        <is>
          <t>Palay</t>
        </is>
      </c>
      <c r="C346" t="inlineStr">
        <is>
          <t>San Felipe Central</t>
        </is>
      </c>
      <c r="D346" t="inlineStr">
        <is>
          <t>WS 2018</t>
        </is>
      </c>
      <c r="E346" t="n">
        <v>452.76</v>
      </c>
      <c r="F346" t="n">
        <v>179</v>
      </c>
      <c r="G346" t="n">
        <v>117</v>
      </c>
      <c r="H346" t="n">
        <v>62</v>
      </c>
      <c r="I346" t="n">
        <v>18.3</v>
      </c>
      <c r="J346" t="n">
        <v>26.62</v>
      </c>
      <c r="K346" t="n">
        <v>22.61</v>
      </c>
      <c r="L346" t="n">
        <v>33.57</v>
      </c>
      <c r="M346" t="n">
        <v>86.8</v>
      </c>
      <c r="N346" t="n">
        <v>98.13</v>
      </c>
      <c r="O346" t="n">
        <v>16.51</v>
      </c>
      <c r="P346" t="inlineStr">
        <is>
          <t>Sandy Loam</t>
        </is>
      </c>
      <c r="Y346" t="inlineStr">
        <is>
          <t>Conventional Tillage: 2 plowings + 2 harrowings; soil workable when moist</t>
        </is>
      </c>
      <c r="Z346" t="inlineStr">
        <is>
          <t>Intermittent irrigation (Alternate Wetting and Drying — AWD); moderate retention</t>
        </is>
      </c>
      <c r="AA346" t="inlineStr">
        <is>
          <t>Transplanting (Pindot) or Direct Seeding (Pinaghandaan)</t>
        </is>
      </c>
      <c r="AP346" t="n">
        <v>3.9</v>
      </c>
    </row>
    <row r="347">
      <c r="B347" t="inlineStr">
        <is>
          <t>Palay</t>
        </is>
      </c>
      <c r="C347" t="inlineStr">
        <is>
          <t>San Felipe Sur</t>
        </is>
      </c>
      <c r="D347" t="inlineStr">
        <is>
          <t>WS 2018</t>
        </is>
      </c>
      <c r="E347" t="n">
        <v>504</v>
      </c>
      <c r="F347" t="n">
        <v>178</v>
      </c>
      <c r="G347" t="n">
        <v>127.5</v>
      </c>
      <c r="H347" t="n">
        <v>50.5</v>
      </c>
      <c r="I347" t="n">
        <v>18.3</v>
      </c>
      <c r="J347" t="n">
        <v>26.62</v>
      </c>
      <c r="K347" t="n">
        <v>22.61</v>
      </c>
      <c r="L347" t="n">
        <v>33.57</v>
      </c>
      <c r="M347" t="n">
        <v>86.8</v>
      </c>
      <c r="N347" t="n">
        <v>98.13</v>
      </c>
      <c r="O347" t="n">
        <v>16.51</v>
      </c>
      <c r="P347" t="inlineStr">
        <is>
          <t>Sandy Loam</t>
        </is>
      </c>
      <c r="Y347" t="inlineStr">
        <is>
          <t>Conventional Tillage: 2 plowings + 2 harrowings; soil workable when moist</t>
        </is>
      </c>
      <c r="Z347" t="inlineStr">
        <is>
          <t>Intermittent irrigation (Alternate Wetting and Drying — AWD); moderate retention</t>
        </is>
      </c>
      <c r="AA347" t="inlineStr">
        <is>
          <t>Transplanting (Pindot) or Direct Seeding (Pinaghandaan)</t>
        </is>
      </c>
      <c r="AP347" t="n">
        <v>4</v>
      </c>
    </row>
    <row r="348">
      <c r="B348" t="inlineStr">
        <is>
          <t>Palay</t>
        </is>
      </c>
      <c r="C348" t="inlineStr">
        <is>
          <t>San Pablo</t>
        </is>
      </c>
      <c r="D348" t="inlineStr">
        <is>
          <t>WS 2018</t>
        </is>
      </c>
      <c r="E348" t="n">
        <v>215.04</v>
      </c>
      <c r="F348" t="n">
        <v>134</v>
      </c>
      <c r="G348" t="n">
        <v>103.5</v>
      </c>
      <c r="H348" t="n">
        <v>30.5</v>
      </c>
      <c r="I348" t="n">
        <v>18.3</v>
      </c>
      <c r="J348" t="n">
        <v>26.62</v>
      </c>
      <c r="K348" t="n">
        <v>22.61</v>
      </c>
      <c r="L348" t="n">
        <v>33.57</v>
      </c>
      <c r="M348" t="n">
        <v>86.8</v>
      </c>
      <c r="N348" t="n">
        <v>98.13</v>
      </c>
      <c r="O348" t="n">
        <v>16.51</v>
      </c>
      <c r="P348" t="inlineStr">
        <is>
          <t>Sandy Loam</t>
        </is>
      </c>
      <c r="Y348" t="inlineStr">
        <is>
          <t>Conventional Tillage: 2 plowings + 2 harrowings; soil workable when moist</t>
        </is>
      </c>
      <c r="Z348" t="inlineStr">
        <is>
          <t>Intermittent irrigation (Alternate Wetting and Drying — AWD); moderate retention</t>
        </is>
      </c>
      <c r="AA348" t="inlineStr">
        <is>
          <t>Transplanting (Pindot) or Direct Seeding (Pinaghandaan)</t>
        </is>
      </c>
      <c r="AP348" t="n">
        <v>4.81</v>
      </c>
    </row>
    <row r="349">
      <c r="B349" t="inlineStr">
        <is>
          <t>Palay</t>
        </is>
      </c>
      <c r="C349" t="inlineStr">
        <is>
          <t>Santiago</t>
        </is>
      </c>
      <c r="D349" t="inlineStr">
        <is>
          <t>WS 2018</t>
        </is>
      </c>
      <c r="E349" t="n">
        <v>283.08</v>
      </c>
      <c r="F349" t="n">
        <v>251</v>
      </c>
      <c r="G349" t="n">
        <v>103.6</v>
      </c>
      <c r="H349" t="n">
        <v>147.4</v>
      </c>
      <c r="I349" t="n">
        <v>18.3</v>
      </c>
      <c r="J349" t="n">
        <v>26.62</v>
      </c>
      <c r="K349" t="n">
        <v>22.61</v>
      </c>
      <c r="L349" t="n">
        <v>33.57</v>
      </c>
      <c r="M349" t="n">
        <v>86.8</v>
      </c>
      <c r="N349" t="n">
        <v>98.13</v>
      </c>
      <c r="O349" t="n">
        <v>16.51</v>
      </c>
      <c r="P349" t="inlineStr">
        <is>
          <t>Silty Clay Loam</t>
        </is>
      </c>
      <c r="Y349" t="inlineStr">
        <is>
          <t>Wet Tillage (Puddling): 2 plowings + thorough harrowing under flooded condition</t>
        </is>
      </c>
      <c r="Z349" t="inlineStr">
        <is>
          <t>Continuous flooding 2–5 cm depth during vegetative stage; drain 2 weeks before harvest</t>
        </is>
      </c>
      <c r="AA349" t="inlineStr">
        <is>
          <t>Transplanting (Pindot) — optimal for clay-loam paddy fields</t>
        </is>
      </c>
      <c r="AP349" t="n">
        <v>3.38</v>
      </c>
    </row>
    <row r="350">
      <c r="B350" t="inlineStr">
        <is>
          <t>Palay</t>
        </is>
      </c>
      <c r="C350" t="inlineStr">
        <is>
          <t>Sta. Catalina</t>
        </is>
      </c>
      <c r="D350" t="inlineStr">
        <is>
          <t>WS 2018</t>
        </is>
      </c>
      <c r="E350" t="n">
        <v>709.8</v>
      </c>
      <c r="F350" t="n">
        <v>229</v>
      </c>
      <c r="G350" t="n">
        <v>49</v>
      </c>
      <c r="H350" t="n">
        <v>180</v>
      </c>
      <c r="I350" t="n">
        <v>18.3</v>
      </c>
      <c r="J350" t="n">
        <v>26.62</v>
      </c>
      <c r="K350" t="n">
        <v>22.61</v>
      </c>
      <c r="L350" t="n">
        <v>33.57</v>
      </c>
      <c r="M350" t="n">
        <v>86.8</v>
      </c>
      <c r="N350" t="n">
        <v>98.13</v>
      </c>
      <c r="O350" t="n">
        <v>16.51</v>
      </c>
      <c r="P350" t="inlineStr">
        <is>
          <t>Fine Sand / Sandy Loam</t>
        </is>
      </c>
      <c r="Y350" t="inlineStr">
        <is>
          <t>Minimum Tillage (avoid compaction; sandy structure fragile)</t>
        </is>
      </c>
      <c r="Z350" t="inlineStr">
        <is>
          <t>Continuous flooding or frequent irrigation; high percolation risk; terrace or bund-assisted water retention essential on slopes</t>
        </is>
      </c>
      <c r="AA350" t="inlineStr">
        <is>
          <t>Transplanting (Pindot)</t>
        </is>
      </c>
      <c r="AP350" t="n">
        <v>2.33</v>
      </c>
    </row>
    <row r="351">
      <c r="B351" t="inlineStr">
        <is>
          <t>Palay</t>
        </is>
      </c>
      <c r="C351" t="inlineStr">
        <is>
          <t>Sta. Maria Norte</t>
        </is>
      </c>
      <c r="D351" t="inlineStr">
        <is>
          <t>WS 2018</t>
        </is>
      </c>
      <c r="E351" t="n">
        <v>157.08</v>
      </c>
      <c r="F351" t="n">
        <v>68</v>
      </c>
      <c r="G351" t="n">
        <v>24.5</v>
      </c>
      <c r="H351" t="n">
        <v>43.5</v>
      </c>
      <c r="I351" t="n">
        <v>18.3</v>
      </c>
      <c r="J351" t="n">
        <v>26.62</v>
      </c>
      <c r="K351" t="n">
        <v>22.61</v>
      </c>
      <c r="L351" t="n">
        <v>33.57</v>
      </c>
      <c r="M351" t="n">
        <v>86.8</v>
      </c>
      <c r="N351" t="n">
        <v>98.13</v>
      </c>
      <c r="O351" t="n">
        <v>16.51</v>
      </c>
      <c r="P351" t="inlineStr">
        <is>
          <t>Sandy Loam</t>
        </is>
      </c>
      <c r="Y351" t="inlineStr">
        <is>
          <t>Conventional Tillage: 2 plowings + 2 harrowings; soil workable when moist</t>
        </is>
      </c>
      <c r="Z351" t="inlineStr">
        <is>
          <t>Intermittent irrigation (Alternate Wetting and Drying — AWD); moderate retention</t>
        </is>
      </c>
      <c r="AA351" t="inlineStr">
        <is>
          <t>Transplanting (Pindot) or Direct Seeding (Pinaghandaan)</t>
        </is>
      </c>
      <c r="AP351" t="n">
        <v>3.5</v>
      </c>
    </row>
    <row r="352">
      <c r="B352" t="inlineStr">
        <is>
          <t>Palay</t>
        </is>
      </c>
      <c r="C352" t="inlineStr">
        <is>
          <t>Sumabnit</t>
        </is>
      </c>
      <c r="D352" t="inlineStr">
        <is>
          <t>WS 2018</t>
        </is>
      </c>
      <c r="E352" t="n">
        <v>406.56</v>
      </c>
      <c r="F352" t="n">
        <v>257</v>
      </c>
      <c r="G352" t="n">
        <v>133.3</v>
      </c>
      <c r="H352" t="n">
        <v>123.7</v>
      </c>
      <c r="I352" t="n">
        <v>18.3</v>
      </c>
      <c r="J352" t="n">
        <v>26.62</v>
      </c>
      <c r="K352" t="n">
        <v>22.61</v>
      </c>
      <c r="L352" t="n">
        <v>33.57</v>
      </c>
      <c r="M352" t="n">
        <v>86.8</v>
      </c>
      <c r="N352" t="n">
        <v>98.13</v>
      </c>
      <c r="O352" t="n">
        <v>16.51</v>
      </c>
      <c r="P352" t="inlineStr">
        <is>
          <t>Silty Clay Loam / Fine Sandy Loam</t>
        </is>
      </c>
      <c r="Y352" t="inlineStr">
        <is>
          <t>Minimum Tillage (avoid compaction; sandy structure fragile)</t>
        </is>
      </c>
      <c r="Z352" t="inlineStr">
        <is>
          <t>Continuous flooding or frequent irrigation; high percolation risk</t>
        </is>
      </c>
      <c r="AA352" t="inlineStr">
        <is>
          <t>Transplanting (Pindot)</t>
        </is>
      </c>
      <c r="AP352" t="n">
        <v>2.06</v>
      </c>
    </row>
    <row r="353">
      <c r="B353" t="inlineStr">
        <is>
          <t>Palay</t>
        </is>
      </c>
      <c r="C353" t="inlineStr">
        <is>
          <t>Tabuyoc</t>
        </is>
      </c>
      <c r="D353" t="inlineStr">
        <is>
          <t>WS 2018</t>
        </is>
      </c>
      <c r="E353" t="n">
        <v>277.2</v>
      </c>
      <c r="F353" t="n">
        <v>139</v>
      </c>
      <c r="G353" t="n">
        <v>134</v>
      </c>
      <c r="H353" t="n">
        <v>5</v>
      </c>
      <c r="I353" t="n">
        <v>18.3</v>
      </c>
      <c r="J353" t="n">
        <v>26.62</v>
      </c>
      <c r="K353" t="n">
        <v>22.61</v>
      </c>
      <c r="L353" t="n">
        <v>33.57</v>
      </c>
      <c r="M353" t="n">
        <v>86.8</v>
      </c>
      <c r="N353" t="n">
        <v>98.13</v>
      </c>
      <c r="O353" t="n">
        <v>16.51</v>
      </c>
      <c r="P353" t="inlineStr">
        <is>
          <t>Silty Clay Loam</t>
        </is>
      </c>
      <c r="Y353" t="inlineStr">
        <is>
          <t>Wet Tillage (Puddling): 2 plowings + thorough harrowing under flooded condition</t>
        </is>
      </c>
      <c r="Z353" t="inlineStr">
        <is>
          <t>Continuous flooding 2–5 cm depth during vegetative stage; drain 2 weeks before harvest</t>
        </is>
      </c>
      <c r="AA353" t="inlineStr">
        <is>
          <t>Transplanting (Pindot) — optimal for clay-loam paddy fields</t>
        </is>
      </c>
      <c r="AP353" t="n">
        <v>2.86</v>
      </c>
    </row>
    <row r="354">
      <c r="B354" t="inlineStr">
        <is>
          <t>Palay</t>
        </is>
      </c>
      <c r="C354" t="inlineStr">
        <is>
          <t>Vacante</t>
        </is>
      </c>
      <c r="D354" t="inlineStr">
        <is>
          <t>WS 2018</t>
        </is>
      </c>
      <c r="E354" t="n">
        <v>484.68</v>
      </c>
      <c r="F354" t="n">
        <v>109</v>
      </c>
      <c r="G354" t="n">
        <v>28</v>
      </c>
      <c r="H354" t="n">
        <v>81</v>
      </c>
      <c r="I354" t="n">
        <v>18.3</v>
      </c>
      <c r="J354" t="n">
        <v>26.62</v>
      </c>
      <c r="K354" t="n">
        <v>22.61</v>
      </c>
      <c r="L354" t="n">
        <v>33.57</v>
      </c>
      <c r="M354" t="n">
        <v>86.8</v>
      </c>
      <c r="N354" t="n">
        <v>98.13</v>
      </c>
      <c r="O354" t="n">
        <v>16.51</v>
      </c>
      <c r="P354" t="inlineStr">
        <is>
          <t>Silty Clay Loam</t>
        </is>
      </c>
      <c r="Y354" t="inlineStr">
        <is>
          <t>Wet Tillage (Puddling): 2 plowings + thorough harrowing under flooded condition</t>
        </is>
      </c>
      <c r="Z354" t="inlineStr">
        <is>
          <t>Continuous flooding 2–5 cm depth during vegetative stage; drain 2 weeks before harvest</t>
        </is>
      </c>
      <c r="AA354" t="inlineStr">
        <is>
          <t>Transplanting (Pindot) — optimal for clay-loam paddy fields</t>
        </is>
      </c>
      <c r="AP354" t="n">
        <v>2.03</v>
      </c>
    </row>
    <row r="355">
      <c r="B355" t="inlineStr">
        <is>
          <t>Palay</t>
        </is>
      </c>
      <c r="C355" t="inlineStr">
        <is>
          <t>Balangobong</t>
        </is>
      </c>
      <c r="D355" t="inlineStr">
        <is>
          <t>WS 2019</t>
        </is>
      </c>
      <c r="E355" t="n">
        <v>281.4</v>
      </c>
      <c r="F355" t="n">
        <v>135</v>
      </c>
      <c r="G355" t="n">
        <v>120</v>
      </c>
      <c r="H355" t="n">
        <v>15</v>
      </c>
      <c r="I355" t="n">
        <v>11.27</v>
      </c>
      <c r="J355" t="n">
        <v>27.82</v>
      </c>
      <c r="K355" t="n">
        <v>23.17</v>
      </c>
      <c r="L355" t="n">
        <v>34.41</v>
      </c>
      <c r="M355" t="n">
        <v>81.95999999999999</v>
      </c>
      <c r="N355" t="n">
        <v>98.17</v>
      </c>
      <c r="O355" t="n">
        <v>20.34</v>
      </c>
      <c r="P355" t="inlineStr">
        <is>
          <t>Silty Clay Loam</t>
        </is>
      </c>
      <c r="Y355" t="inlineStr">
        <is>
          <t>Wet Tillage (Puddling): 2 plowings + thorough harrowing under flooded condition</t>
        </is>
      </c>
      <c r="Z355" t="inlineStr">
        <is>
          <t>Continuous flooding 2–5 cm depth during vegetative stage; drain 2 weeks before harvest</t>
        </is>
      </c>
      <c r="AA355" t="inlineStr">
        <is>
          <t>Transplanting (Pindot) — optimal for clay-loam paddy fields</t>
        </is>
      </c>
      <c r="AP355" t="n">
        <v>4.84</v>
      </c>
    </row>
    <row r="356">
      <c r="B356" t="inlineStr">
        <is>
          <t>Palay</t>
        </is>
      </c>
      <c r="C356" t="inlineStr">
        <is>
          <t>Bued</t>
        </is>
      </c>
      <c r="D356" t="inlineStr">
        <is>
          <t>WS 2019</t>
        </is>
      </c>
      <c r="E356" t="n">
        <v>210.84</v>
      </c>
      <c r="F356" t="n">
        <v>94</v>
      </c>
      <c r="G356" t="n">
        <v>56.5</v>
      </c>
      <c r="H356" t="n">
        <v>37.5</v>
      </c>
      <c r="I356" t="n">
        <v>11.27</v>
      </c>
      <c r="J356" t="n">
        <v>27.82</v>
      </c>
      <c r="K356" t="n">
        <v>23.17</v>
      </c>
      <c r="L356" t="n">
        <v>34.41</v>
      </c>
      <c r="M356" t="n">
        <v>81.95999999999999</v>
      </c>
      <c r="N356" t="n">
        <v>98.17</v>
      </c>
      <c r="O356" t="n">
        <v>20.34</v>
      </c>
      <c r="P356" t="inlineStr">
        <is>
          <t>Silty Clay Loam</t>
        </is>
      </c>
      <c r="Y356" t="inlineStr">
        <is>
          <t>Wet Tillage (Puddling): 2 plowings + thorough harrowing under flooded condition</t>
        </is>
      </c>
      <c r="Z356" t="inlineStr">
        <is>
          <t>Continuous flooding 2–5 cm depth during vegetative stage; drain 2 weeks before harvest</t>
        </is>
      </c>
      <c r="AA356" t="inlineStr">
        <is>
          <t>Transplanting (Pindot) — optimal for clay-loam paddy fields</t>
        </is>
      </c>
      <c r="AP356" t="n">
        <v>3.71</v>
      </c>
    </row>
    <row r="357">
      <c r="B357" t="inlineStr">
        <is>
          <t>Palay</t>
        </is>
      </c>
      <c r="C357" t="inlineStr">
        <is>
          <t>Bugayong</t>
        </is>
      </c>
      <c r="D357" t="inlineStr">
        <is>
          <t>WS 2019</t>
        </is>
      </c>
      <c r="E357" t="n">
        <v>346.08</v>
      </c>
      <c r="F357" t="n">
        <v>78</v>
      </c>
      <c r="G357" t="n">
        <v>25.95</v>
      </c>
      <c r="H357" t="n">
        <v>52.05</v>
      </c>
      <c r="I357" t="n">
        <v>11.27</v>
      </c>
      <c r="J357" t="n">
        <v>27.82</v>
      </c>
      <c r="K357" t="n">
        <v>23.17</v>
      </c>
      <c r="L357" t="n">
        <v>34.41</v>
      </c>
      <c r="M357" t="n">
        <v>81.95999999999999</v>
      </c>
      <c r="N357" t="n">
        <v>98.17</v>
      </c>
      <c r="O357" t="n">
        <v>20.34</v>
      </c>
      <c r="P357" t="inlineStr">
        <is>
          <t>Sandy Loam / Silty Clay Loam</t>
        </is>
      </c>
      <c r="Y357" t="inlineStr">
        <is>
          <t>Conventional Tillage: 2 plowings + harrowing; puddle thoroughly for transplanting</t>
        </is>
      </c>
      <c r="Z357" t="inlineStr">
        <is>
          <t>Intermittent to continuous flooding; manage according to drainage section present</t>
        </is>
      </c>
      <c r="AA357" t="inlineStr">
        <is>
          <t>Transplanting (Pindot) — recommended; Direct Seeding possible in dry season</t>
        </is>
      </c>
      <c r="AP357" t="n">
        <v>6.88</v>
      </c>
    </row>
    <row r="358">
      <c r="B358" t="inlineStr">
        <is>
          <t>Palay</t>
        </is>
      </c>
      <c r="C358" t="inlineStr">
        <is>
          <t>Camanggaan</t>
        </is>
      </c>
      <c r="D358" t="inlineStr">
        <is>
          <t>WS 2019</t>
        </is>
      </c>
      <c r="E358" t="n">
        <v>244.44</v>
      </c>
      <c r="F358" t="n">
        <v>87</v>
      </c>
      <c r="G358" t="n">
        <v>19</v>
      </c>
      <c r="H358" t="n">
        <v>68</v>
      </c>
      <c r="I358" t="n">
        <v>11.27</v>
      </c>
      <c r="J358" t="n">
        <v>27.82</v>
      </c>
      <c r="K358" t="n">
        <v>23.17</v>
      </c>
      <c r="L358" t="n">
        <v>34.41</v>
      </c>
      <c r="M358" t="n">
        <v>81.95999999999999</v>
      </c>
      <c r="N358" t="n">
        <v>98.17</v>
      </c>
      <c r="O358" t="n">
        <v>20.34</v>
      </c>
      <c r="P358" t="inlineStr">
        <is>
          <t>Sandy Loam</t>
        </is>
      </c>
      <c r="Y358" t="inlineStr">
        <is>
          <t>Conventional Tillage: 2 plowings + 2 harrowings; soil workable when moist</t>
        </is>
      </c>
      <c r="Z358" t="inlineStr">
        <is>
          <t>Intermittent irrigation (Alternate Wetting and Drying — AWD); moderate retention</t>
        </is>
      </c>
      <c r="AA358" t="inlineStr">
        <is>
          <t>Transplanting (Pindot) or Direct Seeding (Pinaghandaan)</t>
        </is>
      </c>
      <c r="AP358" t="n">
        <v>5.69</v>
      </c>
    </row>
    <row r="359">
      <c r="B359" t="inlineStr">
        <is>
          <t>Palay</t>
        </is>
      </c>
      <c r="C359" t="inlineStr">
        <is>
          <t>Capas</t>
        </is>
      </c>
      <c r="D359" t="inlineStr">
        <is>
          <t>WS 2019</t>
        </is>
      </c>
      <c r="E359" t="n">
        <v>377.16</v>
      </c>
      <c r="F359" t="n">
        <v>303</v>
      </c>
      <c r="G359" t="n">
        <v>139</v>
      </c>
      <c r="H359" t="n">
        <v>164</v>
      </c>
      <c r="I359" t="n">
        <v>11.27</v>
      </c>
      <c r="J359" t="n">
        <v>27.82</v>
      </c>
      <c r="K359" t="n">
        <v>23.17</v>
      </c>
      <c r="L359" t="n">
        <v>34.41</v>
      </c>
      <c r="M359" t="n">
        <v>81.95999999999999</v>
      </c>
      <c r="N359" t="n">
        <v>98.17</v>
      </c>
      <c r="O359" t="n">
        <v>20.34</v>
      </c>
      <c r="P359" t="inlineStr">
        <is>
          <t>Sandy Loam</t>
        </is>
      </c>
      <c r="Y359" t="inlineStr">
        <is>
          <t>Conventional Tillage: 2 plowings + 2 harrowings; soil workable when moist</t>
        </is>
      </c>
      <c r="Z359" t="inlineStr">
        <is>
          <t>Intermittent irrigation (Alternate Wetting and Drying — AWD); moderate retention</t>
        </is>
      </c>
      <c r="AA359" t="inlineStr">
        <is>
          <t>Transplanting (Pindot) or Direct Seeding (Pinaghandaan)</t>
        </is>
      </c>
      <c r="AP359" t="n">
        <v>8</v>
      </c>
    </row>
    <row r="360">
      <c r="B360" t="inlineStr">
        <is>
          <t>Palay</t>
        </is>
      </c>
      <c r="C360" t="inlineStr">
        <is>
          <t>Cili</t>
        </is>
      </c>
      <c r="D360" t="inlineStr">
        <is>
          <t>WS 2019</t>
        </is>
      </c>
      <c r="E360" t="n">
        <v>264.6</v>
      </c>
      <c r="F360" t="n">
        <v>168</v>
      </c>
      <c r="G360" t="n">
        <v>40</v>
      </c>
      <c r="H360" t="n">
        <v>128</v>
      </c>
      <c r="I360" t="n">
        <v>11.27</v>
      </c>
      <c r="J360" t="n">
        <v>27.82</v>
      </c>
      <c r="K360" t="n">
        <v>23.17</v>
      </c>
      <c r="L360" t="n">
        <v>34.41</v>
      </c>
      <c r="M360" t="n">
        <v>81.95999999999999</v>
      </c>
      <c r="N360" t="n">
        <v>98.17</v>
      </c>
      <c r="O360" t="n">
        <v>20.34</v>
      </c>
      <c r="P360" t="inlineStr">
        <is>
          <t>Silty Clay Loam</t>
        </is>
      </c>
      <c r="Y360" t="inlineStr">
        <is>
          <t>Wet Tillage (Puddling): 2 plowings + thorough harrowing under flooded condition</t>
        </is>
      </c>
      <c r="Z360" t="inlineStr">
        <is>
          <t>Continuous flooding 2–5 cm depth during vegetative stage; drain 2 weeks before harvest</t>
        </is>
      </c>
      <c r="AA360" t="inlineStr">
        <is>
          <t>Transplanting (Pindot) — optimal for clay-loam paddy fields</t>
        </is>
      </c>
      <c r="AP360" t="n">
        <v>0.41</v>
      </c>
    </row>
    <row r="361">
      <c r="B361" t="inlineStr">
        <is>
          <t>Palay</t>
        </is>
      </c>
      <c r="C361" t="inlineStr">
        <is>
          <t>Dumayat</t>
        </is>
      </c>
      <c r="D361" t="inlineStr">
        <is>
          <t>WS 2019</t>
        </is>
      </c>
      <c r="E361" t="n">
        <v>266.28</v>
      </c>
      <c r="F361" t="n">
        <v>86</v>
      </c>
      <c r="G361" t="n">
        <v>56</v>
      </c>
      <c r="H361" t="n">
        <v>30</v>
      </c>
      <c r="I361" t="n">
        <v>11.27</v>
      </c>
      <c r="J361" t="n">
        <v>27.82</v>
      </c>
      <c r="K361" t="n">
        <v>23.17</v>
      </c>
      <c r="L361" t="n">
        <v>34.41</v>
      </c>
      <c r="M361" t="n">
        <v>81.95999999999999</v>
      </c>
      <c r="N361" t="n">
        <v>98.17</v>
      </c>
      <c r="O361" t="n">
        <v>20.34</v>
      </c>
      <c r="P361" t="inlineStr">
        <is>
          <t>Silty Clay Loam</t>
        </is>
      </c>
      <c r="Y361" t="inlineStr">
        <is>
          <t>Wet Tillage (Puddling): 2 plowings + thorough harrowing under flooded condition</t>
        </is>
      </c>
      <c r="Z361" t="inlineStr">
        <is>
          <t>Continuous flooding 2–5 cm depth during vegetative stage; drain 2 weeks before harvest</t>
        </is>
      </c>
      <c r="AA361" t="inlineStr">
        <is>
          <t>Transplanting (Pindot) — optimal for clay-loam paddy fields</t>
        </is>
      </c>
      <c r="AP361" t="n">
        <v>0.72</v>
      </c>
    </row>
    <row r="362">
      <c r="B362" t="inlineStr">
        <is>
          <t>Palay</t>
        </is>
      </c>
      <c r="C362" t="inlineStr">
        <is>
          <t>Linmansangan</t>
        </is>
      </c>
      <c r="D362" t="inlineStr">
        <is>
          <t>WS 2019</t>
        </is>
      </c>
      <c r="E362" t="n">
        <v>492.24</v>
      </c>
      <c r="F362" t="n">
        <v>211.5</v>
      </c>
      <c r="G362" t="n">
        <v>65.5</v>
      </c>
      <c r="H362" t="n">
        <v>146</v>
      </c>
      <c r="I362" t="n">
        <v>11.27</v>
      </c>
      <c r="J362" t="n">
        <v>27.82</v>
      </c>
      <c r="K362" t="n">
        <v>23.17</v>
      </c>
      <c r="L362" t="n">
        <v>34.41</v>
      </c>
      <c r="M362" t="n">
        <v>81.95999999999999</v>
      </c>
      <c r="N362" t="n">
        <v>98.17</v>
      </c>
      <c r="O362" t="n">
        <v>20.34</v>
      </c>
      <c r="P362" t="inlineStr">
        <is>
          <t>Silty Clay Loam</t>
        </is>
      </c>
      <c r="Y362" t="inlineStr">
        <is>
          <t>Wet Tillage (Puddling): 2 plowings + thorough harrowing under flooded condition</t>
        </is>
      </c>
      <c r="Z362" t="inlineStr">
        <is>
          <t>Continuous flooding 2–5 cm depth during vegetative stage; drain 2 weeks before harvest</t>
        </is>
      </c>
      <c r="AA362" t="inlineStr">
        <is>
          <t>Transplanting (Pindot) — optimal for clay-loam paddy fields</t>
        </is>
      </c>
      <c r="AP362" t="n">
        <v>1.45</v>
      </c>
    </row>
    <row r="363">
      <c r="B363" t="inlineStr">
        <is>
          <t>Palay</t>
        </is>
      </c>
      <c r="C363" t="inlineStr">
        <is>
          <t>Mangkasuy</t>
        </is>
      </c>
      <c r="D363" t="inlineStr">
        <is>
          <t>WS 2019</t>
        </is>
      </c>
      <c r="E363" t="n">
        <v>802.2</v>
      </c>
      <c r="F363" t="n">
        <v>352</v>
      </c>
      <c r="G363" t="n">
        <v>90</v>
      </c>
      <c r="H363" t="n">
        <v>262</v>
      </c>
      <c r="I363" t="n">
        <v>11.27</v>
      </c>
      <c r="J363" t="n">
        <v>27.82</v>
      </c>
      <c r="K363" t="n">
        <v>23.17</v>
      </c>
      <c r="L363" t="n">
        <v>34.41</v>
      </c>
      <c r="M363" t="n">
        <v>81.95999999999999</v>
      </c>
      <c r="N363" t="n">
        <v>98.17</v>
      </c>
      <c r="O363" t="n">
        <v>20.34</v>
      </c>
      <c r="P363" t="inlineStr">
        <is>
          <t>Sandy Loam</t>
        </is>
      </c>
      <c r="Y363" t="inlineStr">
        <is>
          <t>Conventional Tillage: 2 plowings + 2 harrowings; soil workable when moist</t>
        </is>
      </c>
      <c r="Z363" t="inlineStr">
        <is>
          <t>Intermittent irrigation (Alternate Wetting and Drying — AWD); moderate retention</t>
        </is>
      </c>
      <c r="AA363" t="inlineStr">
        <is>
          <t>Transplanting (Pindot) or Direct Seeding (Pinaghandaan)</t>
        </is>
      </c>
      <c r="AP363" t="n">
        <v>1.73</v>
      </c>
    </row>
    <row r="364">
      <c r="B364" t="inlineStr">
        <is>
          <t>Palay</t>
        </is>
      </c>
      <c r="C364" t="inlineStr">
        <is>
          <t>Moreno</t>
        </is>
      </c>
      <c r="D364" t="inlineStr">
        <is>
          <t>WS 2019</t>
        </is>
      </c>
      <c r="E364" t="n">
        <v>641.76</v>
      </c>
      <c r="F364" t="n">
        <v>164</v>
      </c>
      <c r="G364" t="n">
        <v>47.4</v>
      </c>
      <c r="H364" t="n">
        <v>116.6</v>
      </c>
      <c r="I364" t="n">
        <v>11.27</v>
      </c>
      <c r="J364" t="n">
        <v>27.82</v>
      </c>
      <c r="K364" t="n">
        <v>23.17</v>
      </c>
      <c r="L364" t="n">
        <v>34.41</v>
      </c>
      <c r="M364" t="n">
        <v>81.95999999999999</v>
      </c>
      <c r="N364" t="n">
        <v>98.17</v>
      </c>
      <c r="O364" t="n">
        <v>20.34</v>
      </c>
      <c r="P364" t="inlineStr">
        <is>
          <t>Sandy Loam</t>
        </is>
      </c>
      <c r="Y364" t="inlineStr">
        <is>
          <t>Conventional Tillage: 2 plowings + 2 harrowings; soil workable when moist</t>
        </is>
      </c>
      <c r="Z364" t="inlineStr">
        <is>
          <t>Intermittent irrigation (Alternate Wetting and Drying — AWD); moderate retention; terrace or bund-assisted water retention essential on slopes</t>
        </is>
      </c>
      <c r="AA364" t="inlineStr">
        <is>
          <t>Transplanting (Pindot) or Direct Seeding (Pinaghandaan)</t>
        </is>
      </c>
      <c r="AP364" t="n">
        <v>4.23</v>
      </c>
    </row>
    <row r="365">
      <c r="B365" t="inlineStr">
        <is>
          <t>Palay</t>
        </is>
      </c>
      <c r="C365" t="inlineStr">
        <is>
          <t>Pasileng Norte</t>
        </is>
      </c>
      <c r="D365" t="inlineStr">
        <is>
          <t>WS 2019</t>
        </is>
      </c>
      <c r="E365" t="n">
        <v>140.28</v>
      </c>
      <c r="F365" t="n">
        <v>81</v>
      </c>
      <c r="G365" t="n">
        <v>78.34999999999999</v>
      </c>
      <c r="H365" t="n">
        <v>2.65</v>
      </c>
      <c r="I365" t="n">
        <v>11.27</v>
      </c>
      <c r="J365" t="n">
        <v>27.82</v>
      </c>
      <c r="K365" t="n">
        <v>23.17</v>
      </c>
      <c r="L365" t="n">
        <v>34.41</v>
      </c>
      <c r="M365" t="n">
        <v>81.95999999999999</v>
      </c>
      <c r="N365" t="n">
        <v>98.17</v>
      </c>
      <c r="O365" t="n">
        <v>20.34</v>
      </c>
      <c r="P365" t="inlineStr">
        <is>
          <t>Sandy Loam</t>
        </is>
      </c>
      <c r="Y365" t="inlineStr">
        <is>
          <t>Conventional Tillage: 2 plowings + 2 harrowings; soil workable when moist</t>
        </is>
      </c>
      <c r="Z365" t="inlineStr">
        <is>
          <t>Intermittent irrigation (Alternate Wetting and Drying — AWD); moderate retention</t>
        </is>
      </c>
      <c r="AA365" t="inlineStr">
        <is>
          <t>Transplanting (Pindot) or Direct Seeding (Pinaghandaan)</t>
        </is>
      </c>
      <c r="AP365" t="n">
        <v>8</v>
      </c>
    </row>
    <row r="366">
      <c r="B366" t="inlineStr">
        <is>
          <t>Palay</t>
        </is>
      </c>
      <c r="C366" t="inlineStr">
        <is>
          <t>Pasileng Sur</t>
        </is>
      </c>
      <c r="D366" t="inlineStr">
        <is>
          <t>WS 2019</t>
        </is>
      </c>
      <c r="E366" t="n">
        <v>414.96</v>
      </c>
      <c r="F366" t="n">
        <v>180</v>
      </c>
      <c r="G366" t="n">
        <v>150.9</v>
      </c>
      <c r="H366" t="n">
        <v>29.1</v>
      </c>
      <c r="I366" t="n">
        <v>11.27</v>
      </c>
      <c r="J366" t="n">
        <v>27.82</v>
      </c>
      <c r="K366" t="n">
        <v>23.17</v>
      </c>
      <c r="L366" t="n">
        <v>34.41</v>
      </c>
      <c r="M366" t="n">
        <v>81.95999999999999</v>
      </c>
      <c r="N366" t="n">
        <v>98.17</v>
      </c>
      <c r="O366" t="n">
        <v>20.34</v>
      </c>
      <c r="P366" t="inlineStr">
        <is>
          <t>Sandy Loam</t>
        </is>
      </c>
      <c r="Y366" t="inlineStr">
        <is>
          <t>Conventional Tillage: 2 plowings + 2 harrowings; soil workable when moist</t>
        </is>
      </c>
      <c r="Z366" t="inlineStr">
        <is>
          <t>Intermittent irrigation (Alternate Wetting and Drying — AWD); moderate retention</t>
        </is>
      </c>
      <c r="AA366" t="inlineStr">
        <is>
          <t>Transplanting (Pindot) or Direct Seeding (Pinaghandaan)</t>
        </is>
      </c>
      <c r="AP366" t="n">
        <v>3.74</v>
      </c>
    </row>
    <row r="367">
      <c r="B367" t="inlineStr">
        <is>
          <t>Palay</t>
        </is>
      </c>
      <c r="C367" t="inlineStr">
        <is>
          <t>San Felipe Central</t>
        </is>
      </c>
      <c r="D367" t="inlineStr">
        <is>
          <t>WS 2019</t>
        </is>
      </c>
      <c r="E367" t="n">
        <v>452.76</v>
      </c>
      <c r="F367" t="n">
        <v>179</v>
      </c>
      <c r="G367" t="n">
        <v>117</v>
      </c>
      <c r="H367" t="n">
        <v>62</v>
      </c>
      <c r="I367" t="n">
        <v>11.27</v>
      </c>
      <c r="J367" t="n">
        <v>27.82</v>
      </c>
      <c r="K367" t="n">
        <v>23.17</v>
      </c>
      <c r="L367" t="n">
        <v>34.41</v>
      </c>
      <c r="M367" t="n">
        <v>81.95999999999999</v>
      </c>
      <c r="N367" t="n">
        <v>98.17</v>
      </c>
      <c r="O367" t="n">
        <v>20.34</v>
      </c>
      <c r="P367" t="inlineStr">
        <is>
          <t>Sandy Loam</t>
        </is>
      </c>
      <c r="Y367" t="inlineStr">
        <is>
          <t>Conventional Tillage: 2 plowings + 2 harrowings; soil workable when moist</t>
        </is>
      </c>
      <c r="Z367" t="inlineStr">
        <is>
          <t>Intermittent irrigation (Alternate Wetting and Drying — AWD); moderate retention</t>
        </is>
      </c>
      <c r="AA367" t="inlineStr">
        <is>
          <t>Transplanting (Pindot) or Direct Seeding (Pinaghandaan)</t>
        </is>
      </c>
      <c r="AP367" t="n">
        <v>2.92</v>
      </c>
    </row>
    <row r="368">
      <c r="B368" t="inlineStr">
        <is>
          <t>Palay</t>
        </is>
      </c>
      <c r="C368" t="inlineStr">
        <is>
          <t>San Felipe Sur</t>
        </is>
      </c>
      <c r="D368" t="inlineStr">
        <is>
          <t>WS 2019</t>
        </is>
      </c>
      <c r="E368" t="n">
        <v>504</v>
      </c>
      <c r="F368" t="n">
        <v>178</v>
      </c>
      <c r="G368" t="n">
        <v>127.5</v>
      </c>
      <c r="H368" t="n">
        <v>50.5</v>
      </c>
      <c r="I368" t="n">
        <v>11.27</v>
      </c>
      <c r="J368" t="n">
        <v>27.82</v>
      </c>
      <c r="K368" t="n">
        <v>23.17</v>
      </c>
      <c r="L368" t="n">
        <v>34.41</v>
      </c>
      <c r="M368" t="n">
        <v>81.95999999999999</v>
      </c>
      <c r="N368" t="n">
        <v>98.17</v>
      </c>
      <c r="O368" t="n">
        <v>20.34</v>
      </c>
      <c r="P368" t="inlineStr">
        <is>
          <t>Sandy Loam</t>
        </is>
      </c>
      <c r="Y368" t="inlineStr">
        <is>
          <t>Conventional Tillage: 2 plowings + 2 harrowings; soil workable when moist</t>
        </is>
      </c>
      <c r="Z368" t="inlineStr">
        <is>
          <t>Intermittent irrigation (Alternate Wetting and Drying — AWD); moderate retention</t>
        </is>
      </c>
      <c r="AA368" t="inlineStr">
        <is>
          <t>Transplanting (Pindot) or Direct Seeding (Pinaghandaan)</t>
        </is>
      </c>
      <c r="AP368" t="n">
        <v>2.3</v>
      </c>
    </row>
    <row r="369">
      <c r="B369" t="inlineStr">
        <is>
          <t>Palay</t>
        </is>
      </c>
      <c r="C369" t="inlineStr">
        <is>
          <t>San Pablo</t>
        </is>
      </c>
      <c r="D369" t="inlineStr">
        <is>
          <t>WS 2019</t>
        </is>
      </c>
      <c r="E369" t="n">
        <v>215.04</v>
      </c>
      <c r="F369" t="n">
        <v>134</v>
      </c>
      <c r="G369" t="n">
        <v>103.5</v>
      </c>
      <c r="H369" t="n">
        <v>30.5</v>
      </c>
      <c r="I369" t="n">
        <v>11.27</v>
      </c>
      <c r="J369" t="n">
        <v>27.82</v>
      </c>
      <c r="K369" t="n">
        <v>23.17</v>
      </c>
      <c r="L369" t="n">
        <v>34.41</v>
      </c>
      <c r="M369" t="n">
        <v>81.95999999999999</v>
      </c>
      <c r="N369" t="n">
        <v>98.17</v>
      </c>
      <c r="O369" t="n">
        <v>20.34</v>
      </c>
      <c r="P369" t="inlineStr">
        <is>
          <t>Sandy Loam</t>
        </is>
      </c>
      <c r="Y369" t="inlineStr">
        <is>
          <t>Conventional Tillage: 2 plowings + 2 harrowings; soil workable when moist</t>
        </is>
      </c>
      <c r="Z369" t="inlineStr">
        <is>
          <t>Intermittent irrigation (Alternate Wetting and Drying — AWD); moderate retention</t>
        </is>
      </c>
      <c r="AA369" t="inlineStr">
        <is>
          <t>Transplanting (Pindot) or Direct Seeding (Pinaghandaan)</t>
        </is>
      </c>
      <c r="AP369" t="n">
        <v>6.29</v>
      </c>
    </row>
    <row r="370">
      <c r="B370" t="inlineStr">
        <is>
          <t>Palay</t>
        </is>
      </c>
      <c r="C370" t="inlineStr">
        <is>
          <t>Santiago</t>
        </is>
      </c>
      <c r="D370" t="inlineStr">
        <is>
          <t>WS 2019</t>
        </is>
      </c>
      <c r="E370" t="n">
        <v>283.08</v>
      </c>
      <c r="F370" t="n">
        <v>249</v>
      </c>
      <c r="G370" t="n">
        <v>103.6</v>
      </c>
      <c r="H370" t="n">
        <v>145.4</v>
      </c>
      <c r="I370" t="n">
        <v>11.27</v>
      </c>
      <c r="J370" t="n">
        <v>27.82</v>
      </c>
      <c r="K370" t="n">
        <v>23.17</v>
      </c>
      <c r="L370" t="n">
        <v>34.41</v>
      </c>
      <c r="M370" t="n">
        <v>81.95999999999999</v>
      </c>
      <c r="N370" t="n">
        <v>98.17</v>
      </c>
      <c r="O370" t="n">
        <v>20.34</v>
      </c>
      <c r="P370" t="inlineStr">
        <is>
          <t>Silty Clay Loam</t>
        </is>
      </c>
      <c r="Y370" t="inlineStr">
        <is>
          <t>Wet Tillage (Puddling): 2 plowings + thorough harrowing under flooded condition</t>
        </is>
      </c>
      <c r="Z370" t="inlineStr">
        <is>
          <t>Continuous flooding 2–5 cm depth during vegetative stage; drain 2 weeks before harvest</t>
        </is>
      </c>
      <c r="AA370" t="inlineStr">
        <is>
          <t>Transplanting (Pindot) — optimal for clay-loam paddy fields</t>
        </is>
      </c>
      <c r="AP370" t="n">
        <v>2.92</v>
      </c>
    </row>
    <row r="371">
      <c r="B371" t="inlineStr">
        <is>
          <t>Palay</t>
        </is>
      </c>
      <c r="C371" t="inlineStr">
        <is>
          <t>Sta. Catalina</t>
        </is>
      </c>
      <c r="D371" t="inlineStr">
        <is>
          <t>WS 2019</t>
        </is>
      </c>
      <c r="E371" t="n">
        <v>709.8</v>
      </c>
      <c r="F371" t="n">
        <v>229</v>
      </c>
      <c r="G371" t="n">
        <v>49</v>
      </c>
      <c r="H371" t="n">
        <v>180</v>
      </c>
      <c r="I371" t="n">
        <v>11.27</v>
      </c>
      <c r="J371" t="n">
        <v>27.82</v>
      </c>
      <c r="K371" t="n">
        <v>23.17</v>
      </c>
      <c r="L371" t="n">
        <v>34.41</v>
      </c>
      <c r="M371" t="n">
        <v>81.95999999999999</v>
      </c>
      <c r="N371" t="n">
        <v>98.17</v>
      </c>
      <c r="O371" t="n">
        <v>20.34</v>
      </c>
      <c r="P371" t="inlineStr">
        <is>
          <t>Fine Sand / Sandy Loam</t>
        </is>
      </c>
      <c r="Y371" t="inlineStr">
        <is>
          <t>Minimum Tillage (avoid compaction; sandy structure fragile)</t>
        </is>
      </c>
      <c r="Z371" t="inlineStr">
        <is>
          <t>Continuous flooding or frequent irrigation; high percolation risk; terrace or bund-assisted water retention essential on slopes</t>
        </is>
      </c>
      <c r="AA371" t="inlineStr">
        <is>
          <t>Transplanting (Pindot)</t>
        </is>
      </c>
      <c r="AP371" t="n">
        <v>8</v>
      </c>
    </row>
    <row r="372">
      <c r="B372" t="inlineStr">
        <is>
          <t>Palay</t>
        </is>
      </c>
      <c r="C372" t="inlineStr">
        <is>
          <t>Sta. Maria Norte</t>
        </is>
      </c>
      <c r="D372" t="inlineStr">
        <is>
          <t>WS 2019</t>
        </is>
      </c>
      <c r="E372" t="n">
        <v>157.08</v>
      </c>
      <c r="F372" t="n">
        <v>68</v>
      </c>
      <c r="G372" t="n">
        <v>24.5</v>
      </c>
      <c r="H372" t="n">
        <v>43.5</v>
      </c>
      <c r="I372" t="n">
        <v>11.27</v>
      </c>
      <c r="J372" t="n">
        <v>27.82</v>
      </c>
      <c r="K372" t="n">
        <v>23.17</v>
      </c>
      <c r="L372" t="n">
        <v>34.41</v>
      </c>
      <c r="M372" t="n">
        <v>81.95999999999999</v>
      </c>
      <c r="N372" t="n">
        <v>98.17</v>
      </c>
      <c r="O372" t="n">
        <v>20.34</v>
      </c>
      <c r="P372" t="inlineStr">
        <is>
          <t>Sandy Loam</t>
        </is>
      </c>
      <c r="Y372" t="inlineStr">
        <is>
          <t>Conventional Tillage: 2 plowings + 2 harrowings; soil workable when moist</t>
        </is>
      </c>
      <c r="Z372" t="inlineStr">
        <is>
          <t>Intermittent irrigation (Alternate Wetting and Drying — AWD); moderate retention</t>
        </is>
      </c>
      <c r="AA372" t="inlineStr">
        <is>
          <t>Transplanting (Pindot) or Direct Seeding (Pinaghandaan)</t>
        </is>
      </c>
      <c r="AP372" t="n">
        <v>1.38</v>
      </c>
    </row>
    <row r="373">
      <c r="B373" t="inlineStr">
        <is>
          <t>Palay</t>
        </is>
      </c>
      <c r="C373" t="inlineStr">
        <is>
          <t>Sumabnit</t>
        </is>
      </c>
      <c r="D373" t="inlineStr">
        <is>
          <t>WS 2019</t>
        </is>
      </c>
      <c r="E373" t="n">
        <v>406.56</v>
      </c>
      <c r="F373" t="n">
        <v>257</v>
      </c>
      <c r="G373" t="n">
        <v>133.3</v>
      </c>
      <c r="H373" t="n">
        <v>123.7</v>
      </c>
      <c r="I373" t="n">
        <v>11.27</v>
      </c>
      <c r="J373" t="n">
        <v>27.82</v>
      </c>
      <c r="K373" t="n">
        <v>23.17</v>
      </c>
      <c r="L373" t="n">
        <v>34.41</v>
      </c>
      <c r="M373" t="n">
        <v>81.95999999999999</v>
      </c>
      <c r="N373" t="n">
        <v>98.17</v>
      </c>
      <c r="O373" t="n">
        <v>20.34</v>
      </c>
      <c r="P373" t="inlineStr">
        <is>
          <t>Silty Clay Loam / Fine Sandy Loam</t>
        </is>
      </c>
      <c r="Y373" t="inlineStr">
        <is>
          <t>Minimum Tillage (avoid compaction; sandy structure fragile)</t>
        </is>
      </c>
      <c r="Z373" t="inlineStr">
        <is>
          <t>Continuous flooding or frequent irrigation; high percolation risk</t>
        </is>
      </c>
      <c r="AA373" t="inlineStr">
        <is>
          <t>Transplanting (Pindot)</t>
        </is>
      </c>
      <c r="AP373" t="n">
        <v>5.05</v>
      </c>
    </row>
    <row r="374">
      <c r="B374" t="inlineStr">
        <is>
          <t>Palay</t>
        </is>
      </c>
      <c r="C374" t="inlineStr">
        <is>
          <t>Tabuyoc</t>
        </is>
      </c>
      <c r="D374" t="inlineStr">
        <is>
          <t>WS 2019</t>
        </is>
      </c>
      <c r="E374" t="n">
        <v>277.2</v>
      </c>
      <c r="F374" t="n">
        <v>139</v>
      </c>
      <c r="G374" t="n">
        <v>134</v>
      </c>
      <c r="H374" t="n">
        <v>5</v>
      </c>
      <c r="I374" t="n">
        <v>11.27</v>
      </c>
      <c r="J374" t="n">
        <v>27.82</v>
      </c>
      <c r="K374" t="n">
        <v>23.17</v>
      </c>
      <c r="L374" t="n">
        <v>34.41</v>
      </c>
      <c r="M374" t="n">
        <v>81.95999999999999</v>
      </c>
      <c r="N374" t="n">
        <v>98.17</v>
      </c>
      <c r="O374" t="n">
        <v>20.34</v>
      </c>
      <c r="P374" t="inlineStr">
        <is>
          <t>Silty Clay Loam</t>
        </is>
      </c>
      <c r="Y374" t="inlineStr">
        <is>
          <t>Wet Tillage (Puddling): 2 plowings + thorough harrowing under flooded condition</t>
        </is>
      </c>
      <c r="Z374" t="inlineStr">
        <is>
          <t>Continuous flooding 2–5 cm depth during vegetative stage; drain 2 weeks before harvest</t>
        </is>
      </c>
      <c r="AA374" t="inlineStr">
        <is>
          <t>Transplanting (Pindot) — optimal for clay-loam paddy fields</t>
        </is>
      </c>
      <c r="AP374" t="n">
        <v>2.64</v>
      </c>
    </row>
    <row r="375">
      <c r="B375" t="inlineStr">
        <is>
          <t>Palay</t>
        </is>
      </c>
      <c r="C375" t="inlineStr">
        <is>
          <t>Vacante</t>
        </is>
      </c>
      <c r="D375" t="inlineStr">
        <is>
          <t>WS 2019</t>
        </is>
      </c>
      <c r="E375" t="n">
        <v>484.68</v>
      </c>
      <c r="F375" t="n">
        <v>109</v>
      </c>
      <c r="G375" t="n">
        <v>28</v>
      </c>
      <c r="H375" t="n">
        <v>81</v>
      </c>
      <c r="I375" t="n">
        <v>11.27</v>
      </c>
      <c r="J375" t="n">
        <v>27.82</v>
      </c>
      <c r="K375" t="n">
        <v>23.17</v>
      </c>
      <c r="L375" t="n">
        <v>34.41</v>
      </c>
      <c r="M375" t="n">
        <v>81.95999999999999</v>
      </c>
      <c r="N375" t="n">
        <v>98.17</v>
      </c>
      <c r="O375" t="n">
        <v>20.34</v>
      </c>
      <c r="P375" t="inlineStr">
        <is>
          <t>Silty Clay Loam</t>
        </is>
      </c>
      <c r="Y375" t="inlineStr">
        <is>
          <t>Wet Tillage (Puddling): 2 plowings + thorough harrowing under flooded condition</t>
        </is>
      </c>
      <c r="Z375" t="inlineStr">
        <is>
          <t>Continuous flooding 2–5 cm depth during vegetative stage; drain 2 weeks before harvest</t>
        </is>
      </c>
      <c r="AA375" t="inlineStr">
        <is>
          <t>Transplanting (Pindot) — optimal for clay-loam paddy fields</t>
        </is>
      </c>
      <c r="AP375" t="n">
        <v>4.07</v>
      </c>
    </row>
    <row r="376">
      <c r="B376" t="inlineStr">
        <is>
          <t>Palay</t>
        </is>
      </c>
      <c r="C376" t="inlineStr">
        <is>
          <t>Balangobong</t>
        </is>
      </c>
      <c r="D376" t="inlineStr">
        <is>
          <t>WS 2020</t>
        </is>
      </c>
      <c r="E376" t="n">
        <v>281.4</v>
      </c>
      <c r="F376" t="n">
        <v>135</v>
      </c>
      <c r="G376" t="n">
        <v>120</v>
      </c>
      <c r="H376" t="n">
        <v>15</v>
      </c>
      <c r="I376" t="n">
        <v>10.81</v>
      </c>
      <c r="J376" t="n">
        <v>27.71</v>
      </c>
      <c r="K376" t="n">
        <v>23.31</v>
      </c>
      <c r="L376" t="n">
        <v>34.01</v>
      </c>
      <c r="M376" t="n">
        <v>81.02</v>
      </c>
      <c r="N376" t="n">
        <v>98.26000000000001</v>
      </c>
      <c r="O376" t="n">
        <v>22.26</v>
      </c>
      <c r="P376" t="inlineStr">
        <is>
          <t>Silty Clay Loam</t>
        </is>
      </c>
      <c r="Y376" t="inlineStr">
        <is>
          <t>Wet Tillage (Puddling): 2 plowings + thorough harrowing under flooded condition</t>
        </is>
      </c>
      <c r="Z376" t="inlineStr">
        <is>
          <t>Continuous flooding 2–5 cm depth during vegetative stage; drain 2 weeks before harvest</t>
        </is>
      </c>
      <c r="AA376" t="inlineStr">
        <is>
          <t>Transplanting (Pindot) — optimal for clay-loam paddy fields</t>
        </is>
      </c>
      <c r="AP376" t="n">
        <v>5.25</v>
      </c>
    </row>
    <row r="377">
      <c r="B377" t="inlineStr">
        <is>
          <t>Palay</t>
        </is>
      </c>
      <c r="C377" t="inlineStr">
        <is>
          <t>Bued</t>
        </is>
      </c>
      <c r="D377" t="inlineStr">
        <is>
          <t>WS 2020</t>
        </is>
      </c>
      <c r="E377" t="n">
        <v>210.84</v>
      </c>
      <c r="F377" t="n">
        <v>94</v>
      </c>
      <c r="G377" t="n">
        <v>56.5</v>
      </c>
      <c r="H377" t="n">
        <v>37.5</v>
      </c>
      <c r="I377" t="n">
        <v>10.81</v>
      </c>
      <c r="J377" t="n">
        <v>27.71</v>
      </c>
      <c r="K377" t="n">
        <v>23.31</v>
      </c>
      <c r="L377" t="n">
        <v>34.01</v>
      </c>
      <c r="M377" t="n">
        <v>81.02</v>
      </c>
      <c r="N377" t="n">
        <v>98.26000000000001</v>
      </c>
      <c r="O377" t="n">
        <v>22.26</v>
      </c>
      <c r="P377" t="inlineStr">
        <is>
          <t>Silty Clay Loam</t>
        </is>
      </c>
      <c r="Y377" t="inlineStr">
        <is>
          <t>Wet Tillage (Puddling): 2 plowings + thorough harrowing under flooded condition</t>
        </is>
      </c>
      <c r="Z377" t="inlineStr">
        <is>
          <t>Continuous flooding 2–5 cm depth during vegetative stage; drain 2 weeks before harvest</t>
        </is>
      </c>
      <c r="AA377" t="inlineStr">
        <is>
          <t>Transplanting (Pindot) — optimal for clay-loam paddy fields</t>
        </is>
      </c>
      <c r="AP377" t="n">
        <v>2.86</v>
      </c>
    </row>
    <row r="378">
      <c r="B378" t="inlineStr">
        <is>
          <t>Palay</t>
        </is>
      </c>
      <c r="C378" t="inlineStr">
        <is>
          <t>Bugayong</t>
        </is>
      </c>
      <c r="D378" t="inlineStr">
        <is>
          <t>WS 2020</t>
        </is>
      </c>
      <c r="E378" t="n">
        <v>346.08</v>
      </c>
      <c r="F378" t="n">
        <v>78</v>
      </c>
      <c r="G378" t="n">
        <v>25.95</v>
      </c>
      <c r="H378" t="n">
        <v>52.05</v>
      </c>
      <c r="I378" t="n">
        <v>10.81</v>
      </c>
      <c r="J378" t="n">
        <v>27.71</v>
      </c>
      <c r="K378" t="n">
        <v>23.31</v>
      </c>
      <c r="L378" t="n">
        <v>34.01</v>
      </c>
      <c r="M378" t="n">
        <v>81.02</v>
      </c>
      <c r="N378" t="n">
        <v>98.26000000000001</v>
      </c>
      <c r="O378" t="n">
        <v>22.26</v>
      </c>
      <c r="P378" t="inlineStr">
        <is>
          <t>Sandy Loam / Silty Clay Loam</t>
        </is>
      </c>
      <c r="Y378" t="inlineStr">
        <is>
          <t>Conventional Tillage: 2 plowings + harrowing; puddle thoroughly for transplanting</t>
        </is>
      </c>
      <c r="Z378" t="inlineStr">
        <is>
          <t>Intermittent to continuous flooding; manage according to drainage section present</t>
        </is>
      </c>
      <c r="AA378" t="inlineStr">
        <is>
          <t>Transplanting (Pindot) — recommended; Direct Seeding possible in dry season</t>
        </is>
      </c>
      <c r="AP378" t="n">
        <v>3.42</v>
      </c>
    </row>
    <row r="379">
      <c r="B379" t="inlineStr">
        <is>
          <t>Palay</t>
        </is>
      </c>
      <c r="C379" t="inlineStr">
        <is>
          <t>Camanggaan</t>
        </is>
      </c>
      <c r="D379" t="inlineStr">
        <is>
          <t>WS 2020</t>
        </is>
      </c>
      <c r="E379" t="n">
        <v>244.44</v>
      </c>
      <c r="F379" t="n">
        <v>87</v>
      </c>
      <c r="G379" t="n">
        <v>19</v>
      </c>
      <c r="H379" t="n">
        <v>68</v>
      </c>
      <c r="I379" t="n">
        <v>10.81</v>
      </c>
      <c r="J379" t="n">
        <v>27.71</v>
      </c>
      <c r="K379" t="n">
        <v>23.31</v>
      </c>
      <c r="L379" t="n">
        <v>34.01</v>
      </c>
      <c r="M379" t="n">
        <v>81.02</v>
      </c>
      <c r="N379" t="n">
        <v>98.26000000000001</v>
      </c>
      <c r="O379" t="n">
        <v>22.26</v>
      </c>
      <c r="P379" t="inlineStr">
        <is>
          <t>Sandy Loam</t>
        </is>
      </c>
      <c r="Y379" t="inlineStr">
        <is>
          <t>Conventional Tillage: 2 plowings + 2 harrowings; soil workable when moist</t>
        </is>
      </c>
      <c r="Z379" t="inlineStr">
        <is>
          <t>Intermittent irrigation (Alternate Wetting and Drying — AWD); moderate retention</t>
        </is>
      </c>
      <c r="AA379" t="inlineStr">
        <is>
          <t>Transplanting (Pindot) or Direct Seeding (Pinaghandaan)</t>
        </is>
      </c>
      <c r="AP379" t="n">
        <v>3.4</v>
      </c>
    </row>
    <row r="380">
      <c r="B380" t="inlineStr">
        <is>
          <t>Palay</t>
        </is>
      </c>
      <c r="C380" t="inlineStr">
        <is>
          <t>Capas</t>
        </is>
      </c>
      <c r="D380" t="inlineStr">
        <is>
          <t>WS 2020</t>
        </is>
      </c>
      <c r="E380" t="n">
        <v>377.16</v>
      </c>
      <c r="F380" t="n">
        <v>303</v>
      </c>
      <c r="G380" t="n">
        <v>139</v>
      </c>
      <c r="H380" t="n">
        <v>164</v>
      </c>
      <c r="I380" t="n">
        <v>10.81</v>
      </c>
      <c r="J380" t="n">
        <v>27.71</v>
      </c>
      <c r="K380" t="n">
        <v>23.31</v>
      </c>
      <c r="L380" t="n">
        <v>34.01</v>
      </c>
      <c r="M380" t="n">
        <v>81.02</v>
      </c>
      <c r="N380" t="n">
        <v>98.26000000000001</v>
      </c>
      <c r="O380" t="n">
        <v>22.26</v>
      </c>
      <c r="P380" t="inlineStr">
        <is>
          <t>Sandy Loam</t>
        </is>
      </c>
      <c r="Y380" t="inlineStr">
        <is>
          <t>Conventional Tillage: 2 plowings + 2 harrowings; soil workable when moist</t>
        </is>
      </c>
      <c r="Z380" t="inlineStr">
        <is>
          <t>Intermittent irrigation (Alternate Wetting and Drying — AWD); moderate retention</t>
        </is>
      </c>
      <c r="AA380" t="inlineStr">
        <is>
          <t>Transplanting (Pindot) or Direct Seeding (Pinaghandaan)</t>
        </is>
      </c>
      <c r="AP380" t="n">
        <v>5.01</v>
      </c>
    </row>
    <row r="381">
      <c r="B381" t="inlineStr">
        <is>
          <t>Palay</t>
        </is>
      </c>
      <c r="C381" t="inlineStr">
        <is>
          <t>Cili</t>
        </is>
      </c>
      <c r="D381" t="inlineStr">
        <is>
          <t>WS 2020</t>
        </is>
      </c>
      <c r="E381" t="n">
        <v>264.6</v>
      </c>
      <c r="F381" t="n">
        <v>168</v>
      </c>
      <c r="G381" t="n">
        <v>40</v>
      </c>
      <c r="H381" t="n">
        <v>128</v>
      </c>
      <c r="I381" t="n">
        <v>10.81</v>
      </c>
      <c r="J381" t="n">
        <v>27.71</v>
      </c>
      <c r="K381" t="n">
        <v>23.31</v>
      </c>
      <c r="L381" t="n">
        <v>34.01</v>
      </c>
      <c r="M381" t="n">
        <v>81.02</v>
      </c>
      <c r="N381" t="n">
        <v>98.26000000000001</v>
      </c>
      <c r="O381" t="n">
        <v>22.26</v>
      </c>
      <c r="P381" t="inlineStr">
        <is>
          <t>Silty Clay Loam</t>
        </is>
      </c>
      <c r="Y381" t="inlineStr">
        <is>
          <t>Wet Tillage (Puddling): 2 plowings + thorough harrowing under flooded condition</t>
        </is>
      </c>
      <c r="Z381" t="inlineStr">
        <is>
          <t>Continuous flooding 2–5 cm depth during vegetative stage; drain 2 weeks before harvest</t>
        </is>
      </c>
      <c r="AA381" t="inlineStr">
        <is>
          <t>Transplanting (Pindot) — optimal for clay-loam paddy fields</t>
        </is>
      </c>
      <c r="AP381" t="n">
        <v>0.31</v>
      </c>
    </row>
    <row r="382">
      <c r="B382" t="inlineStr">
        <is>
          <t>Palay</t>
        </is>
      </c>
      <c r="C382" t="inlineStr">
        <is>
          <t>Dumayat</t>
        </is>
      </c>
      <c r="D382" t="inlineStr">
        <is>
          <t>WS 2020</t>
        </is>
      </c>
      <c r="E382" t="n">
        <v>266.28</v>
      </c>
      <c r="F382" t="n">
        <v>86</v>
      </c>
      <c r="G382" t="n">
        <v>56</v>
      </c>
      <c r="H382" t="n">
        <v>30</v>
      </c>
      <c r="I382" t="n">
        <v>10.81</v>
      </c>
      <c r="J382" t="n">
        <v>27.71</v>
      </c>
      <c r="K382" t="n">
        <v>23.31</v>
      </c>
      <c r="L382" t="n">
        <v>34.01</v>
      </c>
      <c r="M382" t="n">
        <v>81.02</v>
      </c>
      <c r="N382" t="n">
        <v>98.26000000000001</v>
      </c>
      <c r="O382" t="n">
        <v>22.26</v>
      </c>
      <c r="P382" t="inlineStr">
        <is>
          <t>Silty Clay Loam</t>
        </is>
      </c>
      <c r="Y382" t="inlineStr">
        <is>
          <t>Wet Tillage (Puddling): 2 plowings + thorough harrowing under flooded condition</t>
        </is>
      </c>
      <c r="Z382" t="inlineStr">
        <is>
          <t>Continuous flooding 2–5 cm depth during vegetative stage; drain 2 weeks before harvest</t>
        </is>
      </c>
      <c r="AA382" t="inlineStr">
        <is>
          <t>Transplanting (Pindot) — optimal for clay-loam paddy fields</t>
        </is>
      </c>
      <c r="AP382" t="n">
        <v>3.1</v>
      </c>
    </row>
    <row r="383">
      <c r="B383" t="inlineStr">
        <is>
          <t>Palay</t>
        </is>
      </c>
      <c r="C383" t="inlineStr">
        <is>
          <t>Linmansangan</t>
        </is>
      </c>
      <c r="D383" t="inlineStr">
        <is>
          <t>WS 2020</t>
        </is>
      </c>
      <c r="E383" t="n">
        <v>492.24</v>
      </c>
      <c r="F383" t="n">
        <v>211.5</v>
      </c>
      <c r="G383" t="n">
        <v>65.5</v>
      </c>
      <c r="H383" t="n">
        <v>146</v>
      </c>
      <c r="I383" t="n">
        <v>10.81</v>
      </c>
      <c r="J383" t="n">
        <v>27.71</v>
      </c>
      <c r="K383" t="n">
        <v>23.31</v>
      </c>
      <c r="L383" t="n">
        <v>34.01</v>
      </c>
      <c r="M383" t="n">
        <v>81.02</v>
      </c>
      <c r="N383" t="n">
        <v>98.26000000000001</v>
      </c>
      <c r="O383" t="n">
        <v>22.26</v>
      </c>
      <c r="P383" t="inlineStr">
        <is>
          <t>Silty Clay Loam</t>
        </is>
      </c>
      <c r="Y383" t="inlineStr">
        <is>
          <t>Wet Tillage (Puddling): 2 plowings + thorough harrowing under flooded condition</t>
        </is>
      </c>
      <c r="Z383" t="inlineStr">
        <is>
          <t>Continuous flooding 2–5 cm depth during vegetative stage; drain 2 weeks before harvest</t>
        </is>
      </c>
      <c r="AA383" t="inlineStr">
        <is>
          <t>Transplanting (Pindot) — optimal for clay-loam paddy fields</t>
        </is>
      </c>
      <c r="AP383" t="n">
        <v>2.01</v>
      </c>
    </row>
    <row r="384">
      <c r="B384" t="inlineStr">
        <is>
          <t>Palay</t>
        </is>
      </c>
      <c r="C384" t="inlineStr">
        <is>
          <t>Mangkasuy</t>
        </is>
      </c>
      <c r="D384" t="inlineStr">
        <is>
          <t>WS 2020</t>
        </is>
      </c>
      <c r="E384" t="n">
        <v>802.2</v>
      </c>
      <c r="F384" t="n">
        <v>352</v>
      </c>
      <c r="G384" t="n">
        <v>90</v>
      </c>
      <c r="H384" t="n">
        <v>262</v>
      </c>
      <c r="I384" t="n">
        <v>10.81</v>
      </c>
      <c r="J384" t="n">
        <v>27.71</v>
      </c>
      <c r="K384" t="n">
        <v>23.31</v>
      </c>
      <c r="L384" t="n">
        <v>34.01</v>
      </c>
      <c r="M384" t="n">
        <v>81.02</v>
      </c>
      <c r="N384" t="n">
        <v>98.26000000000001</v>
      </c>
      <c r="O384" t="n">
        <v>22.26</v>
      </c>
      <c r="P384" t="inlineStr">
        <is>
          <t>Sandy Loam</t>
        </is>
      </c>
      <c r="Y384" t="inlineStr">
        <is>
          <t>Conventional Tillage: 2 plowings + 2 harrowings; soil workable when moist</t>
        </is>
      </c>
      <c r="Z384" t="inlineStr">
        <is>
          <t>Intermittent irrigation (Alternate Wetting and Drying — AWD); moderate retention</t>
        </is>
      </c>
      <c r="AA384" t="inlineStr">
        <is>
          <t>Transplanting (Pindot) or Direct Seeding (Pinaghandaan)</t>
        </is>
      </c>
      <c r="AP384" t="n">
        <v>5</v>
      </c>
    </row>
    <row r="385">
      <c r="B385" t="inlineStr">
        <is>
          <t>Palay</t>
        </is>
      </c>
      <c r="C385" t="inlineStr">
        <is>
          <t>Moreno</t>
        </is>
      </c>
      <c r="D385" t="inlineStr">
        <is>
          <t>WS 2020</t>
        </is>
      </c>
      <c r="E385" t="n">
        <v>641.76</v>
      </c>
      <c r="F385" t="n">
        <v>164</v>
      </c>
      <c r="G385" t="n">
        <v>47.4</v>
      </c>
      <c r="H385" t="n">
        <v>116.6</v>
      </c>
      <c r="I385" t="n">
        <v>10.81</v>
      </c>
      <c r="J385" t="n">
        <v>27.71</v>
      </c>
      <c r="K385" t="n">
        <v>23.31</v>
      </c>
      <c r="L385" t="n">
        <v>34.01</v>
      </c>
      <c r="M385" t="n">
        <v>81.02</v>
      </c>
      <c r="N385" t="n">
        <v>98.26000000000001</v>
      </c>
      <c r="O385" t="n">
        <v>22.26</v>
      </c>
      <c r="P385" t="inlineStr">
        <is>
          <t>Sandy Loam</t>
        </is>
      </c>
      <c r="Y385" t="inlineStr">
        <is>
          <t>Conventional Tillage: 2 plowings + 2 harrowings; soil workable when moist</t>
        </is>
      </c>
      <c r="Z385" t="inlineStr">
        <is>
          <t>Intermittent irrigation (Alternate Wetting and Drying — AWD); moderate retention; terrace or bund-assisted water retention essential on slopes</t>
        </is>
      </c>
      <c r="AA385" t="inlineStr">
        <is>
          <t>Transplanting (Pindot) or Direct Seeding (Pinaghandaan)</t>
        </is>
      </c>
      <c r="AP385" t="n">
        <v>3.61</v>
      </c>
    </row>
    <row r="386">
      <c r="B386" t="inlineStr">
        <is>
          <t>Palay</t>
        </is>
      </c>
      <c r="C386" t="inlineStr">
        <is>
          <t>Pasileng Norte</t>
        </is>
      </c>
      <c r="D386" t="inlineStr">
        <is>
          <t>WS 2020</t>
        </is>
      </c>
      <c r="E386" t="n">
        <v>140.28</v>
      </c>
      <c r="F386" t="n">
        <v>81</v>
      </c>
      <c r="G386" t="n">
        <v>78.34999999999999</v>
      </c>
      <c r="H386" t="n">
        <v>2.65</v>
      </c>
      <c r="I386" t="n">
        <v>10.81</v>
      </c>
      <c r="J386" t="n">
        <v>27.71</v>
      </c>
      <c r="K386" t="n">
        <v>23.31</v>
      </c>
      <c r="L386" t="n">
        <v>34.01</v>
      </c>
      <c r="M386" t="n">
        <v>81.02</v>
      </c>
      <c r="N386" t="n">
        <v>98.26000000000001</v>
      </c>
      <c r="O386" t="n">
        <v>22.26</v>
      </c>
      <c r="P386" t="inlineStr">
        <is>
          <t>Sandy Loam</t>
        </is>
      </c>
      <c r="Y386" t="inlineStr">
        <is>
          <t>Conventional Tillage: 2 plowings + 2 harrowings; soil workable when moist</t>
        </is>
      </c>
      <c r="Z386" t="inlineStr">
        <is>
          <t>Intermittent irrigation (Alternate Wetting and Drying — AWD); moderate retention</t>
        </is>
      </c>
      <c r="AA386" t="inlineStr">
        <is>
          <t>Transplanting (Pindot) or Direct Seeding (Pinaghandaan)</t>
        </is>
      </c>
      <c r="AP386" t="n">
        <v>5.5</v>
      </c>
    </row>
    <row r="387">
      <c r="B387" t="inlineStr">
        <is>
          <t>Palay</t>
        </is>
      </c>
      <c r="C387" t="inlineStr">
        <is>
          <t>Pasileng Sur</t>
        </is>
      </c>
      <c r="D387" t="inlineStr">
        <is>
          <t>WS 2020</t>
        </is>
      </c>
      <c r="E387" t="n">
        <v>414.96</v>
      </c>
      <c r="F387" t="n">
        <v>180</v>
      </c>
      <c r="G387" t="n">
        <v>150.9</v>
      </c>
      <c r="H387" t="n">
        <v>29.1</v>
      </c>
      <c r="I387" t="n">
        <v>10.81</v>
      </c>
      <c r="J387" t="n">
        <v>27.71</v>
      </c>
      <c r="K387" t="n">
        <v>23.31</v>
      </c>
      <c r="L387" t="n">
        <v>34.01</v>
      </c>
      <c r="M387" t="n">
        <v>81.02</v>
      </c>
      <c r="N387" t="n">
        <v>98.26000000000001</v>
      </c>
      <c r="O387" t="n">
        <v>22.26</v>
      </c>
      <c r="P387" t="inlineStr">
        <is>
          <t>Sandy Loam</t>
        </is>
      </c>
      <c r="Y387" t="inlineStr">
        <is>
          <t>Conventional Tillage: 2 plowings + 2 harrowings; soil workable when moist</t>
        </is>
      </c>
      <c r="Z387" t="inlineStr">
        <is>
          <t>Intermittent irrigation (Alternate Wetting and Drying — AWD); moderate retention</t>
        </is>
      </c>
      <c r="AA387" t="inlineStr">
        <is>
          <t>Transplanting (Pindot) or Direct Seeding (Pinaghandaan)</t>
        </is>
      </c>
      <c r="AP387" t="n">
        <v>6.06</v>
      </c>
    </row>
    <row r="388">
      <c r="B388" t="inlineStr">
        <is>
          <t>Palay</t>
        </is>
      </c>
      <c r="C388" t="inlineStr">
        <is>
          <t>San Felipe Central</t>
        </is>
      </c>
      <c r="D388" t="inlineStr">
        <is>
          <t>WS 2020</t>
        </is>
      </c>
      <c r="E388" t="n">
        <v>452.76</v>
      </c>
      <c r="F388" t="n">
        <v>179</v>
      </c>
      <c r="G388" t="n">
        <v>117</v>
      </c>
      <c r="H388" t="n">
        <v>62</v>
      </c>
      <c r="I388" t="n">
        <v>10.81</v>
      </c>
      <c r="J388" t="n">
        <v>27.71</v>
      </c>
      <c r="K388" t="n">
        <v>23.31</v>
      </c>
      <c r="L388" t="n">
        <v>34.01</v>
      </c>
      <c r="M388" t="n">
        <v>81.02</v>
      </c>
      <c r="N388" t="n">
        <v>98.26000000000001</v>
      </c>
      <c r="O388" t="n">
        <v>22.26</v>
      </c>
      <c r="P388" t="inlineStr">
        <is>
          <t>Sandy Loam</t>
        </is>
      </c>
      <c r="Y388" t="inlineStr">
        <is>
          <t>Conventional Tillage: 2 plowings + 2 harrowings; soil workable when moist</t>
        </is>
      </c>
      <c r="Z388" t="inlineStr">
        <is>
          <t>Intermittent irrigation (Alternate Wetting and Drying — AWD); moderate retention</t>
        </is>
      </c>
      <c r="AA388" t="inlineStr">
        <is>
          <t>Transplanting (Pindot) or Direct Seeding (Pinaghandaan)</t>
        </is>
      </c>
      <c r="AP388" t="n">
        <v>5</v>
      </c>
    </row>
    <row r="389">
      <c r="B389" t="inlineStr">
        <is>
          <t>Palay</t>
        </is>
      </c>
      <c r="C389" t="inlineStr">
        <is>
          <t>San Felipe Sur</t>
        </is>
      </c>
      <c r="D389" t="inlineStr">
        <is>
          <t>WS 2020</t>
        </is>
      </c>
      <c r="E389" t="n">
        <v>504</v>
      </c>
      <c r="F389" t="n">
        <v>178</v>
      </c>
      <c r="G389" t="n">
        <v>127.5</v>
      </c>
      <c r="H389" t="n">
        <v>50.5</v>
      </c>
      <c r="I389" t="n">
        <v>10.81</v>
      </c>
      <c r="J389" t="n">
        <v>27.71</v>
      </c>
      <c r="K389" t="n">
        <v>23.31</v>
      </c>
      <c r="L389" t="n">
        <v>34.01</v>
      </c>
      <c r="M389" t="n">
        <v>81.02</v>
      </c>
      <c r="N389" t="n">
        <v>98.26000000000001</v>
      </c>
      <c r="O389" t="n">
        <v>22.26</v>
      </c>
      <c r="P389" t="inlineStr">
        <is>
          <t>Sandy Loam</t>
        </is>
      </c>
      <c r="Y389" t="inlineStr">
        <is>
          <t>Conventional Tillage: 2 plowings + 2 harrowings; soil workable when moist</t>
        </is>
      </c>
      <c r="Z389" t="inlineStr">
        <is>
          <t>Intermittent irrigation (Alternate Wetting and Drying — AWD); moderate retention</t>
        </is>
      </c>
      <c r="AA389" t="inlineStr">
        <is>
          <t>Transplanting (Pindot) or Direct Seeding (Pinaghandaan)</t>
        </is>
      </c>
      <c r="AP389" t="n">
        <v>4.85</v>
      </c>
    </row>
    <row r="390">
      <c r="B390" t="inlineStr">
        <is>
          <t>Palay</t>
        </is>
      </c>
      <c r="C390" t="inlineStr">
        <is>
          <t>San Pablo</t>
        </is>
      </c>
      <c r="D390" t="inlineStr">
        <is>
          <t>WS 2020</t>
        </is>
      </c>
      <c r="E390" t="n">
        <v>215.04</v>
      </c>
      <c r="F390" t="n">
        <v>134</v>
      </c>
      <c r="G390" t="n">
        <v>103.5</v>
      </c>
      <c r="H390" t="n">
        <v>30.5</v>
      </c>
      <c r="I390" t="n">
        <v>10.81</v>
      </c>
      <c r="J390" t="n">
        <v>27.71</v>
      </c>
      <c r="K390" t="n">
        <v>23.31</v>
      </c>
      <c r="L390" t="n">
        <v>34.01</v>
      </c>
      <c r="M390" t="n">
        <v>81.02</v>
      </c>
      <c r="N390" t="n">
        <v>98.26000000000001</v>
      </c>
      <c r="O390" t="n">
        <v>22.26</v>
      </c>
      <c r="P390" t="inlineStr">
        <is>
          <t>Sandy Loam</t>
        </is>
      </c>
      <c r="Y390" t="inlineStr">
        <is>
          <t>Conventional Tillage: 2 plowings + 2 harrowings; soil workable when moist</t>
        </is>
      </c>
      <c r="Z390" t="inlineStr">
        <is>
          <t>Intermittent irrigation (Alternate Wetting and Drying — AWD); moderate retention</t>
        </is>
      </c>
      <c r="AA390" t="inlineStr">
        <is>
          <t>Transplanting (Pindot) or Direct Seeding (Pinaghandaan)</t>
        </is>
      </c>
      <c r="AP390" t="n">
        <v>5.75</v>
      </c>
    </row>
    <row r="391">
      <c r="B391" t="inlineStr">
        <is>
          <t>Palay</t>
        </is>
      </c>
      <c r="C391" t="inlineStr">
        <is>
          <t>Santiago</t>
        </is>
      </c>
      <c r="D391" t="inlineStr">
        <is>
          <t>WS 2020</t>
        </is>
      </c>
      <c r="E391" t="n">
        <v>283.08</v>
      </c>
      <c r="F391" t="n">
        <v>249</v>
      </c>
      <c r="G391" t="n">
        <v>103.6</v>
      </c>
      <c r="H391" t="n">
        <v>145.4</v>
      </c>
      <c r="I391" t="n">
        <v>10.81</v>
      </c>
      <c r="J391" t="n">
        <v>27.71</v>
      </c>
      <c r="K391" t="n">
        <v>23.31</v>
      </c>
      <c r="L391" t="n">
        <v>34.01</v>
      </c>
      <c r="M391" t="n">
        <v>81.02</v>
      </c>
      <c r="N391" t="n">
        <v>98.26000000000001</v>
      </c>
      <c r="O391" t="n">
        <v>22.26</v>
      </c>
      <c r="P391" t="inlineStr">
        <is>
          <t>Silty Clay Loam</t>
        </is>
      </c>
      <c r="Y391" t="inlineStr">
        <is>
          <t>Wet Tillage (Puddling): 2 plowings + thorough harrowing under flooded condition</t>
        </is>
      </c>
      <c r="Z391" t="inlineStr">
        <is>
          <t>Continuous flooding 2–5 cm depth during vegetative stage; drain 2 weeks before harvest</t>
        </is>
      </c>
      <c r="AA391" t="inlineStr">
        <is>
          <t>Transplanting (Pindot) — optimal for clay-loam paddy fields</t>
        </is>
      </c>
      <c r="AP391" t="n">
        <v>5.25</v>
      </c>
    </row>
    <row r="392">
      <c r="B392" t="inlineStr">
        <is>
          <t>Palay</t>
        </is>
      </c>
      <c r="C392" t="inlineStr">
        <is>
          <t>Sta. Catalina</t>
        </is>
      </c>
      <c r="D392" t="inlineStr">
        <is>
          <t>WS 2020</t>
        </is>
      </c>
      <c r="E392" t="n">
        <v>709.8</v>
      </c>
      <c r="F392" t="n">
        <v>229</v>
      </c>
      <c r="G392" t="n">
        <v>49</v>
      </c>
      <c r="H392" t="n">
        <v>180</v>
      </c>
      <c r="I392" t="n">
        <v>10.81</v>
      </c>
      <c r="J392" t="n">
        <v>27.71</v>
      </c>
      <c r="K392" t="n">
        <v>23.31</v>
      </c>
      <c r="L392" t="n">
        <v>34.01</v>
      </c>
      <c r="M392" t="n">
        <v>81.02</v>
      </c>
      <c r="N392" t="n">
        <v>98.26000000000001</v>
      </c>
      <c r="O392" t="n">
        <v>22.26</v>
      </c>
      <c r="P392" t="inlineStr">
        <is>
          <t>Fine Sand / Sandy Loam</t>
        </is>
      </c>
      <c r="Y392" t="inlineStr">
        <is>
          <t>Minimum Tillage (avoid compaction; sandy structure fragile)</t>
        </is>
      </c>
      <c r="Z392" t="inlineStr">
        <is>
          <t>Continuous flooding or frequent irrigation; high percolation risk; terrace or bund-assisted water retention essential on slopes</t>
        </is>
      </c>
      <c r="AA392" t="inlineStr">
        <is>
          <t>Transplanting (Pindot)</t>
        </is>
      </c>
      <c r="AP392" t="n">
        <v>3</v>
      </c>
    </row>
    <row r="393">
      <c r="B393" t="inlineStr">
        <is>
          <t>Palay</t>
        </is>
      </c>
      <c r="C393" t="inlineStr">
        <is>
          <t>Sta. Maria Norte</t>
        </is>
      </c>
      <c r="D393" t="inlineStr">
        <is>
          <t>WS 2020</t>
        </is>
      </c>
      <c r="E393" t="n">
        <v>157.08</v>
      </c>
      <c r="F393" t="n">
        <v>68</v>
      </c>
      <c r="G393" t="n">
        <v>24.5</v>
      </c>
      <c r="H393" t="n">
        <v>43.5</v>
      </c>
      <c r="I393" t="n">
        <v>10.81</v>
      </c>
      <c r="J393" t="n">
        <v>27.71</v>
      </c>
      <c r="K393" t="n">
        <v>23.31</v>
      </c>
      <c r="L393" t="n">
        <v>34.01</v>
      </c>
      <c r="M393" t="n">
        <v>81.02</v>
      </c>
      <c r="N393" t="n">
        <v>98.26000000000001</v>
      </c>
      <c r="O393" t="n">
        <v>22.26</v>
      </c>
      <c r="P393" t="inlineStr">
        <is>
          <t>Sandy Loam</t>
        </is>
      </c>
      <c r="Y393" t="inlineStr">
        <is>
          <t>Conventional Tillage: 2 plowings + 2 harrowings; soil workable when moist</t>
        </is>
      </c>
      <c r="Z393" t="inlineStr">
        <is>
          <t>Intermittent irrigation (Alternate Wetting and Drying — AWD); moderate retention</t>
        </is>
      </c>
      <c r="AA393" t="inlineStr">
        <is>
          <t>Transplanting (Pindot) or Direct Seeding (Pinaghandaan)</t>
        </is>
      </c>
      <c r="AP393" t="n">
        <v>1.56</v>
      </c>
    </row>
    <row r="394">
      <c r="B394" t="inlineStr">
        <is>
          <t>Palay</t>
        </is>
      </c>
      <c r="C394" t="inlineStr">
        <is>
          <t>Sumabnit</t>
        </is>
      </c>
      <c r="D394" t="inlineStr">
        <is>
          <t>WS 2020</t>
        </is>
      </c>
      <c r="E394" t="n">
        <v>406.56</v>
      </c>
      <c r="F394" t="n">
        <v>257</v>
      </c>
      <c r="G394" t="n">
        <v>133.3</v>
      </c>
      <c r="H394" t="n">
        <v>123.7</v>
      </c>
      <c r="I394" t="n">
        <v>10.81</v>
      </c>
      <c r="J394" t="n">
        <v>27.71</v>
      </c>
      <c r="K394" t="n">
        <v>23.31</v>
      </c>
      <c r="L394" t="n">
        <v>34.01</v>
      </c>
      <c r="M394" t="n">
        <v>81.02</v>
      </c>
      <c r="N394" t="n">
        <v>98.26000000000001</v>
      </c>
      <c r="O394" t="n">
        <v>22.26</v>
      </c>
      <c r="P394" t="inlineStr">
        <is>
          <t>Silty Clay Loam / Fine Sandy Loam</t>
        </is>
      </c>
      <c r="Y394" t="inlineStr">
        <is>
          <t>Minimum Tillage (avoid compaction; sandy structure fragile)</t>
        </is>
      </c>
      <c r="Z394" t="inlineStr">
        <is>
          <t>Continuous flooding or frequent irrigation; high percolation risk</t>
        </is>
      </c>
      <c r="AA394" t="inlineStr">
        <is>
          <t>Transplanting (Pindot)</t>
        </is>
      </c>
      <c r="AP394" t="n">
        <v>5.15</v>
      </c>
    </row>
    <row r="395">
      <c r="B395" t="inlineStr">
        <is>
          <t>Palay</t>
        </is>
      </c>
      <c r="C395" t="inlineStr">
        <is>
          <t>Tabuyoc</t>
        </is>
      </c>
      <c r="D395" t="inlineStr">
        <is>
          <t>WS 2020</t>
        </is>
      </c>
      <c r="E395" t="n">
        <v>277.2</v>
      </c>
      <c r="F395" t="n">
        <v>139</v>
      </c>
      <c r="G395" t="n">
        <v>134</v>
      </c>
      <c r="H395" t="n">
        <v>5</v>
      </c>
      <c r="I395" t="n">
        <v>10.81</v>
      </c>
      <c r="J395" t="n">
        <v>27.71</v>
      </c>
      <c r="K395" t="n">
        <v>23.31</v>
      </c>
      <c r="L395" t="n">
        <v>34.01</v>
      </c>
      <c r="M395" t="n">
        <v>81.02</v>
      </c>
      <c r="N395" t="n">
        <v>98.26000000000001</v>
      </c>
      <c r="O395" t="n">
        <v>22.26</v>
      </c>
      <c r="P395" t="inlineStr">
        <is>
          <t>Silty Clay Loam</t>
        </is>
      </c>
      <c r="Y395" t="inlineStr">
        <is>
          <t>Wet Tillage (Puddling): 2 plowings + thorough harrowing under flooded condition</t>
        </is>
      </c>
      <c r="Z395" t="inlineStr">
        <is>
          <t>Continuous flooding 2–5 cm depth during vegetative stage; drain 2 weeks before harvest</t>
        </is>
      </c>
      <c r="AA395" t="inlineStr">
        <is>
          <t>Transplanting (Pindot) — optimal for clay-loam paddy fields</t>
        </is>
      </c>
      <c r="AP395" t="n">
        <v>5.34</v>
      </c>
    </row>
    <row r="396">
      <c r="B396" t="inlineStr">
        <is>
          <t>Palay</t>
        </is>
      </c>
      <c r="C396" t="inlineStr">
        <is>
          <t>Vacante</t>
        </is>
      </c>
      <c r="D396" t="inlineStr">
        <is>
          <t>WS 2020</t>
        </is>
      </c>
      <c r="E396" t="n">
        <v>484.68</v>
      </c>
      <c r="F396" t="n">
        <v>109</v>
      </c>
      <c r="G396" t="n">
        <v>28</v>
      </c>
      <c r="H396" t="n">
        <v>81</v>
      </c>
      <c r="I396" t="n">
        <v>10.81</v>
      </c>
      <c r="J396" t="n">
        <v>27.71</v>
      </c>
      <c r="K396" t="n">
        <v>23.31</v>
      </c>
      <c r="L396" t="n">
        <v>34.01</v>
      </c>
      <c r="M396" t="n">
        <v>81.02</v>
      </c>
      <c r="N396" t="n">
        <v>98.26000000000001</v>
      </c>
      <c r="O396" t="n">
        <v>22.26</v>
      </c>
      <c r="P396" t="inlineStr">
        <is>
          <t>Silty Clay Loam</t>
        </is>
      </c>
      <c r="Y396" t="inlineStr">
        <is>
          <t>Wet Tillage (Puddling): 2 plowings + thorough harrowing under flooded condition</t>
        </is>
      </c>
      <c r="Z396" t="inlineStr">
        <is>
          <t>Continuous flooding 2–5 cm depth during vegetative stage; drain 2 weeks before harvest</t>
        </is>
      </c>
      <c r="AA396" t="inlineStr">
        <is>
          <t>Transplanting (Pindot) — optimal for clay-loam paddy fields</t>
        </is>
      </c>
      <c r="AP396" t="n">
        <v>3.69</v>
      </c>
    </row>
    <row r="397">
      <c r="B397" t="inlineStr">
        <is>
          <t>Palay</t>
        </is>
      </c>
      <c r="C397" t="inlineStr">
        <is>
          <t>Balangobong</t>
        </is>
      </c>
      <c r="D397" t="inlineStr">
        <is>
          <t>WS 2021</t>
        </is>
      </c>
      <c r="E397" t="n">
        <v>281.4</v>
      </c>
      <c r="F397" t="n">
        <v>135</v>
      </c>
      <c r="G397" t="n">
        <v>120</v>
      </c>
      <c r="H397" t="n">
        <v>15</v>
      </c>
      <c r="I397" t="n">
        <v>8.06</v>
      </c>
      <c r="J397" t="n">
        <v>27.03</v>
      </c>
      <c r="K397" t="n">
        <v>23.72</v>
      </c>
      <c r="L397" t="n">
        <v>34.26</v>
      </c>
      <c r="M397" t="n">
        <v>82.83</v>
      </c>
      <c r="N397" t="n">
        <v>98.25</v>
      </c>
      <c r="O397" t="n">
        <v>20.27</v>
      </c>
      <c r="P397" t="inlineStr">
        <is>
          <t>Silty Clay Loam</t>
        </is>
      </c>
      <c r="Y397" t="inlineStr">
        <is>
          <t>Wet Tillage (Puddling): 2 plowings + thorough harrowing under flooded condition</t>
        </is>
      </c>
      <c r="Z397" t="inlineStr">
        <is>
          <t>Continuous flooding 2–5 cm depth during vegetative stage; drain 2 weeks before harvest</t>
        </is>
      </c>
      <c r="AA397" t="inlineStr">
        <is>
          <t>Transplanting (Pindot) — optimal for clay-loam paddy fields</t>
        </is>
      </c>
      <c r="AP397" t="n">
        <v>3.17</v>
      </c>
    </row>
    <row r="398">
      <c r="B398" t="inlineStr">
        <is>
          <t>Palay</t>
        </is>
      </c>
      <c r="C398" t="inlineStr">
        <is>
          <t>Bued</t>
        </is>
      </c>
      <c r="D398" t="inlineStr">
        <is>
          <t>WS 2021</t>
        </is>
      </c>
      <c r="E398" t="n">
        <v>210.84</v>
      </c>
      <c r="F398" t="n">
        <v>94</v>
      </c>
      <c r="G398" t="n">
        <v>56.5</v>
      </c>
      <c r="H398" t="n">
        <v>37.5</v>
      </c>
      <c r="I398" t="n">
        <v>8.06</v>
      </c>
      <c r="J398" t="n">
        <v>27.03</v>
      </c>
      <c r="K398" t="n">
        <v>23.72</v>
      </c>
      <c r="L398" t="n">
        <v>34.26</v>
      </c>
      <c r="M398" t="n">
        <v>82.83</v>
      </c>
      <c r="N398" t="n">
        <v>98.25</v>
      </c>
      <c r="O398" t="n">
        <v>20.27</v>
      </c>
      <c r="P398" t="inlineStr">
        <is>
          <t>Silty Clay Loam</t>
        </is>
      </c>
      <c r="Y398" t="inlineStr">
        <is>
          <t>Wet Tillage (Puddling): 2 plowings + thorough harrowing under flooded condition</t>
        </is>
      </c>
      <c r="Z398" t="inlineStr">
        <is>
          <t>Continuous flooding 2–5 cm depth during vegetative stage; drain 2 weeks before harvest</t>
        </is>
      </c>
      <c r="AA398" t="inlineStr">
        <is>
          <t>Transplanting (Pindot) — optimal for clay-loam paddy fields</t>
        </is>
      </c>
      <c r="AP398" t="n">
        <v>2.15</v>
      </c>
    </row>
    <row r="399">
      <c r="B399" t="inlineStr">
        <is>
          <t>Palay</t>
        </is>
      </c>
      <c r="C399" t="inlineStr">
        <is>
          <t>Bugayong</t>
        </is>
      </c>
      <c r="D399" t="inlineStr">
        <is>
          <t>WS 2021</t>
        </is>
      </c>
      <c r="E399" t="n">
        <v>346.08</v>
      </c>
      <c r="F399" t="n">
        <v>78</v>
      </c>
      <c r="G399" t="n">
        <v>25.95</v>
      </c>
      <c r="H399" t="n">
        <v>52.05</v>
      </c>
      <c r="I399" t="n">
        <v>8.06</v>
      </c>
      <c r="J399" t="n">
        <v>27.03</v>
      </c>
      <c r="K399" t="n">
        <v>23.72</v>
      </c>
      <c r="L399" t="n">
        <v>34.26</v>
      </c>
      <c r="M399" t="n">
        <v>82.83</v>
      </c>
      <c r="N399" t="n">
        <v>98.25</v>
      </c>
      <c r="O399" t="n">
        <v>20.27</v>
      </c>
      <c r="P399" t="inlineStr">
        <is>
          <t>Sandy Loam / Silty Clay Loam</t>
        </is>
      </c>
      <c r="Y399" t="inlineStr">
        <is>
          <t>Conventional Tillage: 2 plowings + harrowing; puddle thoroughly for transplanting</t>
        </is>
      </c>
      <c r="Z399" t="inlineStr">
        <is>
          <t>Intermittent to continuous flooding; manage according to drainage section present</t>
        </is>
      </c>
      <c r="AA399" t="inlineStr">
        <is>
          <t>Transplanting (Pindot) — recommended; Direct Seeding possible in dry season</t>
        </is>
      </c>
      <c r="AP399" t="n">
        <v>3.08</v>
      </c>
    </row>
    <row r="400">
      <c r="B400" t="inlineStr">
        <is>
          <t>Palay</t>
        </is>
      </c>
      <c r="C400" t="inlineStr">
        <is>
          <t>Camanggaan</t>
        </is>
      </c>
      <c r="D400" t="inlineStr">
        <is>
          <t>WS 2021</t>
        </is>
      </c>
      <c r="E400" t="n">
        <v>244.44</v>
      </c>
      <c r="F400" t="n">
        <v>87</v>
      </c>
      <c r="G400" t="n">
        <v>19</v>
      </c>
      <c r="H400" t="n">
        <v>68</v>
      </c>
      <c r="I400" t="n">
        <v>8.06</v>
      </c>
      <c r="J400" t="n">
        <v>27.03</v>
      </c>
      <c r="K400" t="n">
        <v>23.72</v>
      </c>
      <c r="L400" t="n">
        <v>34.26</v>
      </c>
      <c r="M400" t="n">
        <v>82.83</v>
      </c>
      <c r="N400" t="n">
        <v>98.25</v>
      </c>
      <c r="O400" t="n">
        <v>20.27</v>
      </c>
      <c r="P400" t="inlineStr">
        <is>
          <t>Sandy Loam</t>
        </is>
      </c>
      <c r="Y400" t="inlineStr">
        <is>
          <t>Conventional Tillage: 2 plowings + 2 harrowings; soil workable when moist</t>
        </is>
      </c>
      <c r="Z400" t="inlineStr">
        <is>
          <t>Intermittent irrigation (Alternate Wetting and Drying — AWD); moderate retention</t>
        </is>
      </c>
      <c r="AA400" t="inlineStr">
        <is>
          <t>Transplanting (Pindot) or Direct Seeding (Pinaghandaan)</t>
        </is>
      </c>
      <c r="AP400" t="n">
        <v>2.81</v>
      </c>
    </row>
    <row r="401">
      <c r="B401" t="inlineStr">
        <is>
          <t>Palay</t>
        </is>
      </c>
      <c r="C401" t="inlineStr">
        <is>
          <t>Capas</t>
        </is>
      </c>
      <c r="D401" t="inlineStr">
        <is>
          <t>WS 2021</t>
        </is>
      </c>
      <c r="E401" t="n">
        <v>377.16</v>
      </c>
      <c r="F401" t="n">
        <v>303</v>
      </c>
      <c r="G401" t="n">
        <v>139</v>
      </c>
      <c r="H401" t="n">
        <v>164</v>
      </c>
      <c r="I401" t="n">
        <v>8.06</v>
      </c>
      <c r="J401" t="n">
        <v>27.03</v>
      </c>
      <c r="K401" t="n">
        <v>23.72</v>
      </c>
      <c r="L401" t="n">
        <v>34.26</v>
      </c>
      <c r="M401" t="n">
        <v>82.83</v>
      </c>
      <c r="N401" t="n">
        <v>98.25</v>
      </c>
      <c r="O401" t="n">
        <v>20.27</v>
      </c>
      <c r="P401" t="inlineStr">
        <is>
          <t>Sandy Loam</t>
        </is>
      </c>
      <c r="Y401" t="inlineStr">
        <is>
          <t>Conventional Tillage: 2 plowings + 2 harrowings; soil workable when moist</t>
        </is>
      </c>
      <c r="Z401" t="inlineStr">
        <is>
          <t>Intermittent irrigation (Alternate Wetting and Drying — AWD); moderate retention</t>
        </is>
      </c>
      <c r="AA401" t="inlineStr">
        <is>
          <t>Transplanting (Pindot) or Direct Seeding (Pinaghandaan)</t>
        </is>
      </c>
      <c r="AP401" t="n">
        <v>8</v>
      </c>
    </row>
    <row r="402">
      <c r="B402" t="inlineStr">
        <is>
          <t>Palay</t>
        </is>
      </c>
      <c r="C402" t="inlineStr">
        <is>
          <t>Cili</t>
        </is>
      </c>
      <c r="D402" t="inlineStr">
        <is>
          <t>WS 2021</t>
        </is>
      </c>
      <c r="E402" t="n">
        <v>264.6</v>
      </c>
      <c r="F402" t="n">
        <v>168</v>
      </c>
      <c r="G402" t="n">
        <v>40</v>
      </c>
      <c r="H402" t="n">
        <v>128</v>
      </c>
      <c r="I402" t="n">
        <v>8.06</v>
      </c>
      <c r="J402" t="n">
        <v>27.03</v>
      </c>
      <c r="K402" t="n">
        <v>23.72</v>
      </c>
      <c r="L402" t="n">
        <v>34.26</v>
      </c>
      <c r="M402" t="n">
        <v>82.83</v>
      </c>
      <c r="N402" t="n">
        <v>98.25</v>
      </c>
      <c r="O402" t="n">
        <v>20.27</v>
      </c>
      <c r="P402" t="inlineStr">
        <is>
          <t>Silty Clay Loam</t>
        </is>
      </c>
      <c r="Y402" t="inlineStr">
        <is>
          <t>Wet Tillage (Puddling): 2 plowings + thorough harrowing under flooded condition</t>
        </is>
      </c>
      <c r="Z402" t="inlineStr">
        <is>
          <t>Continuous flooding 2–5 cm depth during vegetative stage; drain 2 weeks before harvest</t>
        </is>
      </c>
      <c r="AA402" t="inlineStr">
        <is>
          <t>Transplanting (Pindot) — optimal for clay-loam paddy fields</t>
        </is>
      </c>
      <c r="AP402" t="n">
        <v>0.07000000000000001</v>
      </c>
    </row>
    <row r="403">
      <c r="B403" t="inlineStr">
        <is>
          <t>Palay</t>
        </is>
      </c>
      <c r="C403" t="inlineStr">
        <is>
          <t>Dumayat</t>
        </is>
      </c>
      <c r="D403" t="inlineStr">
        <is>
          <t>WS 2021</t>
        </is>
      </c>
      <c r="E403" t="n">
        <v>266.28</v>
      </c>
      <c r="F403" t="n">
        <v>86</v>
      </c>
      <c r="G403" t="n">
        <v>56</v>
      </c>
      <c r="H403" t="n">
        <v>30</v>
      </c>
      <c r="I403" t="n">
        <v>8.06</v>
      </c>
      <c r="J403" t="n">
        <v>27.03</v>
      </c>
      <c r="K403" t="n">
        <v>23.72</v>
      </c>
      <c r="L403" t="n">
        <v>34.26</v>
      </c>
      <c r="M403" t="n">
        <v>82.83</v>
      </c>
      <c r="N403" t="n">
        <v>98.25</v>
      </c>
      <c r="O403" t="n">
        <v>20.27</v>
      </c>
      <c r="P403" t="inlineStr">
        <is>
          <t>Silty Clay Loam</t>
        </is>
      </c>
      <c r="Y403" t="inlineStr">
        <is>
          <t>Wet Tillage (Puddling): 2 plowings + thorough harrowing under flooded condition</t>
        </is>
      </c>
      <c r="Z403" t="inlineStr">
        <is>
          <t>Continuous flooding 2–5 cm depth during vegetative stage; drain 2 weeks before harvest</t>
        </is>
      </c>
      <c r="AA403" t="inlineStr">
        <is>
          <t>Transplanting (Pindot) — optimal for clay-loam paddy fields</t>
        </is>
      </c>
      <c r="AP403" t="n">
        <v>0.11</v>
      </c>
    </row>
    <row r="404">
      <c r="B404" t="inlineStr">
        <is>
          <t>Palay</t>
        </is>
      </c>
      <c r="C404" t="inlineStr">
        <is>
          <t>Linmansangan</t>
        </is>
      </c>
      <c r="D404" t="inlineStr">
        <is>
          <t>WS 2021</t>
        </is>
      </c>
      <c r="E404" t="n">
        <v>492.24</v>
      </c>
      <c r="F404" t="n">
        <v>194.5</v>
      </c>
      <c r="G404" t="n">
        <v>65.5</v>
      </c>
      <c r="H404" t="n">
        <v>129</v>
      </c>
      <c r="I404" t="n">
        <v>8.06</v>
      </c>
      <c r="J404" t="n">
        <v>27.03</v>
      </c>
      <c r="K404" t="n">
        <v>23.72</v>
      </c>
      <c r="L404" t="n">
        <v>34.26</v>
      </c>
      <c r="M404" t="n">
        <v>82.83</v>
      </c>
      <c r="N404" t="n">
        <v>98.25</v>
      </c>
      <c r="O404" t="n">
        <v>20.27</v>
      </c>
      <c r="P404" t="inlineStr">
        <is>
          <t>Silty Clay Loam</t>
        </is>
      </c>
      <c r="Y404" t="inlineStr">
        <is>
          <t>Wet Tillage (Puddling): 2 plowings + thorough harrowing under flooded condition</t>
        </is>
      </c>
      <c r="Z404" t="inlineStr">
        <is>
          <t>Continuous flooding 2–5 cm depth during vegetative stage; drain 2 weeks before harvest</t>
        </is>
      </c>
      <c r="AA404" t="inlineStr">
        <is>
          <t>Transplanting (Pindot) — optimal for clay-loam paddy fields</t>
        </is>
      </c>
      <c r="AP404" t="n">
        <v>1.78</v>
      </c>
    </row>
    <row r="405">
      <c r="B405" t="inlineStr">
        <is>
          <t>Palay</t>
        </is>
      </c>
      <c r="C405" t="inlineStr">
        <is>
          <t>Mangkasuy</t>
        </is>
      </c>
      <c r="D405" t="inlineStr">
        <is>
          <t>WS 2021</t>
        </is>
      </c>
      <c r="E405" t="n">
        <v>802.2</v>
      </c>
      <c r="F405" t="n">
        <v>352</v>
      </c>
      <c r="G405" t="n">
        <v>90</v>
      </c>
      <c r="H405" t="n">
        <v>262</v>
      </c>
      <c r="I405" t="n">
        <v>8.06</v>
      </c>
      <c r="J405" t="n">
        <v>27.03</v>
      </c>
      <c r="K405" t="n">
        <v>23.72</v>
      </c>
      <c r="L405" t="n">
        <v>34.26</v>
      </c>
      <c r="M405" t="n">
        <v>82.83</v>
      </c>
      <c r="N405" t="n">
        <v>98.25</v>
      </c>
      <c r="O405" t="n">
        <v>20.27</v>
      </c>
      <c r="P405" t="inlineStr">
        <is>
          <t>Sandy Loam</t>
        </is>
      </c>
      <c r="Y405" t="inlineStr">
        <is>
          <t>Conventional Tillage: 2 plowings + 2 harrowings; soil workable when moist</t>
        </is>
      </c>
      <c r="Z405" t="inlineStr">
        <is>
          <t>Intermittent irrigation (Alternate Wetting and Drying — AWD); moderate retention</t>
        </is>
      </c>
      <c r="AA405" t="inlineStr">
        <is>
          <t>Transplanting (Pindot) or Direct Seeding (Pinaghandaan)</t>
        </is>
      </c>
      <c r="AP405" t="n">
        <v>1.95</v>
      </c>
    </row>
    <row r="406">
      <c r="B406" t="inlineStr">
        <is>
          <t>Palay</t>
        </is>
      </c>
      <c r="C406" t="inlineStr">
        <is>
          <t>Moreno</t>
        </is>
      </c>
      <c r="D406" t="inlineStr">
        <is>
          <t>WS 2021</t>
        </is>
      </c>
      <c r="E406" t="n">
        <v>641.76</v>
      </c>
      <c r="F406" t="n">
        <v>164</v>
      </c>
      <c r="G406" t="n">
        <v>47.4</v>
      </c>
      <c r="H406" t="n">
        <v>116.6</v>
      </c>
      <c r="I406" t="n">
        <v>8.06</v>
      </c>
      <c r="J406" t="n">
        <v>27.03</v>
      </c>
      <c r="K406" t="n">
        <v>23.72</v>
      </c>
      <c r="L406" t="n">
        <v>34.26</v>
      </c>
      <c r="M406" t="n">
        <v>82.83</v>
      </c>
      <c r="N406" t="n">
        <v>98.25</v>
      </c>
      <c r="O406" t="n">
        <v>20.27</v>
      </c>
      <c r="P406" t="inlineStr">
        <is>
          <t>Sandy Loam</t>
        </is>
      </c>
      <c r="Y406" t="inlineStr">
        <is>
          <t>Conventional Tillage: 2 plowings + 2 harrowings; soil workable when moist</t>
        </is>
      </c>
      <c r="Z406" t="inlineStr">
        <is>
          <t>Intermittent irrigation (Alternate Wetting and Drying — AWD); moderate retention; terrace or bund-assisted water retention essential on slopes</t>
        </is>
      </c>
      <c r="AA406" t="inlineStr">
        <is>
          <t>Transplanting (Pindot) or Direct Seeding (Pinaghandaan)</t>
        </is>
      </c>
      <c r="AP406" t="n">
        <v>2.76</v>
      </c>
    </row>
    <row r="407">
      <c r="B407" t="inlineStr">
        <is>
          <t>Palay</t>
        </is>
      </c>
      <c r="C407" t="inlineStr">
        <is>
          <t>Pasileng Norte</t>
        </is>
      </c>
      <c r="D407" t="inlineStr">
        <is>
          <t>WS 2021</t>
        </is>
      </c>
      <c r="E407" t="n">
        <v>140.28</v>
      </c>
      <c r="F407" t="n">
        <v>81</v>
      </c>
      <c r="G407" t="n">
        <v>78.34999999999999</v>
      </c>
      <c r="H407" t="n">
        <v>2.65</v>
      </c>
      <c r="I407" t="n">
        <v>8.06</v>
      </c>
      <c r="J407" t="n">
        <v>27.03</v>
      </c>
      <c r="K407" t="n">
        <v>23.72</v>
      </c>
      <c r="L407" t="n">
        <v>34.26</v>
      </c>
      <c r="M407" t="n">
        <v>82.83</v>
      </c>
      <c r="N407" t="n">
        <v>98.25</v>
      </c>
      <c r="O407" t="n">
        <v>20.27</v>
      </c>
      <c r="P407" t="inlineStr">
        <is>
          <t>Sandy Loam</t>
        </is>
      </c>
      <c r="Y407" t="inlineStr">
        <is>
          <t>Conventional Tillage: 2 plowings + 2 harrowings; soil workable when moist</t>
        </is>
      </c>
      <c r="Z407" t="inlineStr">
        <is>
          <t>Intermittent irrigation (Alternate Wetting and Drying — AWD); moderate retention</t>
        </is>
      </c>
      <c r="AA407" t="inlineStr">
        <is>
          <t>Transplanting (Pindot) or Direct Seeding (Pinaghandaan)</t>
        </is>
      </c>
      <c r="AP407" t="n">
        <v>5.14</v>
      </c>
    </row>
    <row r="408">
      <c r="B408" t="inlineStr">
        <is>
          <t>Palay</t>
        </is>
      </c>
      <c r="C408" t="inlineStr">
        <is>
          <t>Pasileng Sur</t>
        </is>
      </c>
      <c r="D408" t="inlineStr">
        <is>
          <t>WS 2021</t>
        </is>
      </c>
      <c r="E408" t="n">
        <v>414.96</v>
      </c>
      <c r="F408" t="n">
        <v>180</v>
      </c>
      <c r="G408" t="n">
        <v>150.9</v>
      </c>
      <c r="H408" t="n">
        <v>29.1</v>
      </c>
      <c r="I408" t="n">
        <v>8.06</v>
      </c>
      <c r="J408" t="n">
        <v>27.03</v>
      </c>
      <c r="K408" t="n">
        <v>23.72</v>
      </c>
      <c r="L408" t="n">
        <v>34.26</v>
      </c>
      <c r="M408" t="n">
        <v>82.83</v>
      </c>
      <c r="N408" t="n">
        <v>98.25</v>
      </c>
      <c r="O408" t="n">
        <v>20.27</v>
      </c>
      <c r="P408" t="inlineStr">
        <is>
          <t>Sandy Loam</t>
        </is>
      </c>
      <c r="Y408" t="inlineStr">
        <is>
          <t>Conventional Tillage: 2 plowings + 2 harrowings; soil workable when moist</t>
        </is>
      </c>
      <c r="Z408" t="inlineStr">
        <is>
          <t>Intermittent irrigation (Alternate Wetting and Drying — AWD); moderate retention</t>
        </is>
      </c>
      <c r="AA408" t="inlineStr">
        <is>
          <t>Transplanting (Pindot) or Direct Seeding (Pinaghandaan)</t>
        </is>
      </c>
      <c r="AP408" t="n">
        <v>0.29</v>
      </c>
    </row>
    <row r="409">
      <c r="B409" t="inlineStr">
        <is>
          <t>Palay</t>
        </is>
      </c>
      <c r="C409" t="inlineStr">
        <is>
          <t>San Felipe Central</t>
        </is>
      </c>
      <c r="D409" t="inlineStr">
        <is>
          <t>WS 2021</t>
        </is>
      </c>
      <c r="E409" t="n">
        <v>452.76</v>
      </c>
      <c r="F409" t="n">
        <v>179</v>
      </c>
      <c r="G409" t="n">
        <v>117</v>
      </c>
      <c r="H409" t="n">
        <v>62</v>
      </c>
      <c r="I409" t="n">
        <v>8.06</v>
      </c>
      <c r="J409" t="n">
        <v>27.03</v>
      </c>
      <c r="K409" t="n">
        <v>23.72</v>
      </c>
      <c r="L409" t="n">
        <v>34.26</v>
      </c>
      <c r="M409" t="n">
        <v>82.83</v>
      </c>
      <c r="N409" t="n">
        <v>98.25</v>
      </c>
      <c r="O409" t="n">
        <v>20.27</v>
      </c>
      <c r="P409" t="inlineStr">
        <is>
          <t>Sandy Loam</t>
        </is>
      </c>
      <c r="Y409" t="inlineStr">
        <is>
          <t>Conventional Tillage: 2 plowings + 2 harrowings; soil workable when moist</t>
        </is>
      </c>
      <c r="Z409" t="inlineStr">
        <is>
          <t>Intermittent irrigation (Alternate Wetting and Drying — AWD); moderate retention</t>
        </is>
      </c>
      <c r="AA409" t="inlineStr">
        <is>
          <t>Transplanting (Pindot) or Direct Seeding (Pinaghandaan)</t>
        </is>
      </c>
      <c r="AP409" t="n">
        <v>0.27</v>
      </c>
    </row>
    <row r="410">
      <c r="B410" t="inlineStr">
        <is>
          <t>Palay</t>
        </is>
      </c>
      <c r="C410" t="inlineStr">
        <is>
          <t>San Felipe Sur</t>
        </is>
      </c>
      <c r="D410" t="inlineStr">
        <is>
          <t>WS 2021</t>
        </is>
      </c>
      <c r="E410" t="n">
        <v>504</v>
      </c>
      <c r="F410" t="n">
        <v>178</v>
      </c>
      <c r="G410" t="n">
        <v>127.5</v>
      </c>
      <c r="H410" t="n">
        <v>50.5</v>
      </c>
      <c r="I410" t="n">
        <v>8.06</v>
      </c>
      <c r="J410" t="n">
        <v>27.03</v>
      </c>
      <c r="K410" t="n">
        <v>23.72</v>
      </c>
      <c r="L410" t="n">
        <v>34.26</v>
      </c>
      <c r="M410" t="n">
        <v>82.83</v>
      </c>
      <c r="N410" t="n">
        <v>98.25</v>
      </c>
      <c r="O410" t="n">
        <v>20.27</v>
      </c>
      <c r="P410" t="inlineStr">
        <is>
          <t>Sandy Loam</t>
        </is>
      </c>
      <c r="Y410" t="inlineStr">
        <is>
          <t>Conventional Tillage: 2 plowings + 2 harrowings; soil workable when moist</t>
        </is>
      </c>
      <c r="Z410" t="inlineStr">
        <is>
          <t>Intermittent irrigation (Alternate Wetting and Drying — AWD); moderate retention</t>
        </is>
      </c>
      <c r="AA410" t="inlineStr">
        <is>
          <t>Transplanting (Pindot) or Direct Seeding (Pinaghandaan)</t>
        </is>
      </c>
      <c r="AP410" t="n">
        <v>0.21</v>
      </c>
    </row>
    <row r="411">
      <c r="B411" t="inlineStr">
        <is>
          <t>Palay</t>
        </is>
      </c>
      <c r="C411" t="inlineStr">
        <is>
          <t>San Pablo</t>
        </is>
      </c>
      <c r="D411" t="inlineStr">
        <is>
          <t>WS 2021</t>
        </is>
      </c>
      <c r="E411" t="n">
        <v>215.04</v>
      </c>
      <c r="F411" t="n">
        <v>134</v>
      </c>
      <c r="G411" t="n">
        <v>103.5</v>
      </c>
      <c r="H411" t="n">
        <v>30.5</v>
      </c>
      <c r="I411" t="n">
        <v>8.06</v>
      </c>
      <c r="J411" t="n">
        <v>27.03</v>
      </c>
      <c r="K411" t="n">
        <v>23.72</v>
      </c>
      <c r="L411" t="n">
        <v>34.26</v>
      </c>
      <c r="M411" t="n">
        <v>82.83</v>
      </c>
      <c r="N411" t="n">
        <v>98.25</v>
      </c>
      <c r="O411" t="n">
        <v>20.27</v>
      </c>
      <c r="P411" t="inlineStr">
        <is>
          <t>Sandy Loam</t>
        </is>
      </c>
      <c r="Y411" t="inlineStr">
        <is>
          <t>Conventional Tillage: 2 plowings + 2 harrowings; soil workable when moist</t>
        </is>
      </c>
      <c r="Z411" t="inlineStr">
        <is>
          <t>Intermittent irrigation (Alternate Wetting and Drying — AWD); moderate retention</t>
        </is>
      </c>
      <c r="AA411" t="inlineStr">
        <is>
          <t>Transplanting (Pindot) or Direct Seeding (Pinaghandaan)</t>
        </is>
      </c>
      <c r="AP411" t="n">
        <v>2.45</v>
      </c>
    </row>
    <row r="412">
      <c r="B412" t="inlineStr">
        <is>
          <t>Palay</t>
        </is>
      </c>
      <c r="C412" t="inlineStr">
        <is>
          <t>Santiago</t>
        </is>
      </c>
      <c r="D412" t="inlineStr">
        <is>
          <t>WS 2021</t>
        </is>
      </c>
      <c r="E412" t="n">
        <v>283.08</v>
      </c>
      <c r="F412" t="n">
        <v>249</v>
      </c>
      <c r="G412" t="n">
        <v>103.6</v>
      </c>
      <c r="H412" t="n">
        <v>145.4</v>
      </c>
      <c r="I412" t="n">
        <v>8.06</v>
      </c>
      <c r="J412" t="n">
        <v>27.03</v>
      </c>
      <c r="K412" t="n">
        <v>23.72</v>
      </c>
      <c r="L412" t="n">
        <v>34.26</v>
      </c>
      <c r="M412" t="n">
        <v>82.83</v>
      </c>
      <c r="N412" t="n">
        <v>98.25</v>
      </c>
      <c r="O412" t="n">
        <v>20.27</v>
      </c>
      <c r="P412" t="inlineStr">
        <is>
          <t>Silty Clay Loam</t>
        </is>
      </c>
      <c r="Y412" t="inlineStr">
        <is>
          <t>Wet Tillage (Puddling): 2 plowings + thorough harrowing under flooded condition</t>
        </is>
      </c>
      <c r="Z412" t="inlineStr">
        <is>
          <t>Continuous flooding 2–5 cm depth during vegetative stage; drain 2 weeks before harvest</t>
        </is>
      </c>
      <c r="AA412" t="inlineStr">
        <is>
          <t>Transplanting (Pindot) — optimal for clay-loam paddy fields</t>
        </is>
      </c>
      <c r="AP412" t="n">
        <v>7.89</v>
      </c>
    </row>
    <row r="413">
      <c r="B413" t="inlineStr">
        <is>
          <t>Palay</t>
        </is>
      </c>
      <c r="C413" t="inlineStr">
        <is>
          <t>Sta. Catalina</t>
        </is>
      </c>
      <c r="D413" t="inlineStr">
        <is>
          <t>WS 2021</t>
        </is>
      </c>
      <c r="E413" t="n">
        <v>709.8</v>
      </c>
      <c r="F413" t="n">
        <v>229</v>
      </c>
      <c r="G413" t="n">
        <v>49</v>
      </c>
      <c r="H413" t="n">
        <v>180</v>
      </c>
      <c r="I413" t="n">
        <v>8.06</v>
      </c>
      <c r="J413" t="n">
        <v>27.03</v>
      </c>
      <c r="K413" t="n">
        <v>23.72</v>
      </c>
      <c r="L413" t="n">
        <v>34.26</v>
      </c>
      <c r="M413" t="n">
        <v>82.83</v>
      </c>
      <c r="N413" t="n">
        <v>98.25</v>
      </c>
      <c r="O413" t="n">
        <v>20.27</v>
      </c>
      <c r="P413" t="inlineStr">
        <is>
          <t>Fine Sand / Sandy Loam</t>
        </is>
      </c>
      <c r="Y413" t="inlineStr">
        <is>
          <t>Minimum Tillage (avoid compaction; sandy structure fragile)</t>
        </is>
      </c>
      <c r="Z413" t="inlineStr">
        <is>
          <t>Continuous flooding or frequent irrigation; high percolation risk; terrace or bund-assisted water retention essential on slopes</t>
        </is>
      </c>
      <c r="AA413" t="inlineStr">
        <is>
          <t>Transplanting (Pindot)</t>
        </is>
      </c>
      <c r="AP413" t="n">
        <v>7.03</v>
      </c>
    </row>
    <row r="414">
      <c r="B414" t="inlineStr">
        <is>
          <t>Palay</t>
        </is>
      </c>
      <c r="C414" t="inlineStr">
        <is>
          <t>Sta. Maria Norte</t>
        </is>
      </c>
      <c r="D414" t="inlineStr">
        <is>
          <t>WS 2021</t>
        </is>
      </c>
      <c r="E414" t="n">
        <v>157.08</v>
      </c>
      <c r="F414" t="n">
        <v>68</v>
      </c>
      <c r="G414" t="n">
        <v>24.5</v>
      </c>
      <c r="H414" t="n">
        <v>43.5</v>
      </c>
      <c r="I414" t="n">
        <v>8.06</v>
      </c>
      <c r="J414" t="n">
        <v>27.03</v>
      </c>
      <c r="K414" t="n">
        <v>23.72</v>
      </c>
      <c r="L414" t="n">
        <v>34.26</v>
      </c>
      <c r="M414" t="n">
        <v>82.83</v>
      </c>
      <c r="N414" t="n">
        <v>98.25</v>
      </c>
      <c r="O414" t="n">
        <v>20.27</v>
      </c>
      <c r="P414" t="inlineStr">
        <is>
          <t>Sandy Loam</t>
        </is>
      </c>
      <c r="Y414" t="inlineStr">
        <is>
          <t>Conventional Tillage: 2 plowings + 2 harrowings; soil workable when moist</t>
        </is>
      </c>
      <c r="Z414" t="inlineStr">
        <is>
          <t>Intermittent irrigation (Alternate Wetting and Drying — AWD); moderate retention</t>
        </is>
      </c>
      <c r="AA414" t="inlineStr">
        <is>
          <t>Transplanting (Pindot) or Direct Seeding (Pinaghandaan)</t>
        </is>
      </c>
      <c r="AP414" t="n">
        <v>0.24</v>
      </c>
    </row>
    <row r="415">
      <c r="B415" t="inlineStr">
        <is>
          <t>Palay</t>
        </is>
      </c>
      <c r="C415" t="inlineStr">
        <is>
          <t>Sumabnit</t>
        </is>
      </c>
      <c r="D415" t="inlineStr">
        <is>
          <t>WS 2021</t>
        </is>
      </c>
      <c r="E415" t="n">
        <v>406.56</v>
      </c>
      <c r="F415" t="n">
        <v>257</v>
      </c>
      <c r="G415" t="n">
        <v>133.3</v>
      </c>
      <c r="H415" t="n">
        <v>123.7</v>
      </c>
      <c r="I415" t="n">
        <v>8.06</v>
      </c>
      <c r="J415" t="n">
        <v>27.03</v>
      </c>
      <c r="K415" t="n">
        <v>23.72</v>
      </c>
      <c r="L415" t="n">
        <v>34.26</v>
      </c>
      <c r="M415" t="n">
        <v>82.83</v>
      </c>
      <c r="N415" t="n">
        <v>98.25</v>
      </c>
      <c r="O415" t="n">
        <v>20.27</v>
      </c>
      <c r="P415" t="inlineStr">
        <is>
          <t>Silty Clay Loam / Fine Sandy Loam</t>
        </is>
      </c>
      <c r="Y415" t="inlineStr">
        <is>
          <t>Minimum Tillage (avoid compaction; sandy structure fragile)</t>
        </is>
      </c>
      <c r="Z415" t="inlineStr">
        <is>
          <t>Continuous flooding or frequent irrigation; high percolation risk</t>
        </is>
      </c>
      <c r="AA415" t="inlineStr">
        <is>
          <t>Transplanting (Pindot)</t>
        </is>
      </c>
      <c r="AP415" t="n">
        <v>4.53</v>
      </c>
    </row>
    <row r="416">
      <c r="B416" t="inlineStr">
        <is>
          <t>Palay</t>
        </is>
      </c>
      <c r="C416" t="inlineStr">
        <is>
          <t>Tabuyoc</t>
        </is>
      </c>
      <c r="D416" t="inlineStr">
        <is>
          <t>WS 2021</t>
        </is>
      </c>
      <c r="E416" t="n">
        <v>277.2</v>
      </c>
      <c r="F416" t="n">
        <v>139</v>
      </c>
      <c r="G416" t="n">
        <v>134</v>
      </c>
      <c r="H416" t="n">
        <v>5</v>
      </c>
      <c r="I416" t="n">
        <v>8.06</v>
      </c>
      <c r="J416" t="n">
        <v>27.03</v>
      </c>
      <c r="K416" t="n">
        <v>23.72</v>
      </c>
      <c r="L416" t="n">
        <v>34.26</v>
      </c>
      <c r="M416" t="n">
        <v>82.83</v>
      </c>
      <c r="N416" t="n">
        <v>98.25</v>
      </c>
      <c r="O416" t="n">
        <v>20.27</v>
      </c>
      <c r="P416" t="inlineStr">
        <is>
          <t>Silty Clay Loam</t>
        </is>
      </c>
      <c r="Y416" t="inlineStr">
        <is>
          <t>Wet Tillage (Puddling): 2 plowings + thorough harrowing under flooded condition</t>
        </is>
      </c>
      <c r="Z416" t="inlineStr">
        <is>
          <t>Continuous flooding 2–5 cm depth during vegetative stage; drain 2 weeks before harvest</t>
        </is>
      </c>
      <c r="AA416" t="inlineStr">
        <is>
          <t>Transplanting (Pindot) — optimal for clay-loam paddy fields</t>
        </is>
      </c>
      <c r="AP416" t="n">
        <v>0.36</v>
      </c>
    </row>
    <row r="417">
      <c r="B417" t="inlineStr">
        <is>
          <t>Palay</t>
        </is>
      </c>
      <c r="C417" t="inlineStr">
        <is>
          <t>Vacante</t>
        </is>
      </c>
      <c r="D417" t="inlineStr">
        <is>
          <t>WS 2021</t>
        </is>
      </c>
      <c r="E417" t="n">
        <v>484.68</v>
      </c>
      <c r="F417" t="n">
        <v>109</v>
      </c>
      <c r="G417" t="n">
        <v>28</v>
      </c>
      <c r="H417" t="n">
        <v>81</v>
      </c>
      <c r="I417" t="n">
        <v>8.06</v>
      </c>
      <c r="J417" t="n">
        <v>27.03</v>
      </c>
      <c r="K417" t="n">
        <v>23.72</v>
      </c>
      <c r="L417" t="n">
        <v>34.26</v>
      </c>
      <c r="M417" t="n">
        <v>82.83</v>
      </c>
      <c r="N417" t="n">
        <v>98.25</v>
      </c>
      <c r="O417" t="n">
        <v>20.27</v>
      </c>
      <c r="P417" t="inlineStr">
        <is>
          <t>Silty Clay Loam</t>
        </is>
      </c>
      <c r="Y417" t="inlineStr">
        <is>
          <t>Wet Tillage (Puddling): 2 plowings + thorough harrowing under flooded condition</t>
        </is>
      </c>
      <c r="Z417" t="inlineStr">
        <is>
          <t>Continuous flooding 2–5 cm depth during vegetative stage; drain 2 weeks before harvest</t>
        </is>
      </c>
      <c r="AA417" t="inlineStr">
        <is>
          <t>Transplanting (Pindot) — optimal for clay-loam paddy fields</t>
        </is>
      </c>
      <c r="AP417" t="n">
        <v>1.31</v>
      </c>
    </row>
    <row r="418">
      <c r="B418" t="inlineStr">
        <is>
          <t>Palay</t>
        </is>
      </c>
      <c r="C418" t="inlineStr">
        <is>
          <t>Balangobong</t>
        </is>
      </c>
      <c r="D418" t="inlineStr">
        <is>
          <t>WS 2022</t>
        </is>
      </c>
      <c r="E418" t="n">
        <v>281.4</v>
      </c>
      <c r="F418" t="n">
        <v>135</v>
      </c>
      <c r="G418" t="n">
        <v>120</v>
      </c>
      <c r="H418" t="n">
        <v>15</v>
      </c>
      <c r="I418" t="n">
        <v>8.01</v>
      </c>
      <c r="J418" t="n">
        <v>27.14</v>
      </c>
      <c r="K418" t="n">
        <v>23.01</v>
      </c>
      <c r="L418" t="n">
        <v>32.47</v>
      </c>
      <c r="M418" t="n">
        <v>82.48</v>
      </c>
      <c r="N418" t="n">
        <v>98.2</v>
      </c>
      <c r="O418" t="n">
        <v>20.55</v>
      </c>
      <c r="P418" t="inlineStr">
        <is>
          <t>Silty Clay Loam</t>
        </is>
      </c>
      <c r="Y418" t="inlineStr">
        <is>
          <t>Wet Tillage (Puddling): 2 plowings + thorough harrowing under flooded condition</t>
        </is>
      </c>
      <c r="Z418" t="inlineStr">
        <is>
          <t>Continuous flooding 2–5 cm depth during vegetative stage; drain 2 weeks before harvest</t>
        </is>
      </c>
      <c r="AA418" t="inlineStr">
        <is>
          <t>Transplanting (Pindot) — optimal for clay-loam paddy fields</t>
        </is>
      </c>
      <c r="AP418" t="n">
        <v>0</v>
      </c>
    </row>
    <row r="419">
      <c r="B419" t="inlineStr">
        <is>
          <t>Palay</t>
        </is>
      </c>
      <c r="C419" t="inlineStr">
        <is>
          <t>Bued</t>
        </is>
      </c>
      <c r="D419" t="inlineStr">
        <is>
          <t>WS 2022</t>
        </is>
      </c>
      <c r="E419" t="n">
        <v>210.84</v>
      </c>
      <c r="F419" t="n">
        <v>94</v>
      </c>
      <c r="G419" t="n">
        <v>56.5</v>
      </c>
      <c r="H419" t="n">
        <v>37.5</v>
      </c>
      <c r="I419" t="n">
        <v>8.01</v>
      </c>
      <c r="J419" t="n">
        <v>27.14</v>
      </c>
      <c r="K419" t="n">
        <v>23.01</v>
      </c>
      <c r="L419" t="n">
        <v>32.47</v>
      </c>
      <c r="M419" t="n">
        <v>82.48</v>
      </c>
      <c r="N419" t="n">
        <v>98.2</v>
      </c>
      <c r="O419" t="n">
        <v>20.55</v>
      </c>
      <c r="P419" t="inlineStr">
        <is>
          <t>Silty Clay Loam</t>
        </is>
      </c>
      <c r="Y419" t="inlineStr">
        <is>
          <t>Wet Tillage (Puddling): 2 plowings + thorough harrowing under flooded condition</t>
        </is>
      </c>
      <c r="Z419" t="inlineStr">
        <is>
          <t>Continuous flooding 2–5 cm depth during vegetative stage; drain 2 weeks before harvest</t>
        </is>
      </c>
      <c r="AA419" t="inlineStr">
        <is>
          <t>Transplanting (Pindot) — optimal for clay-loam paddy fields</t>
        </is>
      </c>
      <c r="AP419" t="n">
        <v>0</v>
      </c>
    </row>
    <row r="420">
      <c r="B420" t="inlineStr">
        <is>
          <t>Palay</t>
        </is>
      </c>
      <c r="C420" t="inlineStr">
        <is>
          <t>Bugayong</t>
        </is>
      </c>
      <c r="D420" t="inlineStr">
        <is>
          <t>WS 2022</t>
        </is>
      </c>
      <c r="E420" t="n">
        <v>346.08</v>
      </c>
      <c r="F420" t="n">
        <v>78</v>
      </c>
      <c r="G420" t="n">
        <v>25.95</v>
      </c>
      <c r="H420" t="n">
        <v>52.05</v>
      </c>
      <c r="I420" t="n">
        <v>8.01</v>
      </c>
      <c r="J420" t="n">
        <v>27.14</v>
      </c>
      <c r="K420" t="n">
        <v>23.01</v>
      </c>
      <c r="L420" t="n">
        <v>32.47</v>
      </c>
      <c r="M420" t="n">
        <v>82.48</v>
      </c>
      <c r="N420" t="n">
        <v>98.2</v>
      </c>
      <c r="O420" t="n">
        <v>20.55</v>
      </c>
      <c r="P420" t="inlineStr">
        <is>
          <t>Sandy Loam / Silty Clay Loam</t>
        </is>
      </c>
      <c r="Y420" t="inlineStr">
        <is>
          <t>Conventional Tillage: 2 plowings + harrowing; puddle thoroughly for transplanting</t>
        </is>
      </c>
      <c r="Z420" t="inlineStr">
        <is>
          <t>Intermittent to continuous flooding; manage according to drainage section present</t>
        </is>
      </c>
      <c r="AA420" t="inlineStr">
        <is>
          <t>Transplanting (Pindot) — recommended; Direct Seeding possible in dry season</t>
        </is>
      </c>
      <c r="AP420" t="n">
        <v>0</v>
      </c>
    </row>
    <row r="421">
      <c r="B421" t="inlineStr">
        <is>
          <t>Palay</t>
        </is>
      </c>
      <c r="C421" t="inlineStr">
        <is>
          <t>Camanggaan</t>
        </is>
      </c>
      <c r="D421" t="inlineStr">
        <is>
          <t>WS 2022</t>
        </is>
      </c>
      <c r="E421" t="n">
        <v>244.44</v>
      </c>
      <c r="F421" t="n">
        <v>87</v>
      </c>
      <c r="G421" t="n">
        <v>19</v>
      </c>
      <c r="H421" t="n">
        <v>68</v>
      </c>
      <c r="I421" t="n">
        <v>8.01</v>
      </c>
      <c r="J421" t="n">
        <v>27.14</v>
      </c>
      <c r="K421" t="n">
        <v>23.01</v>
      </c>
      <c r="L421" t="n">
        <v>32.47</v>
      </c>
      <c r="M421" t="n">
        <v>82.48</v>
      </c>
      <c r="N421" t="n">
        <v>98.2</v>
      </c>
      <c r="O421" t="n">
        <v>20.55</v>
      </c>
      <c r="P421" t="inlineStr">
        <is>
          <t>Sandy Loam</t>
        </is>
      </c>
      <c r="Y421" t="inlineStr">
        <is>
          <t>Conventional Tillage: 2 plowings + 2 harrowings; soil workable when moist</t>
        </is>
      </c>
      <c r="Z421" t="inlineStr">
        <is>
          <t>Intermittent irrigation (Alternate Wetting and Drying — AWD); moderate retention</t>
        </is>
      </c>
      <c r="AA421" t="inlineStr">
        <is>
          <t>Transplanting (Pindot) or Direct Seeding (Pinaghandaan)</t>
        </is>
      </c>
      <c r="AP421" t="n">
        <v>0</v>
      </c>
    </row>
    <row r="422">
      <c r="B422" t="inlineStr">
        <is>
          <t>Palay</t>
        </is>
      </c>
      <c r="C422" t="inlineStr">
        <is>
          <t>Capas</t>
        </is>
      </c>
      <c r="D422" t="inlineStr">
        <is>
          <t>WS 2022</t>
        </is>
      </c>
      <c r="E422" t="n">
        <v>377.16</v>
      </c>
      <c r="F422" t="n">
        <v>303</v>
      </c>
      <c r="G422" t="n">
        <v>139</v>
      </c>
      <c r="H422" t="n">
        <v>164</v>
      </c>
      <c r="I422" t="n">
        <v>8.01</v>
      </c>
      <c r="J422" t="n">
        <v>27.14</v>
      </c>
      <c r="K422" t="n">
        <v>23.01</v>
      </c>
      <c r="L422" t="n">
        <v>32.47</v>
      </c>
      <c r="M422" t="n">
        <v>82.48</v>
      </c>
      <c r="N422" t="n">
        <v>98.2</v>
      </c>
      <c r="O422" t="n">
        <v>20.55</v>
      </c>
      <c r="P422" t="inlineStr">
        <is>
          <t>Sandy Loam</t>
        </is>
      </c>
      <c r="Y422" t="inlineStr">
        <is>
          <t>Conventional Tillage: 2 plowings + 2 harrowings; soil workable when moist</t>
        </is>
      </c>
      <c r="Z422" t="inlineStr">
        <is>
          <t>Intermittent irrigation (Alternate Wetting and Drying — AWD); moderate retention</t>
        </is>
      </c>
      <c r="AA422" t="inlineStr">
        <is>
          <t>Transplanting (Pindot) or Direct Seeding (Pinaghandaan)</t>
        </is>
      </c>
      <c r="AP422" t="n">
        <v>0</v>
      </c>
    </row>
    <row r="423">
      <c r="B423" t="inlineStr">
        <is>
          <t>Palay</t>
        </is>
      </c>
      <c r="C423" t="inlineStr">
        <is>
          <t>Cili</t>
        </is>
      </c>
      <c r="D423" t="inlineStr">
        <is>
          <t>WS 2022</t>
        </is>
      </c>
      <c r="E423" t="n">
        <v>264.6</v>
      </c>
      <c r="F423" t="n">
        <v>168</v>
      </c>
      <c r="G423" t="n">
        <v>40</v>
      </c>
      <c r="H423" t="n">
        <v>128</v>
      </c>
      <c r="I423" t="n">
        <v>8.01</v>
      </c>
      <c r="J423" t="n">
        <v>27.14</v>
      </c>
      <c r="K423" t="n">
        <v>23.01</v>
      </c>
      <c r="L423" t="n">
        <v>32.47</v>
      </c>
      <c r="M423" t="n">
        <v>82.48</v>
      </c>
      <c r="N423" t="n">
        <v>98.2</v>
      </c>
      <c r="O423" t="n">
        <v>20.55</v>
      </c>
      <c r="P423" t="inlineStr">
        <is>
          <t>Silty Clay Loam</t>
        </is>
      </c>
      <c r="Y423" t="inlineStr">
        <is>
          <t>Wet Tillage (Puddling): 2 plowings + thorough harrowing under flooded condition</t>
        </is>
      </c>
      <c r="Z423" t="inlineStr">
        <is>
          <t>Continuous flooding 2–5 cm depth during vegetative stage; drain 2 weeks before harvest</t>
        </is>
      </c>
      <c r="AA423" t="inlineStr">
        <is>
          <t>Transplanting (Pindot) — optimal for clay-loam paddy fields</t>
        </is>
      </c>
      <c r="AP423" t="n">
        <v>0</v>
      </c>
    </row>
    <row r="424">
      <c r="B424" t="inlineStr">
        <is>
          <t>Palay</t>
        </is>
      </c>
      <c r="C424" t="inlineStr">
        <is>
          <t>Dumayat</t>
        </is>
      </c>
      <c r="D424" t="inlineStr">
        <is>
          <t>WS 2022</t>
        </is>
      </c>
      <c r="E424" t="n">
        <v>266.28</v>
      </c>
      <c r="F424" t="n">
        <v>86</v>
      </c>
      <c r="G424" t="n">
        <v>56</v>
      </c>
      <c r="H424" t="n">
        <v>30</v>
      </c>
      <c r="I424" t="n">
        <v>8.01</v>
      </c>
      <c r="J424" t="n">
        <v>27.14</v>
      </c>
      <c r="K424" t="n">
        <v>23.01</v>
      </c>
      <c r="L424" t="n">
        <v>32.47</v>
      </c>
      <c r="M424" t="n">
        <v>82.48</v>
      </c>
      <c r="N424" t="n">
        <v>98.2</v>
      </c>
      <c r="O424" t="n">
        <v>20.55</v>
      </c>
      <c r="P424" t="inlineStr">
        <is>
          <t>Silty Clay Loam</t>
        </is>
      </c>
      <c r="Y424" t="inlineStr">
        <is>
          <t>Wet Tillage (Puddling): 2 plowings + thorough harrowing under flooded condition</t>
        </is>
      </c>
      <c r="Z424" t="inlineStr">
        <is>
          <t>Continuous flooding 2–5 cm depth during vegetative stage; drain 2 weeks before harvest</t>
        </is>
      </c>
      <c r="AA424" t="inlineStr">
        <is>
          <t>Transplanting (Pindot) — optimal for clay-loam paddy fields</t>
        </is>
      </c>
      <c r="AP424" t="n">
        <v>0</v>
      </c>
    </row>
    <row r="425">
      <c r="B425" t="inlineStr">
        <is>
          <t>Palay</t>
        </is>
      </c>
      <c r="C425" t="inlineStr">
        <is>
          <t>Linmansangan</t>
        </is>
      </c>
      <c r="D425" t="inlineStr">
        <is>
          <t>WS 2022</t>
        </is>
      </c>
      <c r="E425" t="n">
        <v>492.24</v>
      </c>
      <c r="F425" t="n">
        <v>194.5</v>
      </c>
      <c r="G425" t="n">
        <v>65.5</v>
      </c>
      <c r="H425" t="n">
        <v>129</v>
      </c>
      <c r="I425" t="n">
        <v>8.01</v>
      </c>
      <c r="J425" t="n">
        <v>27.14</v>
      </c>
      <c r="K425" t="n">
        <v>23.01</v>
      </c>
      <c r="L425" t="n">
        <v>32.47</v>
      </c>
      <c r="M425" t="n">
        <v>82.48</v>
      </c>
      <c r="N425" t="n">
        <v>98.2</v>
      </c>
      <c r="O425" t="n">
        <v>20.55</v>
      </c>
      <c r="P425" t="inlineStr">
        <is>
          <t>Silty Clay Loam</t>
        </is>
      </c>
      <c r="Y425" t="inlineStr">
        <is>
          <t>Wet Tillage (Puddling): 2 plowings + thorough harrowing under flooded condition</t>
        </is>
      </c>
      <c r="Z425" t="inlineStr">
        <is>
          <t>Continuous flooding 2–5 cm depth during vegetative stage; drain 2 weeks before harvest</t>
        </is>
      </c>
      <c r="AA425" t="inlineStr">
        <is>
          <t>Transplanting (Pindot) — optimal for clay-loam paddy fields</t>
        </is>
      </c>
      <c r="AP425" t="n">
        <v>0</v>
      </c>
    </row>
    <row r="426">
      <c r="B426" t="inlineStr">
        <is>
          <t>Palay</t>
        </is>
      </c>
      <c r="C426" t="inlineStr">
        <is>
          <t>Mangkasuy</t>
        </is>
      </c>
      <c r="D426" t="inlineStr">
        <is>
          <t>WS 2022</t>
        </is>
      </c>
      <c r="E426" t="n">
        <v>802.2</v>
      </c>
      <c r="F426" t="n">
        <v>352</v>
      </c>
      <c r="G426" t="n">
        <v>90</v>
      </c>
      <c r="H426" t="n">
        <v>262</v>
      </c>
      <c r="I426" t="n">
        <v>8.01</v>
      </c>
      <c r="J426" t="n">
        <v>27.14</v>
      </c>
      <c r="K426" t="n">
        <v>23.01</v>
      </c>
      <c r="L426" t="n">
        <v>32.47</v>
      </c>
      <c r="M426" t="n">
        <v>82.48</v>
      </c>
      <c r="N426" t="n">
        <v>98.2</v>
      </c>
      <c r="O426" t="n">
        <v>20.55</v>
      </c>
      <c r="P426" t="inlineStr">
        <is>
          <t>Sandy Loam</t>
        </is>
      </c>
      <c r="Y426" t="inlineStr">
        <is>
          <t>Conventional Tillage: 2 plowings + 2 harrowings; soil workable when moist</t>
        </is>
      </c>
      <c r="Z426" t="inlineStr">
        <is>
          <t>Intermittent irrigation (Alternate Wetting and Drying — AWD); moderate retention</t>
        </is>
      </c>
      <c r="AA426" t="inlineStr">
        <is>
          <t>Transplanting (Pindot) or Direct Seeding (Pinaghandaan)</t>
        </is>
      </c>
      <c r="AP426" t="n">
        <v>0</v>
      </c>
    </row>
    <row r="427">
      <c r="B427" t="inlineStr">
        <is>
          <t>Palay</t>
        </is>
      </c>
      <c r="C427" t="inlineStr">
        <is>
          <t>Moreno</t>
        </is>
      </c>
      <c r="D427" t="inlineStr">
        <is>
          <t>WS 2022</t>
        </is>
      </c>
      <c r="E427" t="n">
        <v>641.76</v>
      </c>
      <c r="F427" t="n">
        <v>164</v>
      </c>
      <c r="G427" t="n">
        <v>47.4</v>
      </c>
      <c r="H427" t="n">
        <v>116.6</v>
      </c>
      <c r="I427" t="n">
        <v>8.01</v>
      </c>
      <c r="J427" t="n">
        <v>27.14</v>
      </c>
      <c r="K427" t="n">
        <v>23.01</v>
      </c>
      <c r="L427" t="n">
        <v>32.47</v>
      </c>
      <c r="M427" t="n">
        <v>82.48</v>
      </c>
      <c r="N427" t="n">
        <v>98.2</v>
      </c>
      <c r="O427" t="n">
        <v>20.55</v>
      </c>
      <c r="P427" t="inlineStr">
        <is>
          <t>Sandy Loam</t>
        </is>
      </c>
      <c r="Y427" t="inlineStr">
        <is>
          <t>Conventional Tillage: 2 plowings + 2 harrowings; soil workable when moist</t>
        </is>
      </c>
      <c r="Z427" t="inlineStr">
        <is>
          <t>Intermittent irrigation (Alternate Wetting and Drying — AWD); moderate retention; terrace or bund-assisted water retention essential on slopes</t>
        </is>
      </c>
      <c r="AA427" t="inlineStr">
        <is>
          <t>Transplanting (Pindot) or Direct Seeding (Pinaghandaan)</t>
        </is>
      </c>
      <c r="AP427" t="n">
        <v>0</v>
      </c>
    </row>
    <row r="428">
      <c r="B428" t="inlineStr">
        <is>
          <t>Palay</t>
        </is>
      </c>
      <c r="C428" t="inlineStr">
        <is>
          <t>Pasileng Norte</t>
        </is>
      </c>
      <c r="D428" t="inlineStr">
        <is>
          <t>WS 2022</t>
        </is>
      </c>
      <c r="E428" t="n">
        <v>140.28</v>
      </c>
      <c r="F428" t="n">
        <v>81</v>
      </c>
      <c r="G428" t="n">
        <v>78.34999999999999</v>
      </c>
      <c r="H428" t="n">
        <v>2.65</v>
      </c>
      <c r="I428" t="n">
        <v>8.01</v>
      </c>
      <c r="J428" t="n">
        <v>27.14</v>
      </c>
      <c r="K428" t="n">
        <v>23.01</v>
      </c>
      <c r="L428" t="n">
        <v>32.47</v>
      </c>
      <c r="M428" t="n">
        <v>82.48</v>
      </c>
      <c r="N428" t="n">
        <v>98.2</v>
      </c>
      <c r="O428" t="n">
        <v>20.55</v>
      </c>
      <c r="P428" t="inlineStr">
        <is>
          <t>Sandy Loam</t>
        </is>
      </c>
      <c r="Y428" t="inlineStr">
        <is>
          <t>Conventional Tillage: 2 plowings + 2 harrowings; soil workable when moist</t>
        </is>
      </c>
      <c r="Z428" t="inlineStr">
        <is>
          <t>Intermittent irrigation (Alternate Wetting and Drying — AWD); moderate retention</t>
        </is>
      </c>
      <c r="AA428" t="inlineStr">
        <is>
          <t>Transplanting (Pindot) or Direct Seeding (Pinaghandaan)</t>
        </is>
      </c>
      <c r="AP428" t="n">
        <v>0</v>
      </c>
    </row>
    <row r="429">
      <c r="B429" t="inlineStr">
        <is>
          <t>Palay</t>
        </is>
      </c>
      <c r="C429" t="inlineStr">
        <is>
          <t>Pasileng Sur</t>
        </is>
      </c>
      <c r="D429" t="inlineStr">
        <is>
          <t>WS 2022</t>
        </is>
      </c>
      <c r="E429" t="n">
        <v>414.96</v>
      </c>
      <c r="F429" t="n">
        <v>180</v>
      </c>
      <c r="G429" t="n">
        <v>150.9</v>
      </c>
      <c r="H429" t="n">
        <v>29.1</v>
      </c>
      <c r="I429" t="n">
        <v>8.01</v>
      </c>
      <c r="J429" t="n">
        <v>27.14</v>
      </c>
      <c r="K429" t="n">
        <v>23.01</v>
      </c>
      <c r="L429" t="n">
        <v>32.47</v>
      </c>
      <c r="M429" t="n">
        <v>82.48</v>
      </c>
      <c r="N429" t="n">
        <v>98.2</v>
      </c>
      <c r="O429" t="n">
        <v>20.55</v>
      </c>
      <c r="P429" t="inlineStr">
        <is>
          <t>Sandy Loam</t>
        </is>
      </c>
      <c r="Y429" t="inlineStr">
        <is>
          <t>Conventional Tillage: 2 plowings + 2 harrowings; soil workable when moist</t>
        </is>
      </c>
      <c r="Z429" t="inlineStr">
        <is>
          <t>Intermittent irrigation (Alternate Wetting and Drying — AWD); moderate retention</t>
        </is>
      </c>
      <c r="AA429" t="inlineStr">
        <is>
          <t>Transplanting (Pindot) or Direct Seeding (Pinaghandaan)</t>
        </is>
      </c>
      <c r="AP429" t="n">
        <v>0</v>
      </c>
    </row>
    <row r="430">
      <c r="B430" t="inlineStr">
        <is>
          <t>Palay</t>
        </is>
      </c>
      <c r="C430" t="inlineStr">
        <is>
          <t>San Felipe Central</t>
        </is>
      </c>
      <c r="D430" t="inlineStr">
        <is>
          <t>WS 2022</t>
        </is>
      </c>
      <c r="E430" t="n">
        <v>452.76</v>
      </c>
      <c r="F430" t="n">
        <v>179</v>
      </c>
      <c r="G430" t="n">
        <v>117</v>
      </c>
      <c r="H430" t="n">
        <v>62</v>
      </c>
      <c r="I430" t="n">
        <v>8.01</v>
      </c>
      <c r="J430" t="n">
        <v>27.14</v>
      </c>
      <c r="K430" t="n">
        <v>23.01</v>
      </c>
      <c r="L430" t="n">
        <v>32.47</v>
      </c>
      <c r="M430" t="n">
        <v>82.48</v>
      </c>
      <c r="N430" t="n">
        <v>98.2</v>
      </c>
      <c r="O430" t="n">
        <v>20.55</v>
      </c>
      <c r="P430" t="inlineStr">
        <is>
          <t>Sandy Loam</t>
        </is>
      </c>
      <c r="Y430" t="inlineStr">
        <is>
          <t>Conventional Tillage: 2 plowings + 2 harrowings; soil workable when moist</t>
        </is>
      </c>
      <c r="Z430" t="inlineStr">
        <is>
          <t>Intermittent irrigation (Alternate Wetting and Drying — AWD); moderate retention</t>
        </is>
      </c>
      <c r="AA430" t="inlineStr">
        <is>
          <t>Transplanting (Pindot) or Direct Seeding (Pinaghandaan)</t>
        </is>
      </c>
      <c r="AP430" t="n">
        <v>0</v>
      </c>
    </row>
    <row r="431">
      <c r="B431" t="inlineStr">
        <is>
          <t>Palay</t>
        </is>
      </c>
      <c r="C431" t="inlineStr">
        <is>
          <t>San Felipe Sur</t>
        </is>
      </c>
      <c r="D431" t="inlineStr">
        <is>
          <t>WS 2022</t>
        </is>
      </c>
      <c r="E431" t="n">
        <v>504</v>
      </c>
      <c r="F431" t="n">
        <v>178</v>
      </c>
      <c r="G431" t="n">
        <v>127.5</v>
      </c>
      <c r="H431" t="n">
        <v>50.5</v>
      </c>
      <c r="I431" t="n">
        <v>8.01</v>
      </c>
      <c r="J431" t="n">
        <v>27.14</v>
      </c>
      <c r="K431" t="n">
        <v>23.01</v>
      </c>
      <c r="L431" t="n">
        <v>32.47</v>
      </c>
      <c r="M431" t="n">
        <v>82.48</v>
      </c>
      <c r="N431" t="n">
        <v>98.2</v>
      </c>
      <c r="O431" t="n">
        <v>20.55</v>
      </c>
      <c r="P431" t="inlineStr">
        <is>
          <t>Sandy Loam</t>
        </is>
      </c>
      <c r="Y431" t="inlineStr">
        <is>
          <t>Conventional Tillage: 2 plowings + 2 harrowings; soil workable when moist</t>
        </is>
      </c>
      <c r="Z431" t="inlineStr">
        <is>
          <t>Intermittent irrigation (Alternate Wetting and Drying — AWD); moderate retention</t>
        </is>
      </c>
      <c r="AA431" t="inlineStr">
        <is>
          <t>Transplanting (Pindot) or Direct Seeding (Pinaghandaan)</t>
        </is>
      </c>
      <c r="AP431" t="n">
        <v>0</v>
      </c>
    </row>
    <row r="432">
      <c r="B432" t="inlineStr">
        <is>
          <t>Palay</t>
        </is>
      </c>
      <c r="C432" t="inlineStr">
        <is>
          <t>San Pablo</t>
        </is>
      </c>
      <c r="D432" t="inlineStr">
        <is>
          <t>WS 2022</t>
        </is>
      </c>
      <c r="E432" t="n">
        <v>215.04</v>
      </c>
      <c r="F432" t="n">
        <v>134</v>
      </c>
      <c r="G432" t="n">
        <v>103.5</v>
      </c>
      <c r="H432" t="n">
        <v>30.5</v>
      </c>
      <c r="I432" t="n">
        <v>8.01</v>
      </c>
      <c r="J432" t="n">
        <v>27.14</v>
      </c>
      <c r="K432" t="n">
        <v>23.01</v>
      </c>
      <c r="L432" t="n">
        <v>32.47</v>
      </c>
      <c r="M432" t="n">
        <v>82.48</v>
      </c>
      <c r="N432" t="n">
        <v>98.2</v>
      </c>
      <c r="O432" t="n">
        <v>20.55</v>
      </c>
      <c r="P432" t="inlineStr">
        <is>
          <t>Sandy Loam</t>
        </is>
      </c>
      <c r="Y432" t="inlineStr">
        <is>
          <t>Conventional Tillage: 2 plowings + 2 harrowings; soil workable when moist</t>
        </is>
      </c>
      <c r="Z432" t="inlineStr">
        <is>
          <t>Intermittent irrigation (Alternate Wetting and Drying — AWD); moderate retention</t>
        </is>
      </c>
      <c r="AA432" t="inlineStr">
        <is>
          <t>Transplanting (Pindot) or Direct Seeding (Pinaghandaan)</t>
        </is>
      </c>
      <c r="AP432" t="n">
        <v>0</v>
      </c>
    </row>
    <row r="433">
      <c r="B433" t="inlineStr">
        <is>
          <t>Palay</t>
        </is>
      </c>
      <c r="C433" t="inlineStr">
        <is>
          <t>Santiago</t>
        </is>
      </c>
      <c r="D433" t="inlineStr">
        <is>
          <t>WS 2022</t>
        </is>
      </c>
      <c r="E433" t="n">
        <v>283.08</v>
      </c>
      <c r="F433" t="n">
        <v>249</v>
      </c>
      <c r="G433" t="n">
        <v>103.6</v>
      </c>
      <c r="H433" t="n">
        <v>145.4</v>
      </c>
      <c r="I433" t="n">
        <v>8.01</v>
      </c>
      <c r="J433" t="n">
        <v>27.14</v>
      </c>
      <c r="K433" t="n">
        <v>23.01</v>
      </c>
      <c r="L433" t="n">
        <v>32.47</v>
      </c>
      <c r="M433" t="n">
        <v>82.48</v>
      </c>
      <c r="N433" t="n">
        <v>98.2</v>
      </c>
      <c r="O433" t="n">
        <v>20.55</v>
      </c>
      <c r="P433" t="inlineStr">
        <is>
          <t>Silty Clay Loam</t>
        </is>
      </c>
      <c r="Y433" t="inlineStr">
        <is>
          <t>Wet Tillage (Puddling): 2 plowings + thorough harrowing under flooded condition</t>
        </is>
      </c>
      <c r="Z433" t="inlineStr">
        <is>
          <t>Continuous flooding 2–5 cm depth during vegetative stage; drain 2 weeks before harvest</t>
        </is>
      </c>
      <c r="AA433" t="inlineStr">
        <is>
          <t>Transplanting (Pindot) — optimal for clay-loam paddy fields</t>
        </is>
      </c>
      <c r="AP433" t="n">
        <v>0</v>
      </c>
    </row>
    <row r="434">
      <c r="B434" t="inlineStr">
        <is>
          <t>Palay</t>
        </is>
      </c>
      <c r="C434" t="inlineStr">
        <is>
          <t>Sta. Catalina</t>
        </is>
      </c>
      <c r="D434" t="inlineStr">
        <is>
          <t>WS 2022</t>
        </is>
      </c>
      <c r="E434" t="n">
        <v>709.8</v>
      </c>
      <c r="F434" t="n">
        <v>229</v>
      </c>
      <c r="G434" t="n">
        <v>49</v>
      </c>
      <c r="H434" t="n">
        <v>180</v>
      </c>
      <c r="I434" t="n">
        <v>8.01</v>
      </c>
      <c r="J434" t="n">
        <v>27.14</v>
      </c>
      <c r="K434" t="n">
        <v>23.01</v>
      </c>
      <c r="L434" t="n">
        <v>32.47</v>
      </c>
      <c r="M434" t="n">
        <v>82.48</v>
      </c>
      <c r="N434" t="n">
        <v>98.2</v>
      </c>
      <c r="O434" t="n">
        <v>20.55</v>
      </c>
      <c r="P434" t="inlineStr">
        <is>
          <t>Fine Sand / Sandy Loam</t>
        </is>
      </c>
      <c r="Y434" t="inlineStr">
        <is>
          <t>Minimum Tillage (avoid compaction; sandy structure fragile)</t>
        </is>
      </c>
      <c r="Z434" t="inlineStr">
        <is>
          <t>Continuous flooding or frequent irrigation; high percolation risk; terrace or bund-assisted water retention essential on slopes</t>
        </is>
      </c>
      <c r="AA434" t="inlineStr">
        <is>
          <t>Transplanting (Pindot)</t>
        </is>
      </c>
      <c r="AP434" t="n">
        <v>0</v>
      </c>
    </row>
    <row r="435">
      <c r="B435" t="inlineStr">
        <is>
          <t>Palay</t>
        </is>
      </c>
      <c r="C435" t="inlineStr">
        <is>
          <t>Sta. Maria Norte</t>
        </is>
      </c>
      <c r="D435" t="inlineStr">
        <is>
          <t>WS 2022</t>
        </is>
      </c>
      <c r="E435" t="n">
        <v>157.08</v>
      </c>
      <c r="F435" t="n">
        <v>68</v>
      </c>
      <c r="G435" t="n">
        <v>24.5</v>
      </c>
      <c r="H435" t="n">
        <v>43.5</v>
      </c>
      <c r="I435" t="n">
        <v>8.01</v>
      </c>
      <c r="J435" t="n">
        <v>27.14</v>
      </c>
      <c r="K435" t="n">
        <v>23.01</v>
      </c>
      <c r="L435" t="n">
        <v>32.47</v>
      </c>
      <c r="M435" t="n">
        <v>82.48</v>
      </c>
      <c r="N435" t="n">
        <v>98.2</v>
      </c>
      <c r="O435" t="n">
        <v>20.55</v>
      </c>
      <c r="P435" t="inlineStr">
        <is>
          <t>Sandy Loam</t>
        </is>
      </c>
      <c r="Y435" t="inlineStr">
        <is>
          <t>Conventional Tillage: 2 plowings + 2 harrowings; soil workable when moist</t>
        </is>
      </c>
      <c r="Z435" t="inlineStr">
        <is>
          <t>Intermittent irrigation (Alternate Wetting and Drying — AWD); moderate retention</t>
        </is>
      </c>
      <c r="AA435" t="inlineStr">
        <is>
          <t>Transplanting (Pindot) or Direct Seeding (Pinaghandaan)</t>
        </is>
      </c>
      <c r="AP435" t="n">
        <v>0</v>
      </c>
    </row>
    <row r="436">
      <c r="B436" t="inlineStr">
        <is>
          <t>Palay</t>
        </is>
      </c>
      <c r="C436" t="inlineStr">
        <is>
          <t>Sumabnit</t>
        </is>
      </c>
      <c r="D436" t="inlineStr">
        <is>
          <t>WS 2022</t>
        </is>
      </c>
      <c r="E436" t="n">
        <v>406.56</v>
      </c>
      <c r="F436" t="n">
        <v>257</v>
      </c>
      <c r="G436" t="n">
        <v>133.3</v>
      </c>
      <c r="H436" t="n">
        <v>123.7</v>
      </c>
      <c r="I436" t="n">
        <v>8.01</v>
      </c>
      <c r="J436" t="n">
        <v>27.14</v>
      </c>
      <c r="K436" t="n">
        <v>23.01</v>
      </c>
      <c r="L436" t="n">
        <v>32.47</v>
      </c>
      <c r="M436" t="n">
        <v>82.48</v>
      </c>
      <c r="N436" t="n">
        <v>98.2</v>
      </c>
      <c r="O436" t="n">
        <v>20.55</v>
      </c>
      <c r="P436" t="inlineStr">
        <is>
          <t>Silty Clay Loam / Fine Sandy Loam</t>
        </is>
      </c>
      <c r="Y436" t="inlineStr">
        <is>
          <t>Minimum Tillage (avoid compaction; sandy structure fragile)</t>
        </is>
      </c>
      <c r="Z436" t="inlineStr">
        <is>
          <t>Continuous flooding or frequent irrigation; high percolation risk</t>
        </is>
      </c>
      <c r="AA436" t="inlineStr">
        <is>
          <t>Transplanting (Pindot)</t>
        </is>
      </c>
      <c r="AP436" t="n">
        <v>0</v>
      </c>
    </row>
    <row r="437">
      <c r="B437" t="inlineStr">
        <is>
          <t>Palay</t>
        </is>
      </c>
      <c r="C437" t="inlineStr">
        <is>
          <t>Tabuyoc</t>
        </is>
      </c>
      <c r="D437" t="inlineStr">
        <is>
          <t>WS 2022</t>
        </is>
      </c>
      <c r="E437" t="n">
        <v>277.2</v>
      </c>
      <c r="F437" t="n">
        <v>139</v>
      </c>
      <c r="G437" t="n">
        <v>134</v>
      </c>
      <c r="H437" t="n">
        <v>5</v>
      </c>
      <c r="I437" t="n">
        <v>8.01</v>
      </c>
      <c r="J437" t="n">
        <v>27.14</v>
      </c>
      <c r="K437" t="n">
        <v>23.01</v>
      </c>
      <c r="L437" t="n">
        <v>32.47</v>
      </c>
      <c r="M437" t="n">
        <v>82.48</v>
      </c>
      <c r="N437" t="n">
        <v>98.2</v>
      </c>
      <c r="O437" t="n">
        <v>20.55</v>
      </c>
      <c r="P437" t="inlineStr">
        <is>
          <t>Silty Clay Loam</t>
        </is>
      </c>
      <c r="Y437" t="inlineStr">
        <is>
          <t>Wet Tillage (Puddling): 2 plowings + thorough harrowing under flooded condition</t>
        </is>
      </c>
      <c r="Z437" t="inlineStr">
        <is>
          <t>Continuous flooding 2–5 cm depth during vegetative stage; drain 2 weeks before harvest</t>
        </is>
      </c>
      <c r="AA437" t="inlineStr">
        <is>
          <t>Transplanting (Pindot) — optimal for clay-loam paddy fields</t>
        </is>
      </c>
      <c r="AP437" t="n">
        <v>0</v>
      </c>
    </row>
    <row r="438">
      <c r="B438" t="inlineStr">
        <is>
          <t>Palay</t>
        </is>
      </c>
      <c r="C438" t="inlineStr">
        <is>
          <t>Vacante</t>
        </is>
      </c>
      <c r="D438" t="inlineStr">
        <is>
          <t>WS 2022</t>
        </is>
      </c>
      <c r="E438" t="n">
        <v>484.68</v>
      </c>
      <c r="F438" t="n">
        <v>109</v>
      </c>
      <c r="G438" t="n">
        <v>28</v>
      </c>
      <c r="H438" t="n">
        <v>81</v>
      </c>
      <c r="I438" t="n">
        <v>8.01</v>
      </c>
      <c r="J438" t="n">
        <v>27.14</v>
      </c>
      <c r="K438" t="n">
        <v>23.01</v>
      </c>
      <c r="L438" t="n">
        <v>32.47</v>
      </c>
      <c r="M438" t="n">
        <v>82.48</v>
      </c>
      <c r="N438" t="n">
        <v>98.2</v>
      </c>
      <c r="O438" t="n">
        <v>20.55</v>
      </c>
      <c r="P438" t="inlineStr">
        <is>
          <t>Silty Clay Loam</t>
        </is>
      </c>
      <c r="Y438" t="inlineStr">
        <is>
          <t>Wet Tillage (Puddling): 2 plowings + thorough harrowing under flooded condition</t>
        </is>
      </c>
      <c r="Z438" t="inlineStr">
        <is>
          <t>Continuous flooding 2–5 cm depth during vegetative stage; drain 2 weeks before harvest</t>
        </is>
      </c>
      <c r="AA438" t="inlineStr">
        <is>
          <t>Transplanting (Pindot) — optimal for clay-loam paddy fields</t>
        </is>
      </c>
      <c r="AP438" t="n">
        <v>0</v>
      </c>
    </row>
    <row r="439">
      <c r="B439" t="inlineStr">
        <is>
          <t>Palay</t>
        </is>
      </c>
      <c r="C439" t="inlineStr">
        <is>
          <t>Balangobong</t>
        </is>
      </c>
      <c r="D439" t="inlineStr">
        <is>
          <t>WS 2023</t>
        </is>
      </c>
      <c r="E439" t="n">
        <v>281.4</v>
      </c>
      <c r="F439" t="n">
        <v>15</v>
      </c>
      <c r="G439" t="n">
        <v>110.61</v>
      </c>
      <c r="H439" t="n">
        <v>43.84</v>
      </c>
      <c r="I439" t="n">
        <v>12.88</v>
      </c>
      <c r="J439" t="n">
        <v>27.25</v>
      </c>
      <c r="K439" t="n">
        <v>23.24</v>
      </c>
      <c r="L439" t="n">
        <v>32.84</v>
      </c>
      <c r="M439" t="n">
        <v>85.62</v>
      </c>
      <c r="N439" t="n">
        <v>98.18000000000001</v>
      </c>
      <c r="O439" t="n">
        <v>18.77</v>
      </c>
      <c r="P439" t="inlineStr">
        <is>
          <t>Silty Clay Loam</t>
        </is>
      </c>
      <c r="Y439" t="inlineStr">
        <is>
          <t>Wet Tillage (Puddling): 2 plowings + thorough harrowing under flooded condition</t>
        </is>
      </c>
      <c r="Z439" t="inlineStr">
        <is>
          <t>Continuous flooding 2–5 cm depth during vegetative stage; drain 2 weeks before harvest</t>
        </is>
      </c>
      <c r="AA439" t="inlineStr">
        <is>
          <t>Transplanting (Pindot) — optimal for clay-loam paddy fields</t>
        </is>
      </c>
      <c r="AP439" t="n">
        <v>4.75</v>
      </c>
    </row>
    <row r="440">
      <c r="B440" t="inlineStr">
        <is>
          <t>Palay</t>
        </is>
      </c>
      <c r="C440" t="inlineStr">
        <is>
          <t>Bued</t>
        </is>
      </c>
      <c r="D440" t="inlineStr">
        <is>
          <t>WS 2023</t>
        </is>
      </c>
      <c r="E440" t="n">
        <v>210.84</v>
      </c>
      <c r="F440" t="n">
        <v>37.5</v>
      </c>
      <c r="G440" t="n">
        <v>83.58</v>
      </c>
      <c r="H440" t="n">
        <v>41.18</v>
      </c>
      <c r="I440" t="n">
        <v>12.88</v>
      </c>
      <c r="J440" t="n">
        <v>27.25</v>
      </c>
      <c r="K440" t="n">
        <v>23.24</v>
      </c>
      <c r="L440" t="n">
        <v>32.84</v>
      </c>
      <c r="M440" t="n">
        <v>85.62</v>
      </c>
      <c r="N440" t="n">
        <v>98.18000000000001</v>
      </c>
      <c r="O440" t="n">
        <v>18.77</v>
      </c>
      <c r="P440" t="inlineStr">
        <is>
          <t>Silty Clay Loam</t>
        </is>
      </c>
      <c r="Y440" t="inlineStr">
        <is>
          <t>Wet Tillage (Puddling): 2 plowings + thorough harrowing under flooded condition</t>
        </is>
      </c>
      <c r="Z440" t="inlineStr">
        <is>
          <t>Continuous flooding 2–5 cm depth during vegetative stage; drain 2 weeks before harvest</t>
        </is>
      </c>
      <c r="AA440" t="inlineStr">
        <is>
          <t>Transplanting (Pindot) — optimal for clay-loam paddy fields</t>
        </is>
      </c>
      <c r="AP440" t="n">
        <v>4.39</v>
      </c>
    </row>
    <row r="441">
      <c r="B441" t="inlineStr">
        <is>
          <t>Palay</t>
        </is>
      </c>
      <c r="C441" t="inlineStr">
        <is>
          <t>Bugayong</t>
        </is>
      </c>
      <c r="D441" t="inlineStr">
        <is>
          <t>WS 2023</t>
        </is>
      </c>
      <c r="E441" t="n">
        <v>346.08</v>
      </c>
      <c r="F441" t="n">
        <v>52.05</v>
      </c>
      <c r="G441" t="n">
        <v>24.5</v>
      </c>
      <c r="H441" t="n">
        <v>41.45</v>
      </c>
      <c r="I441" t="n">
        <v>12.88</v>
      </c>
      <c r="J441" t="n">
        <v>27.25</v>
      </c>
      <c r="K441" t="n">
        <v>23.24</v>
      </c>
      <c r="L441" t="n">
        <v>32.84</v>
      </c>
      <c r="M441" t="n">
        <v>85.62</v>
      </c>
      <c r="N441" t="n">
        <v>98.18000000000001</v>
      </c>
      <c r="O441" t="n">
        <v>18.77</v>
      </c>
      <c r="P441" t="inlineStr">
        <is>
          <t>Sandy Loam / Silty Clay Loam</t>
        </is>
      </c>
      <c r="Y441" t="inlineStr">
        <is>
          <t>Conventional Tillage: 2 plowings + harrowing; puddle thoroughly for transplanting</t>
        </is>
      </c>
      <c r="Z441" t="inlineStr">
        <is>
          <t>Intermittent to continuous flooding; manage according to drainage section present</t>
        </is>
      </c>
      <c r="AA441" t="inlineStr">
        <is>
          <t>Transplanting (Pindot) — recommended; Direct Seeding possible in dry season</t>
        </is>
      </c>
      <c r="AP441" t="n">
        <v>5.02</v>
      </c>
    </row>
    <row r="442">
      <c r="B442" t="inlineStr">
        <is>
          <t>Palay</t>
        </is>
      </c>
      <c r="C442" t="inlineStr">
        <is>
          <t>Camanggaan</t>
        </is>
      </c>
      <c r="D442" t="inlineStr">
        <is>
          <t>WS 2023</t>
        </is>
      </c>
      <c r="E442" t="n">
        <v>244.44</v>
      </c>
      <c r="F442" t="n">
        <v>68</v>
      </c>
      <c r="G442" t="n">
        <v>38.85</v>
      </c>
      <c r="H442" t="n">
        <v>134.09</v>
      </c>
      <c r="I442" t="n">
        <v>12.88</v>
      </c>
      <c r="J442" t="n">
        <v>27.25</v>
      </c>
      <c r="K442" t="n">
        <v>23.24</v>
      </c>
      <c r="L442" t="n">
        <v>32.84</v>
      </c>
      <c r="M442" t="n">
        <v>85.62</v>
      </c>
      <c r="N442" t="n">
        <v>98.18000000000001</v>
      </c>
      <c r="O442" t="n">
        <v>18.77</v>
      </c>
      <c r="P442" t="inlineStr">
        <is>
          <t>Sandy Loam</t>
        </is>
      </c>
      <c r="Y442" t="inlineStr">
        <is>
          <t>Conventional Tillage: 2 plowings + 2 harrowings; soil workable when moist</t>
        </is>
      </c>
      <c r="Z442" t="inlineStr">
        <is>
          <t>Intermittent irrigation (Alternate Wetting and Drying — AWD); moderate retention</t>
        </is>
      </c>
      <c r="AA442" t="inlineStr">
        <is>
          <t>Transplanting (Pindot) or Direct Seeding (Pinaghandaan)</t>
        </is>
      </c>
      <c r="AP442" t="n">
        <v>4.3</v>
      </c>
    </row>
    <row r="443">
      <c r="B443" t="inlineStr">
        <is>
          <t>Palay</t>
        </is>
      </c>
      <c r="C443" t="inlineStr">
        <is>
          <t>Capas</t>
        </is>
      </c>
      <c r="D443" t="inlineStr">
        <is>
          <t>WS 2023</t>
        </is>
      </c>
      <c r="E443" t="n">
        <v>377.16</v>
      </c>
      <c r="F443" t="n">
        <v>164</v>
      </c>
      <c r="G443" t="n">
        <v>117.69</v>
      </c>
      <c r="H443" t="n">
        <v>156.07</v>
      </c>
      <c r="I443" t="n">
        <v>12.88</v>
      </c>
      <c r="J443" t="n">
        <v>27.25</v>
      </c>
      <c r="K443" t="n">
        <v>23.24</v>
      </c>
      <c r="L443" t="n">
        <v>32.84</v>
      </c>
      <c r="M443" t="n">
        <v>85.62</v>
      </c>
      <c r="N443" t="n">
        <v>98.18000000000001</v>
      </c>
      <c r="O443" t="n">
        <v>18.77</v>
      </c>
      <c r="P443" t="inlineStr">
        <is>
          <t>Sandy Loam</t>
        </is>
      </c>
      <c r="Y443" t="inlineStr">
        <is>
          <t>Conventional Tillage: 2 plowings + 2 harrowings; soil workable when moist</t>
        </is>
      </c>
      <c r="Z443" t="inlineStr">
        <is>
          <t>Intermittent irrigation (Alternate Wetting and Drying — AWD); moderate retention</t>
        </is>
      </c>
      <c r="AA443" t="inlineStr">
        <is>
          <t>Transplanting (Pindot) or Direct Seeding (Pinaghandaan)</t>
        </is>
      </c>
      <c r="AP443" t="n">
        <v>5.51</v>
      </c>
    </row>
    <row r="444">
      <c r="B444" t="inlineStr">
        <is>
          <t>Palay</t>
        </is>
      </c>
      <c r="C444" t="inlineStr">
        <is>
          <t>Cili</t>
        </is>
      </c>
      <c r="D444" t="inlineStr">
        <is>
          <t>WS 2023</t>
        </is>
      </c>
      <c r="E444" t="n">
        <v>264.6</v>
      </c>
      <c r="F444" t="n">
        <v>128</v>
      </c>
      <c r="G444" t="n">
        <v>47.56</v>
      </c>
      <c r="H444" t="n">
        <v>43.56</v>
      </c>
      <c r="I444" t="n">
        <v>12.88</v>
      </c>
      <c r="J444" t="n">
        <v>27.25</v>
      </c>
      <c r="K444" t="n">
        <v>23.24</v>
      </c>
      <c r="L444" t="n">
        <v>32.84</v>
      </c>
      <c r="M444" t="n">
        <v>85.62</v>
      </c>
      <c r="N444" t="n">
        <v>98.18000000000001</v>
      </c>
      <c r="O444" t="n">
        <v>18.77</v>
      </c>
      <c r="P444" t="inlineStr">
        <is>
          <t>Silty Clay Loam</t>
        </is>
      </c>
      <c r="Y444" t="inlineStr">
        <is>
          <t>Wet Tillage (Puddling): 2 plowings + thorough harrowing under flooded condition</t>
        </is>
      </c>
      <c r="Z444" t="inlineStr">
        <is>
          <t>Continuous flooding 2–5 cm depth during vegetative stage; drain 2 weeks before harvest</t>
        </is>
      </c>
      <c r="AA444" t="inlineStr">
        <is>
          <t>Transplanting (Pindot) — optimal for clay-loam paddy fields</t>
        </is>
      </c>
      <c r="AP444" t="n">
        <v>4.63</v>
      </c>
    </row>
    <row r="445">
      <c r="B445" t="inlineStr">
        <is>
          <t>Palay</t>
        </is>
      </c>
      <c r="C445" t="inlineStr">
        <is>
          <t>Dumayat</t>
        </is>
      </c>
      <c r="D445" t="inlineStr">
        <is>
          <t>WS 2023</t>
        </is>
      </c>
      <c r="E445" t="n">
        <v>266.28</v>
      </c>
      <c r="F445" t="n">
        <v>30</v>
      </c>
      <c r="G445" t="n">
        <v>48.74</v>
      </c>
      <c r="H445" t="n">
        <v>42.94</v>
      </c>
      <c r="I445" t="n">
        <v>12.88</v>
      </c>
      <c r="J445" t="n">
        <v>27.25</v>
      </c>
      <c r="K445" t="n">
        <v>23.24</v>
      </c>
      <c r="L445" t="n">
        <v>32.84</v>
      </c>
      <c r="M445" t="n">
        <v>85.62</v>
      </c>
      <c r="N445" t="n">
        <v>98.18000000000001</v>
      </c>
      <c r="O445" t="n">
        <v>18.77</v>
      </c>
      <c r="P445" t="inlineStr">
        <is>
          <t>Silty Clay Loam</t>
        </is>
      </c>
      <c r="Y445" t="inlineStr">
        <is>
          <t>Wet Tillage (Puddling): 2 plowings + thorough harrowing under flooded condition</t>
        </is>
      </c>
      <c r="Z445" t="inlineStr">
        <is>
          <t>Continuous flooding 2–5 cm depth during vegetative stage; drain 2 weeks before harvest</t>
        </is>
      </c>
      <c r="AA445" t="inlineStr">
        <is>
          <t>Transplanting (Pindot) — optimal for clay-loam paddy fields</t>
        </is>
      </c>
      <c r="AP445" t="n">
        <v>5.14</v>
      </c>
    </row>
    <row r="446">
      <c r="B446" t="inlineStr">
        <is>
          <t>Palay</t>
        </is>
      </c>
      <c r="C446" t="inlineStr">
        <is>
          <t>Linmansangan</t>
        </is>
      </c>
      <c r="D446" t="inlineStr">
        <is>
          <t>WS 2023</t>
        </is>
      </c>
      <c r="E446" t="n">
        <v>492.24</v>
      </c>
      <c r="F446" t="n">
        <v>129.5</v>
      </c>
      <c r="G446" t="n">
        <v>65.5</v>
      </c>
      <c r="H446" t="n">
        <v>147.19</v>
      </c>
      <c r="I446" t="n">
        <v>12.88</v>
      </c>
      <c r="J446" t="n">
        <v>27.25</v>
      </c>
      <c r="K446" t="n">
        <v>23.24</v>
      </c>
      <c r="L446" t="n">
        <v>32.84</v>
      </c>
      <c r="M446" t="n">
        <v>85.62</v>
      </c>
      <c r="N446" t="n">
        <v>98.18000000000001</v>
      </c>
      <c r="O446" t="n">
        <v>18.77</v>
      </c>
      <c r="P446" t="inlineStr">
        <is>
          <t>Silty Clay Loam</t>
        </is>
      </c>
      <c r="Y446" t="inlineStr">
        <is>
          <t>Wet Tillage (Puddling): 2 plowings + thorough harrowing under flooded condition</t>
        </is>
      </c>
      <c r="Z446" t="inlineStr">
        <is>
          <t>Continuous flooding 2–5 cm depth during vegetative stage; drain 2 weeks before harvest</t>
        </is>
      </c>
      <c r="AA446" t="inlineStr">
        <is>
          <t>Transplanting (Pindot) — optimal for clay-loam paddy fields</t>
        </is>
      </c>
      <c r="AP446" t="n">
        <v>4.62</v>
      </c>
    </row>
    <row r="447">
      <c r="B447" t="inlineStr">
        <is>
          <t>Palay</t>
        </is>
      </c>
      <c r="C447" t="inlineStr">
        <is>
          <t>Mangkasuy</t>
        </is>
      </c>
      <c r="D447" t="inlineStr">
        <is>
          <t>WS 2023</t>
        </is>
      </c>
      <c r="E447" t="n">
        <v>802.2</v>
      </c>
      <c r="F447" t="n">
        <v>262</v>
      </c>
      <c r="G447" t="n">
        <v>65.5</v>
      </c>
      <c r="H447" t="n">
        <v>164</v>
      </c>
      <c r="I447" t="n">
        <v>12.88</v>
      </c>
      <c r="J447" t="n">
        <v>27.25</v>
      </c>
      <c r="K447" t="n">
        <v>23.24</v>
      </c>
      <c r="L447" t="n">
        <v>32.84</v>
      </c>
      <c r="M447" t="n">
        <v>85.62</v>
      </c>
      <c r="N447" t="n">
        <v>98.18000000000001</v>
      </c>
      <c r="O447" t="n">
        <v>18.77</v>
      </c>
      <c r="P447" t="inlineStr">
        <is>
          <t>Sandy Loam</t>
        </is>
      </c>
      <c r="Y447" t="inlineStr">
        <is>
          <t>Conventional Tillage: 2 plowings + 2 harrowings; soil workable when moist</t>
        </is>
      </c>
      <c r="Z447" t="inlineStr">
        <is>
          <t>Intermittent irrigation (Alternate Wetting and Drying — AWD); moderate retention</t>
        </is>
      </c>
      <c r="AA447" t="inlineStr">
        <is>
          <t>Transplanting (Pindot) or Direct Seeding (Pinaghandaan)</t>
        </is>
      </c>
      <c r="AP447" t="n">
        <v>5.24</v>
      </c>
    </row>
    <row r="448">
      <c r="B448" t="inlineStr">
        <is>
          <t>Palay</t>
        </is>
      </c>
      <c r="C448" t="inlineStr">
        <is>
          <t>Moreno</t>
        </is>
      </c>
      <c r="D448" t="inlineStr">
        <is>
          <t>WS 2023</t>
        </is>
      </c>
      <c r="E448" t="n">
        <v>641.76</v>
      </c>
      <c r="F448" t="n">
        <v>116.6</v>
      </c>
      <c r="G448" t="n">
        <v>65.5</v>
      </c>
      <c r="H448" t="n">
        <v>130.56</v>
      </c>
      <c r="I448" t="n">
        <v>12.88</v>
      </c>
      <c r="J448" t="n">
        <v>27.25</v>
      </c>
      <c r="K448" t="n">
        <v>23.24</v>
      </c>
      <c r="L448" t="n">
        <v>32.84</v>
      </c>
      <c r="M448" t="n">
        <v>85.62</v>
      </c>
      <c r="N448" t="n">
        <v>98.18000000000001</v>
      </c>
      <c r="O448" t="n">
        <v>18.77</v>
      </c>
      <c r="P448" t="inlineStr">
        <is>
          <t>Sandy Loam</t>
        </is>
      </c>
      <c r="Y448" t="inlineStr">
        <is>
          <t>Conventional Tillage: 2 plowings + 2 harrowings; soil workable when moist</t>
        </is>
      </c>
      <c r="Z448" t="inlineStr">
        <is>
          <t>Intermittent irrigation (Alternate Wetting and Drying — AWD); moderate retention; terrace or bund-assisted water retention essential on slopes</t>
        </is>
      </c>
      <c r="AA448" t="inlineStr">
        <is>
          <t>Transplanting (Pindot) or Direct Seeding (Pinaghandaan)</t>
        </is>
      </c>
      <c r="AP448" t="n">
        <v>5.28</v>
      </c>
    </row>
    <row r="449">
      <c r="B449" t="inlineStr">
        <is>
          <t>Palay</t>
        </is>
      </c>
      <c r="C449" t="inlineStr">
        <is>
          <t>Pasileng Norte</t>
        </is>
      </c>
      <c r="D449" t="inlineStr">
        <is>
          <t>WS 2023</t>
        </is>
      </c>
      <c r="E449" t="n">
        <v>140.28</v>
      </c>
      <c r="F449" t="n">
        <v>2.65</v>
      </c>
      <c r="G449" t="n">
        <v>65.5</v>
      </c>
      <c r="H449" t="n">
        <v>25.35</v>
      </c>
      <c r="I449" t="n">
        <v>12.88</v>
      </c>
      <c r="J449" t="n">
        <v>27.25</v>
      </c>
      <c r="K449" t="n">
        <v>23.24</v>
      </c>
      <c r="L449" t="n">
        <v>32.84</v>
      </c>
      <c r="M449" t="n">
        <v>85.62</v>
      </c>
      <c r="N449" t="n">
        <v>98.18000000000001</v>
      </c>
      <c r="O449" t="n">
        <v>18.77</v>
      </c>
      <c r="P449" t="inlineStr">
        <is>
          <t>Sandy Loam</t>
        </is>
      </c>
      <c r="Y449" t="inlineStr">
        <is>
          <t>Conventional Tillage: 2 plowings + 2 harrowings; soil workable when moist</t>
        </is>
      </c>
      <c r="Z449" t="inlineStr">
        <is>
          <t>Intermittent irrigation (Alternate Wetting and Drying — AWD); moderate retention</t>
        </is>
      </c>
      <c r="AA449" t="inlineStr">
        <is>
          <t>Transplanting (Pindot) or Direct Seeding (Pinaghandaan)</t>
        </is>
      </c>
      <c r="AP449" t="n">
        <v>5.4</v>
      </c>
    </row>
    <row r="450">
      <c r="B450" t="inlineStr">
        <is>
          <t>Palay</t>
        </is>
      </c>
      <c r="C450" t="inlineStr">
        <is>
          <t>Pasileng Sur</t>
        </is>
      </c>
      <c r="D450" t="inlineStr">
        <is>
          <t>WS 2023</t>
        </is>
      </c>
      <c r="E450" t="n">
        <v>414.96</v>
      </c>
      <c r="F450" t="n">
        <v>29.1</v>
      </c>
      <c r="G450" t="n">
        <v>130.4</v>
      </c>
      <c r="H450" t="n">
        <v>36.61</v>
      </c>
      <c r="I450" t="n">
        <v>12.88</v>
      </c>
      <c r="J450" t="n">
        <v>27.25</v>
      </c>
      <c r="K450" t="n">
        <v>23.24</v>
      </c>
      <c r="L450" t="n">
        <v>32.84</v>
      </c>
      <c r="M450" t="n">
        <v>85.62</v>
      </c>
      <c r="N450" t="n">
        <v>98.18000000000001</v>
      </c>
      <c r="O450" t="n">
        <v>18.77</v>
      </c>
      <c r="P450" t="inlineStr">
        <is>
          <t>Sandy Loam</t>
        </is>
      </c>
      <c r="Y450" t="inlineStr">
        <is>
          <t>Conventional Tillage: 2 plowings + 2 harrowings; soil workable when moist</t>
        </is>
      </c>
      <c r="Z450" t="inlineStr">
        <is>
          <t>Intermittent irrigation (Alternate Wetting and Drying — AWD); moderate retention</t>
        </is>
      </c>
      <c r="AA450" t="inlineStr">
        <is>
          <t>Transplanting (Pindot) or Direct Seeding (Pinaghandaan)</t>
        </is>
      </c>
      <c r="AP450" t="n">
        <v>5.05</v>
      </c>
    </row>
    <row r="451">
      <c r="B451" t="inlineStr">
        <is>
          <t>Palay</t>
        </is>
      </c>
      <c r="C451" t="inlineStr">
        <is>
          <t>San Felipe Central</t>
        </is>
      </c>
      <c r="D451" t="inlineStr">
        <is>
          <t>WS 2023</t>
        </is>
      </c>
      <c r="E451" t="n">
        <v>452.76</v>
      </c>
      <c r="F451" t="n">
        <v>62</v>
      </c>
      <c r="G451" t="n">
        <v>130.4</v>
      </c>
      <c r="H451" t="n">
        <v>37.71</v>
      </c>
      <c r="I451" t="n">
        <v>12.88</v>
      </c>
      <c r="J451" t="n">
        <v>27.25</v>
      </c>
      <c r="K451" t="n">
        <v>23.24</v>
      </c>
      <c r="L451" t="n">
        <v>32.84</v>
      </c>
      <c r="M451" t="n">
        <v>85.62</v>
      </c>
      <c r="N451" t="n">
        <v>98.18000000000001</v>
      </c>
      <c r="O451" t="n">
        <v>18.77</v>
      </c>
      <c r="P451" t="inlineStr">
        <is>
          <t>Sandy Loam</t>
        </is>
      </c>
      <c r="Y451" t="inlineStr">
        <is>
          <t>Conventional Tillage: 2 plowings + 2 harrowings; soil workable when moist</t>
        </is>
      </c>
      <c r="Z451" t="inlineStr">
        <is>
          <t>Intermittent irrigation (Alternate Wetting and Drying — AWD); moderate retention</t>
        </is>
      </c>
      <c r="AA451" t="inlineStr">
        <is>
          <t>Transplanting (Pindot) or Direct Seeding (Pinaghandaan)</t>
        </is>
      </c>
      <c r="AP451" t="n">
        <v>4.6</v>
      </c>
    </row>
    <row r="452">
      <c r="B452" t="inlineStr">
        <is>
          <t>Palay</t>
        </is>
      </c>
      <c r="C452" t="inlineStr">
        <is>
          <t>San Felipe Sur</t>
        </is>
      </c>
      <c r="D452" t="inlineStr">
        <is>
          <t>WS 2023</t>
        </is>
      </c>
      <c r="E452" t="n">
        <v>504</v>
      </c>
      <c r="F452" t="n">
        <v>50.5</v>
      </c>
      <c r="G452" t="n">
        <v>130.4</v>
      </c>
      <c r="H452" t="n">
        <v>38.87</v>
      </c>
      <c r="I452" t="n">
        <v>12.88</v>
      </c>
      <c r="J452" t="n">
        <v>27.25</v>
      </c>
      <c r="K452" t="n">
        <v>23.24</v>
      </c>
      <c r="L452" t="n">
        <v>32.84</v>
      </c>
      <c r="M452" t="n">
        <v>85.62</v>
      </c>
      <c r="N452" t="n">
        <v>98.18000000000001</v>
      </c>
      <c r="O452" t="n">
        <v>18.77</v>
      </c>
      <c r="P452" t="inlineStr">
        <is>
          <t>Sandy Loam</t>
        </is>
      </c>
      <c r="Y452" t="inlineStr">
        <is>
          <t>Conventional Tillage: 2 plowings + 2 harrowings; soil workable when moist</t>
        </is>
      </c>
      <c r="Z452" t="inlineStr">
        <is>
          <t>Intermittent irrigation (Alternate Wetting and Drying — AWD); moderate retention</t>
        </is>
      </c>
      <c r="AA452" t="inlineStr">
        <is>
          <t>Transplanting (Pindot) or Direct Seeding (Pinaghandaan)</t>
        </is>
      </c>
      <c r="AP452" t="n">
        <v>5.84</v>
      </c>
    </row>
    <row r="453">
      <c r="B453" t="inlineStr">
        <is>
          <t>Palay</t>
        </is>
      </c>
      <c r="C453" t="inlineStr">
        <is>
          <t>San Pablo</t>
        </is>
      </c>
      <c r="D453" t="inlineStr">
        <is>
          <t>WS 2023</t>
        </is>
      </c>
      <c r="E453" t="n">
        <v>215.04</v>
      </c>
      <c r="F453" t="n">
        <v>30.5</v>
      </c>
      <c r="G453" t="n">
        <v>53.09</v>
      </c>
      <c r="H453" t="n">
        <v>38.17</v>
      </c>
      <c r="I453" t="n">
        <v>12.88</v>
      </c>
      <c r="J453" t="n">
        <v>27.25</v>
      </c>
      <c r="K453" t="n">
        <v>23.24</v>
      </c>
      <c r="L453" t="n">
        <v>32.84</v>
      </c>
      <c r="M453" t="n">
        <v>85.62</v>
      </c>
      <c r="N453" t="n">
        <v>98.18000000000001</v>
      </c>
      <c r="O453" t="n">
        <v>18.77</v>
      </c>
      <c r="P453" t="inlineStr">
        <is>
          <t>Sandy Loam</t>
        </is>
      </c>
      <c r="Y453" t="inlineStr">
        <is>
          <t>Conventional Tillage: 2 plowings + 2 harrowings; soil workable when moist</t>
        </is>
      </c>
      <c r="Z453" t="inlineStr">
        <is>
          <t>Intermittent irrigation (Alternate Wetting and Drying — AWD); moderate retention</t>
        </is>
      </c>
      <c r="AA453" t="inlineStr">
        <is>
          <t>Transplanting (Pindot) or Direct Seeding (Pinaghandaan)</t>
        </is>
      </c>
      <c r="AP453" t="n">
        <v>4.76</v>
      </c>
    </row>
    <row r="454">
      <c r="B454" t="inlineStr">
        <is>
          <t>Palay</t>
        </is>
      </c>
      <c r="C454" t="inlineStr">
        <is>
          <t>Santiago</t>
        </is>
      </c>
      <c r="D454" t="inlineStr">
        <is>
          <t>WS 2023</t>
        </is>
      </c>
      <c r="E454" t="n">
        <v>283.08</v>
      </c>
      <c r="F454" t="n">
        <v>144.9</v>
      </c>
      <c r="G454" t="n">
        <v>130.4</v>
      </c>
      <c r="H454" t="n">
        <v>116.29</v>
      </c>
      <c r="I454" t="n">
        <v>12.88</v>
      </c>
      <c r="J454" t="n">
        <v>27.25</v>
      </c>
      <c r="K454" t="n">
        <v>23.24</v>
      </c>
      <c r="L454" t="n">
        <v>32.84</v>
      </c>
      <c r="M454" t="n">
        <v>85.62</v>
      </c>
      <c r="N454" t="n">
        <v>98.18000000000001</v>
      </c>
      <c r="O454" t="n">
        <v>18.77</v>
      </c>
      <c r="P454" t="inlineStr">
        <is>
          <t>Silty Clay Loam</t>
        </is>
      </c>
      <c r="Y454" t="inlineStr">
        <is>
          <t>Wet Tillage (Puddling): 2 plowings + thorough harrowing under flooded condition</t>
        </is>
      </c>
      <c r="Z454" t="inlineStr">
        <is>
          <t>Continuous flooding 2–5 cm depth during vegetative stage; drain 2 weeks before harvest</t>
        </is>
      </c>
      <c r="AA454" t="inlineStr">
        <is>
          <t>Transplanting (Pindot) — optimal for clay-loam paddy fields</t>
        </is>
      </c>
      <c r="AP454" t="n">
        <v>5.1</v>
      </c>
    </row>
    <row r="455">
      <c r="B455" t="inlineStr">
        <is>
          <t>Palay</t>
        </is>
      </c>
      <c r="C455" t="inlineStr">
        <is>
          <t>Sta. Catalina</t>
        </is>
      </c>
      <c r="D455" t="inlineStr">
        <is>
          <t>WS 2023</t>
        </is>
      </c>
      <c r="E455" t="n">
        <v>709.8</v>
      </c>
      <c r="F455" t="n">
        <v>180</v>
      </c>
      <c r="G455" t="n">
        <v>65.5</v>
      </c>
      <c r="H455" t="n">
        <v>158.1</v>
      </c>
      <c r="I455" t="n">
        <v>12.88</v>
      </c>
      <c r="J455" t="n">
        <v>27.25</v>
      </c>
      <c r="K455" t="n">
        <v>23.24</v>
      </c>
      <c r="L455" t="n">
        <v>32.84</v>
      </c>
      <c r="M455" t="n">
        <v>85.62</v>
      </c>
      <c r="N455" t="n">
        <v>98.18000000000001</v>
      </c>
      <c r="O455" t="n">
        <v>18.77</v>
      </c>
      <c r="P455" t="inlineStr">
        <is>
          <t>Fine Sand / Sandy Loam</t>
        </is>
      </c>
      <c r="Y455" t="inlineStr">
        <is>
          <t>Minimum Tillage (avoid compaction; sandy structure fragile)</t>
        </is>
      </c>
      <c r="Z455" t="inlineStr">
        <is>
          <t>Continuous flooding or frequent irrigation; high percolation risk; terrace or bund-assisted water retention essential on slopes</t>
        </is>
      </c>
      <c r="AA455" t="inlineStr">
        <is>
          <t>Transplanting (Pindot)</t>
        </is>
      </c>
      <c r="AP455" t="n">
        <v>4.84</v>
      </c>
    </row>
    <row r="456">
      <c r="B456" t="inlineStr">
        <is>
          <t>Palay</t>
        </is>
      </c>
      <c r="C456" t="inlineStr">
        <is>
          <t>Sta. Maria Norte</t>
        </is>
      </c>
      <c r="D456" t="inlineStr">
        <is>
          <t>WS 2023</t>
        </is>
      </c>
      <c r="E456" t="n">
        <v>157.08</v>
      </c>
      <c r="F456" t="n">
        <v>43.5</v>
      </c>
      <c r="G456" t="n">
        <v>30.49</v>
      </c>
      <c r="H456" t="n">
        <v>39.11</v>
      </c>
      <c r="I456" t="n">
        <v>12.88</v>
      </c>
      <c r="J456" t="n">
        <v>27.25</v>
      </c>
      <c r="K456" t="n">
        <v>23.24</v>
      </c>
      <c r="L456" t="n">
        <v>32.84</v>
      </c>
      <c r="M456" t="n">
        <v>85.62</v>
      </c>
      <c r="N456" t="n">
        <v>98.18000000000001</v>
      </c>
      <c r="O456" t="n">
        <v>18.77</v>
      </c>
      <c r="P456" t="inlineStr">
        <is>
          <t>Sandy Loam</t>
        </is>
      </c>
      <c r="Y456" t="inlineStr">
        <is>
          <t>Conventional Tillage: 2 plowings + 2 harrowings; soil workable when moist</t>
        </is>
      </c>
      <c r="Z456" t="inlineStr">
        <is>
          <t>Intermittent irrigation (Alternate Wetting and Drying — AWD); moderate retention</t>
        </is>
      </c>
      <c r="AA456" t="inlineStr">
        <is>
          <t>Transplanting (Pindot) or Direct Seeding (Pinaghandaan)</t>
        </is>
      </c>
      <c r="AP456" t="n">
        <v>5.23</v>
      </c>
    </row>
    <row r="457">
      <c r="B457" t="inlineStr">
        <is>
          <t>Palay</t>
        </is>
      </c>
      <c r="C457" t="inlineStr">
        <is>
          <t>Sumabnit</t>
        </is>
      </c>
      <c r="D457" t="inlineStr">
        <is>
          <t>WS 2023</t>
        </is>
      </c>
      <c r="E457" t="n">
        <v>406.56</v>
      </c>
      <c r="F457" t="n">
        <v>123.7</v>
      </c>
      <c r="G457" t="n">
        <v>130.4</v>
      </c>
      <c r="H457" t="n">
        <v>116.6</v>
      </c>
      <c r="I457" t="n">
        <v>12.88</v>
      </c>
      <c r="J457" t="n">
        <v>27.25</v>
      </c>
      <c r="K457" t="n">
        <v>23.24</v>
      </c>
      <c r="L457" t="n">
        <v>32.84</v>
      </c>
      <c r="M457" t="n">
        <v>85.62</v>
      </c>
      <c r="N457" t="n">
        <v>98.18000000000001</v>
      </c>
      <c r="O457" t="n">
        <v>18.77</v>
      </c>
      <c r="P457" t="inlineStr">
        <is>
          <t>Silty Clay Loam / Fine Sandy Loam</t>
        </is>
      </c>
      <c r="Y457" t="inlineStr">
        <is>
          <t>Minimum Tillage (avoid compaction; sandy structure fragile)</t>
        </is>
      </c>
      <c r="Z457" t="inlineStr">
        <is>
          <t>Continuous flooding or frequent irrigation; high percolation risk</t>
        </is>
      </c>
      <c r="AA457" t="inlineStr">
        <is>
          <t>Transplanting (Pindot)</t>
        </is>
      </c>
      <c r="AP457" t="n">
        <v>5.03</v>
      </c>
    </row>
    <row r="458">
      <c r="B458" t="inlineStr">
        <is>
          <t>Palay</t>
        </is>
      </c>
      <c r="C458" t="inlineStr">
        <is>
          <t>Tabuyoc</t>
        </is>
      </c>
      <c r="D458" t="inlineStr">
        <is>
          <t>WS 2023</t>
        </is>
      </c>
      <c r="E458" t="n">
        <v>277.2</v>
      </c>
      <c r="F458" t="n">
        <v>5</v>
      </c>
      <c r="G458" t="n">
        <v>130.4</v>
      </c>
      <c r="H458" t="n">
        <v>80.19</v>
      </c>
      <c r="I458" t="n">
        <v>12.88</v>
      </c>
      <c r="J458" t="n">
        <v>27.25</v>
      </c>
      <c r="K458" t="n">
        <v>23.24</v>
      </c>
      <c r="L458" t="n">
        <v>32.84</v>
      </c>
      <c r="M458" t="n">
        <v>85.62</v>
      </c>
      <c r="N458" t="n">
        <v>98.18000000000001</v>
      </c>
      <c r="O458" t="n">
        <v>18.77</v>
      </c>
      <c r="P458" t="inlineStr">
        <is>
          <t>Silty Clay Loam</t>
        </is>
      </c>
      <c r="Y458" t="inlineStr">
        <is>
          <t>Wet Tillage (Puddling): 2 plowings + thorough harrowing under flooded condition</t>
        </is>
      </c>
      <c r="Z458" t="inlineStr">
        <is>
          <t>Continuous flooding 2–5 cm depth during vegetative stage; drain 2 weeks before harvest</t>
        </is>
      </c>
      <c r="AA458" t="inlineStr">
        <is>
          <t>Transplanting (Pindot) — optimal for clay-loam paddy fields</t>
        </is>
      </c>
      <c r="AP458" t="n">
        <v>5.16</v>
      </c>
    </row>
    <row r="459">
      <c r="B459" t="inlineStr">
        <is>
          <t>Palay</t>
        </is>
      </c>
      <c r="C459" t="inlineStr">
        <is>
          <t>Vacante</t>
        </is>
      </c>
      <c r="D459" t="inlineStr">
        <is>
          <t>WS 2023</t>
        </is>
      </c>
      <c r="E459" t="n">
        <v>484.68</v>
      </c>
      <c r="F459" t="n">
        <v>81</v>
      </c>
      <c r="G459" t="n">
        <v>24.5</v>
      </c>
      <c r="H459" t="n">
        <v>116.6</v>
      </c>
      <c r="I459" t="n">
        <v>12.88</v>
      </c>
      <c r="J459" t="n">
        <v>27.25</v>
      </c>
      <c r="K459" t="n">
        <v>23.24</v>
      </c>
      <c r="L459" t="n">
        <v>32.84</v>
      </c>
      <c r="M459" t="n">
        <v>85.62</v>
      </c>
      <c r="N459" t="n">
        <v>98.18000000000001</v>
      </c>
      <c r="O459" t="n">
        <v>18.77</v>
      </c>
      <c r="P459" t="inlineStr">
        <is>
          <t>Silty Clay Loam</t>
        </is>
      </c>
      <c r="Y459" t="inlineStr">
        <is>
          <t>Wet Tillage (Puddling): 2 plowings + thorough harrowing under flooded condition</t>
        </is>
      </c>
      <c r="Z459" t="inlineStr">
        <is>
          <t>Continuous flooding 2–5 cm depth during vegetative stage; drain 2 weeks before harvest</t>
        </is>
      </c>
      <c r="AA459" t="inlineStr">
        <is>
          <t>Transplanting (Pindot) — optimal for clay-loam paddy fields</t>
        </is>
      </c>
      <c r="AP459" t="n">
        <v>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variety_id</t>
        </is>
      </c>
      <c r="B1" t="inlineStr">
        <is>
          <t>crop_id</t>
        </is>
      </c>
      <c r="C1" t="inlineStr">
        <is>
          <t>crop_name</t>
        </is>
      </c>
      <c r="D1" t="inlineStr">
        <is>
          <t>nsic_code</t>
        </is>
      </c>
      <c r="E1" t="inlineStr">
        <is>
          <t>variety_name</t>
        </is>
      </c>
      <c r="F1" t="inlineStr">
        <is>
          <t>category</t>
        </is>
      </c>
      <c r="G1" t="inlineStr">
        <is>
          <t>average_yield_t_ha</t>
        </is>
      </c>
      <c r="H1" t="inlineStr">
        <is>
          <t>maximum_yield_t_ha</t>
        </is>
      </c>
      <c r="I1" t="inlineStr">
        <is>
          <t>maturity_days</t>
        </is>
      </c>
      <c r="J1" t="inlineStr">
        <is>
          <t>recommended_ecosystem</t>
        </is>
      </c>
      <c r="K1" t="inlineStr">
        <is>
          <t>grain_type</t>
        </is>
      </c>
      <c r="L1" t="inlineStr">
        <is>
          <t>drought_tolerance</t>
        </is>
      </c>
      <c r="M1" t="inlineStr">
        <is>
          <t>flood_tolerance</t>
        </is>
      </c>
      <c r="N1" t="inlineStr">
        <is>
          <t>disease_resistance</t>
        </is>
      </c>
      <c r="O1" t="inlineStr">
        <is>
          <t>source</t>
        </is>
      </c>
    </row>
    <row r="2">
      <c r="A2" t="inlineStr">
        <is>
          <t>R001</t>
        </is>
      </c>
      <c r="B2" t="inlineStr">
        <is>
          <t>CROP001</t>
        </is>
      </c>
      <c r="C2" t="inlineStr">
        <is>
          <t>Palay</t>
        </is>
      </c>
      <c r="D2" t="inlineStr">
        <is>
          <t>NSIC Rc160</t>
        </is>
      </c>
      <c r="E2" t="inlineStr">
        <is>
          <t>Rc160</t>
        </is>
      </c>
      <c r="F2" t="inlineStr">
        <is>
          <t>Inbred</t>
        </is>
      </c>
      <c r="G2" t="n">
        <v>5.5</v>
      </c>
      <c r="H2" t="n">
        <v>10</v>
      </c>
      <c r="I2" t="n">
        <v>110</v>
      </c>
      <c r="J2" t="inlineStr">
        <is>
          <t>Irrigated Lowland</t>
        </is>
      </c>
      <c r="K2" t="inlineStr">
        <is>
          <t>Long</t>
        </is>
      </c>
      <c r="L2" t="inlineStr">
        <is>
          <t>Moderate</t>
        </is>
      </c>
      <c r="M2" t="inlineStr">
        <is>
          <t>Moderate</t>
        </is>
      </c>
      <c r="N2" t="inlineStr">
        <is>
          <t>Varies</t>
        </is>
      </c>
      <c r="O2" t="inlineStr">
        <is>
          <t>PhilRice/NSIC</t>
        </is>
      </c>
    </row>
    <row r="3">
      <c r="A3" t="inlineStr">
        <is>
          <t>R002</t>
        </is>
      </c>
      <c r="B3" t="inlineStr">
        <is>
          <t>CROP001</t>
        </is>
      </c>
      <c r="C3" t="inlineStr">
        <is>
          <t>Palay</t>
        </is>
      </c>
      <c r="D3" t="inlineStr">
        <is>
          <t>NSIC Rc170</t>
        </is>
      </c>
      <c r="E3" t="inlineStr">
        <is>
          <t>Rc170</t>
        </is>
      </c>
      <c r="F3" t="inlineStr">
        <is>
          <t>Inbred</t>
        </is>
      </c>
      <c r="G3" t="n">
        <v>5.5</v>
      </c>
      <c r="H3" t="n">
        <v>10</v>
      </c>
      <c r="I3" t="n">
        <v>110</v>
      </c>
      <c r="J3" t="inlineStr">
        <is>
          <t>Irrigated Lowland</t>
        </is>
      </c>
      <c r="K3" t="inlineStr">
        <is>
          <t>Long</t>
        </is>
      </c>
      <c r="L3" t="inlineStr">
        <is>
          <t>Moderate</t>
        </is>
      </c>
      <c r="M3" t="inlineStr">
        <is>
          <t>Moderate</t>
        </is>
      </c>
      <c r="N3" t="inlineStr">
        <is>
          <t>Varies</t>
        </is>
      </c>
      <c r="O3" t="inlineStr">
        <is>
          <t>PhilRice/NSIC</t>
        </is>
      </c>
    </row>
    <row r="4">
      <c r="A4" t="inlineStr">
        <is>
          <t>R003</t>
        </is>
      </c>
      <c r="B4" t="inlineStr">
        <is>
          <t>CROP001</t>
        </is>
      </c>
      <c r="C4" t="inlineStr">
        <is>
          <t>Palay</t>
        </is>
      </c>
      <c r="D4" t="inlineStr">
        <is>
          <t>NSIC Rc180</t>
        </is>
      </c>
      <c r="E4" t="inlineStr">
        <is>
          <t>Rc180</t>
        </is>
      </c>
      <c r="F4" t="inlineStr">
        <is>
          <t>Inbred</t>
        </is>
      </c>
      <c r="G4" t="n">
        <v>5.5</v>
      </c>
      <c r="H4" t="n">
        <v>10</v>
      </c>
      <c r="I4" t="n">
        <v>110</v>
      </c>
      <c r="J4" t="inlineStr">
        <is>
          <t>Irrigated Lowland</t>
        </is>
      </c>
      <c r="K4" t="inlineStr">
        <is>
          <t>Long</t>
        </is>
      </c>
      <c r="L4" t="inlineStr">
        <is>
          <t>Moderate</t>
        </is>
      </c>
      <c r="M4" t="inlineStr">
        <is>
          <t>Moderate</t>
        </is>
      </c>
      <c r="N4" t="inlineStr">
        <is>
          <t>Varies</t>
        </is>
      </c>
      <c r="O4" t="inlineStr">
        <is>
          <t>PhilRice/NSIC</t>
        </is>
      </c>
    </row>
    <row r="5">
      <c r="A5" t="inlineStr">
        <is>
          <t>R004</t>
        </is>
      </c>
      <c r="B5" t="inlineStr">
        <is>
          <t>CROP001</t>
        </is>
      </c>
      <c r="C5" t="inlineStr">
        <is>
          <t>Palay</t>
        </is>
      </c>
      <c r="D5" t="inlineStr">
        <is>
          <t>NSIC Rc190</t>
        </is>
      </c>
      <c r="E5" t="inlineStr">
        <is>
          <t>Rc190</t>
        </is>
      </c>
      <c r="F5" t="inlineStr">
        <is>
          <t>Inbred</t>
        </is>
      </c>
      <c r="G5" t="n">
        <v>5.5</v>
      </c>
      <c r="H5" t="n">
        <v>10</v>
      </c>
      <c r="I5" t="n">
        <v>110</v>
      </c>
      <c r="J5" t="inlineStr">
        <is>
          <t>Irrigated Lowland</t>
        </is>
      </c>
      <c r="K5" t="inlineStr">
        <is>
          <t>Long</t>
        </is>
      </c>
      <c r="L5" t="inlineStr">
        <is>
          <t>Moderate</t>
        </is>
      </c>
      <c r="M5" t="inlineStr">
        <is>
          <t>Moderate</t>
        </is>
      </c>
      <c r="N5" t="inlineStr">
        <is>
          <t>Varies</t>
        </is>
      </c>
      <c r="O5" t="inlineStr">
        <is>
          <t>PhilRice/NSIC</t>
        </is>
      </c>
    </row>
    <row r="6">
      <c r="A6" t="inlineStr">
        <is>
          <t>R005</t>
        </is>
      </c>
      <c r="B6" t="inlineStr">
        <is>
          <t>CROP001</t>
        </is>
      </c>
      <c r="C6" t="inlineStr">
        <is>
          <t>Palay</t>
        </is>
      </c>
      <c r="D6" t="inlineStr">
        <is>
          <t>NSIC Rc200</t>
        </is>
      </c>
      <c r="E6" t="inlineStr">
        <is>
          <t>Rc200</t>
        </is>
      </c>
      <c r="F6" t="inlineStr">
        <is>
          <t>Inbred</t>
        </is>
      </c>
      <c r="G6" t="n">
        <v>5.5</v>
      </c>
      <c r="H6" t="n">
        <v>10</v>
      </c>
      <c r="I6" t="n">
        <v>110</v>
      </c>
      <c r="J6" t="inlineStr">
        <is>
          <t>Irrigated Lowland</t>
        </is>
      </c>
      <c r="K6" t="inlineStr">
        <is>
          <t>Long</t>
        </is>
      </c>
      <c r="L6" t="inlineStr">
        <is>
          <t>Moderate</t>
        </is>
      </c>
      <c r="M6" t="inlineStr">
        <is>
          <t>Moderate</t>
        </is>
      </c>
      <c r="N6" t="inlineStr">
        <is>
          <t>Varies</t>
        </is>
      </c>
      <c r="O6" t="inlineStr">
        <is>
          <t>PhilRice/NSIC</t>
        </is>
      </c>
    </row>
    <row r="7">
      <c r="A7" t="inlineStr">
        <is>
          <t>R006</t>
        </is>
      </c>
      <c r="B7" t="inlineStr">
        <is>
          <t>CROP001</t>
        </is>
      </c>
      <c r="C7" t="inlineStr">
        <is>
          <t>Palay</t>
        </is>
      </c>
      <c r="D7" t="inlineStr">
        <is>
          <t>NSIC Rc212</t>
        </is>
      </c>
      <c r="E7" t="inlineStr">
        <is>
          <t>Rc212</t>
        </is>
      </c>
      <c r="F7" t="inlineStr">
        <is>
          <t>Inbred</t>
        </is>
      </c>
      <c r="G7" t="n">
        <v>5.5</v>
      </c>
      <c r="H7" t="n">
        <v>10</v>
      </c>
      <c r="I7" t="n">
        <v>110</v>
      </c>
      <c r="J7" t="inlineStr">
        <is>
          <t>Irrigated Lowland</t>
        </is>
      </c>
      <c r="K7" t="inlineStr">
        <is>
          <t>Long</t>
        </is>
      </c>
      <c r="L7" t="inlineStr">
        <is>
          <t>Moderate</t>
        </is>
      </c>
      <c r="M7" t="inlineStr">
        <is>
          <t>Moderate</t>
        </is>
      </c>
      <c r="N7" t="inlineStr">
        <is>
          <t>Varies</t>
        </is>
      </c>
      <c r="O7" t="inlineStr">
        <is>
          <t>PhilRice/NSIC</t>
        </is>
      </c>
    </row>
    <row r="8">
      <c r="A8" t="inlineStr">
        <is>
          <t>R007</t>
        </is>
      </c>
      <c r="B8" t="inlineStr">
        <is>
          <t>CROP001</t>
        </is>
      </c>
      <c r="C8" t="inlineStr">
        <is>
          <t>Palay</t>
        </is>
      </c>
      <c r="D8" t="inlineStr">
        <is>
          <t>NSIC Rc214</t>
        </is>
      </c>
      <c r="E8" t="inlineStr">
        <is>
          <t>Rc214</t>
        </is>
      </c>
      <c r="F8" t="inlineStr">
        <is>
          <t>Inbred</t>
        </is>
      </c>
      <c r="G8" t="n">
        <v>5.5</v>
      </c>
      <c r="H8" t="n">
        <v>10</v>
      </c>
      <c r="I8" t="n">
        <v>110</v>
      </c>
      <c r="J8" t="inlineStr">
        <is>
          <t>Irrigated Lowland</t>
        </is>
      </c>
      <c r="K8" t="inlineStr">
        <is>
          <t>Long</t>
        </is>
      </c>
      <c r="L8" t="inlineStr">
        <is>
          <t>Moderate</t>
        </is>
      </c>
      <c r="M8" t="inlineStr">
        <is>
          <t>Moderate</t>
        </is>
      </c>
      <c r="N8" t="inlineStr">
        <is>
          <t>Varies</t>
        </is>
      </c>
      <c r="O8" t="inlineStr">
        <is>
          <t>PhilRice/NSIC</t>
        </is>
      </c>
    </row>
    <row r="9">
      <c r="A9" t="inlineStr">
        <is>
          <t>R008</t>
        </is>
      </c>
      <c r="B9" t="inlineStr">
        <is>
          <t>CROP001</t>
        </is>
      </c>
      <c r="C9" t="inlineStr">
        <is>
          <t>Palay</t>
        </is>
      </c>
      <c r="D9" t="inlineStr">
        <is>
          <t>NSIC Rc216</t>
        </is>
      </c>
      <c r="E9" t="inlineStr">
        <is>
          <t>Rc216</t>
        </is>
      </c>
      <c r="F9" t="inlineStr">
        <is>
          <t>Inbred</t>
        </is>
      </c>
      <c r="G9" t="n">
        <v>5.5</v>
      </c>
      <c r="H9" t="n">
        <v>10</v>
      </c>
      <c r="I9" t="n">
        <v>110</v>
      </c>
      <c r="J9" t="inlineStr">
        <is>
          <t>Irrigated Lowland</t>
        </is>
      </c>
      <c r="K9" t="inlineStr">
        <is>
          <t>Long</t>
        </is>
      </c>
      <c r="L9" t="inlineStr">
        <is>
          <t>Moderate</t>
        </is>
      </c>
      <c r="M9" t="inlineStr">
        <is>
          <t>Moderate</t>
        </is>
      </c>
      <c r="N9" t="inlineStr">
        <is>
          <t>Varies</t>
        </is>
      </c>
      <c r="O9" t="inlineStr">
        <is>
          <t>PhilRice/NSIC</t>
        </is>
      </c>
    </row>
    <row r="10">
      <c r="A10" t="inlineStr">
        <is>
          <t>R009</t>
        </is>
      </c>
      <c r="B10" t="inlineStr">
        <is>
          <t>CROP001</t>
        </is>
      </c>
      <c r="C10" t="inlineStr">
        <is>
          <t>Palay</t>
        </is>
      </c>
      <c r="D10" t="inlineStr">
        <is>
          <t>NSIC Rc218</t>
        </is>
      </c>
      <c r="E10" t="inlineStr">
        <is>
          <t>Rc218</t>
        </is>
      </c>
      <c r="F10" t="inlineStr">
        <is>
          <t>Inbred</t>
        </is>
      </c>
      <c r="G10" t="n">
        <v>5.5</v>
      </c>
      <c r="H10" t="n">
        <v>10</v>
      </c>
      <c r="I10" t="n">
        <v>110</v>
      </c>
      <c r="J10" t="inlineStr">
        <is>
          <t>Irrigated Lowland</t>
        </is>
      </c>
      <c r="K10" t="inlineStr">
        <is>
          <t>Long</t>
        </is>
      </c>
      <c r="L10" t="inlineStr">
        <is>
          <t>Moderate</t>
        </is>
      </c>
      <c r="M10" t="inlineStr">
        <is>
          <t>Moderate</t>
        </is>
      </c>
      <c r="N10" t="inlineStr">
        <is>
          <t>Varies</t>
        </is>
      </c>
      <c r="O10" t="inlineStr">
        <is>
          <t>PhilRice/NSIC</t>
        </is>
      </c>
    </row>
    <row r="11">
      <c r="A11" t="inlineStr">
        <is>
          <t>R010</t>
        </is>
      </c>
      <c r="B11" t="inlineStr">
        <is>
          <t>CROP001</t>
        </is>
      </c>
      <c r="C11" t="inlineStr">
        <is>
          <t>Palay</t>
        </is>
      </c>
      <c r="D11" t="inlineStr">
        <is>
          <t>NSIC Rc222</t>
        </is>
      </c>
      <c r="E11" t="inlineStr">
        <is>
          <t>Rc222</t>
        </is>
      </c>
      <c r="F11" t="inlineStr">
        <is>
          <t>Inbred</t>
        </is>
      </c>
      <c r="G11" t="n">
        <v>5.5</v>
      </c>
      <c r="H11" t="n">
        <v>10</v>
      </c>
      <c r="I11" t="n">
        <v>110</v>
      </c>
      <c r="J11" t="inlineStr">
        <is>
          <t>Irrigated Lowland</t>
        </is>
      </c>
      <c r="K11" t="inlineStr">
        <is>
          <t>Long</t>
        </is>
      </c>
      <c r="L11" t="inlineStr">
        <is>
          <t>Moderate</t>
        </is>
      </c>
      <c r="M11" t="inlineStr">
        <is>
          <t>Moderate</t>
        </is>
      </c>
      <c r="N11" t="inlineStr">
        <is>
          <t>Varies</t>
        </is>
      </c>
      <c r="O11" t="inlineStr">
        <is>
          <t>PhilRice/NSIC</t>
        </is>
      </c>
    </row>
    <row r="12">
      <c r="A12" t="inlineStr">
        <is>
          <t>R011</t>
        </is>
      </c>
      <c r="B12" t="inlineStr">
        <is>
          <t>CROP001</t>
        </is>
      </c>
      <c r="C12" t="inlineStr">
        <is>
          <t>Palay</t>
        </is>
      </c>
      <c r="D12" t="inlineStr">
        <is>
          <t>NSIC Rc224</t>
        </is>
      </c>
      <c r="E12" t="inlineStr">
        <is>
          <t>Rc224</t>
        </is>
      </c>
      <c r="F12" t="inlineStr">
        <is>
          <t>Inbred</t>
        </is>
      </c>
      <c r="G12" t="n">
        <v>5.5</v>
      </c>
      <c r="H12" t="n">
        <v>10</v>
      </c>
      <c r="I12" t="n">
        <v>110</v>
      </c>
      <c r="J12" t="inlineStr">
        <is>
          <t>Irrigated Lowland</t>
        </is>
      </c>
      <c r="K12" t="inlineStr">
        <is>
          <t>Long</t>
        </is>
      </c>
      <c r="L12" t="inlineStr">
        <is>
          <t>Moderate</t>
        </is>
      </c>
      <c r="M12" t="inlineStr">
        <is>
          <t>Moderate</t>
        </is>
      </c>
      <c r="N12" t="inlineStr">
        <is>
          <t>Varies</t>
        </is>
      </c>
      <c r="O12" t="inlineStr">
        <is>
          <t>PhilRice/NSIC</t>
        </is>
      </c>
    </row>
    <row r="13">
      <c r="A13" t="inlineStr">
        <is>
          <t>R012</t>
        </is>
      </c>
      <c r="B13" t="inlineStr">
        <is>
          <t>CROP001</t>
        </is>
      </c>
      <c r="C13" t="inlineStr">
        <is>
          <t>Palay</t>
        </is>
      </c>
      <c r="D13" t="inlineStr">
        <is>
          <t>NSIC Rc226</t>
        </is>
      </c>
      <c r="E13" t="inlineStr">
        <is>
          <t>Rc226</t>
        </is>
      </c>
      <c r="F13" t="inlineStr">
        <is>
          <t>Inbred</t>
        </is>
      </c>
      <c r="G13" t="n">
        <v>5.5</v>
      </c>
      <c r="H13" t="n">
        <v>10</v>
      </c>
      <c r="I13" t="n">
        <v>110</v>
      </c>
      <c r="J13" t="inlineStr">
        <is>
          <t>Irrigated Lowland</t>
        </is>
      </c>
      <c r="K13" t="inlineStr">
        <is>
          <t>Long</t>
        </is>
      </c>
      <c r="L13" t="inlineStr">
        <is>
          <t>Moderate</t>
        </is>
      </c>
      <c r="M13" t="inlineStr">
        <is>
          <t>Moderate</t>
        </is>
      </c>
      <c r="N13" t="inlineStr">
        <is>
          <t>Varies</t>
        </is>
      </c>
      <c r="O13" t="inlineStr">
        <is>
          <t>PhilRice/NSIC</t>
        </is>
      </c>
    </row>
    <row r="14">
      <c r="A14" t="inlineStr">
        <is>
          <t>R013</t>
        </is>
      </c>
      <c r="B14" t="inlineStr">
        <is>
          <t>CROP001</t>
        </is>
      </c>
      <c r="C14" t="inlineStr">
        <is>
          <t>Palay</t>
        </is>
      </c>
      <c r="D14" t="inlineStr">
        <is>
          <t>NSIC Rc238</t>
        </is>
      </c>
      <c r="E14" t="inlineStr">
        <is>
          <t>Rc238</t>
        </is>
      </c>
      <c r="F14" t="inlineStr">
        <is>
          <t>Inbred</t>
        </is>
      </c>
      <c r="G14" t="n">
        <v>5.5</v>
      </c>
      <c r="H14" t="n">
        <v>10</v>
      </c>
      <c r="I14" t="n">
        <v>110</v>
      </c>
      <c r="J14" t="inlineStr">
        <is>
          <t>Irrigated Lowland</t>
        </is>
      </c>
      <c r="K14" t="inlineStr">
        <is>
          <t>Long</t>
        </is>
      </c>
      <c r="L14" t="inlineStr">
        <is>
          <t>Moderate</t>
        </is>
      </c>
      <c r="M14" t="inlineStr">
        <is>
          <t>Moderate</t>
        </is>
      </c>
      <c r="N14" t="inlineStr">
        <is>
          <t>Varies</t>
        </is>
      </c>
      <c r="O14" t="inlineStr">
        <is>
          <t>PhilRice/NSIC</t>
        </is>
      </c>
    </row>
    <row r="15">
      <c r="A15" t="inlineStr">
        <is>
          <t>R014</t>
        </is>
      </c>
      <c r="B15" t="inlineStr">
        <is>
          <t>CROP001</t>
        </is>
      </c>
      <c r="C15" t="inlineStr">
        <is>
          <t>Palay</t>
        </is>
      </c>
      <c r="D15" t="inlineStr">
        <is>
          <t>NSIC Rc240</t>
        </is>
      </c>
      <c r="E15" t="inlineStr">
        <is>
          <t>Rc240</t>
        </is>
      </c>
      <c r="F15" t="inlineStr">
        <is>
          <t>Inbred</t>
        </is>
      </c>
      <c r="G15" t="n">
        <v>5.5</v>
      </c>
      <c r="H15" t="n">
        <v>10</v>
      </c>
      <c r="I15" t="n">
        <v>110</v>
      </c>
      <c r="J15" t="inlineStr">
        <is>
          <t>Irrigated Lowland</t>
        </is>
      </c>
      <c r="K15" t="inlineStr">
        <is>
          <t>Long</t>
        </is>
      </c>
      <c r="L15" t="inlineStr">
        <is>
          <t>Moderate</t>
        </is>
      </c>
      <c r="M15" t="inlineStr">
        <is>
          <t>Moderate</t>
        </is>
      </c>
      <c r="N15" t="inlineStr">
        <is>
          <t>Varies</t>
        </is>
      </c>
      <c r="O15" t="inlineStr">
        <is>
          <t>PhilRice/NSIC</t>
        </is>
      </c>
    </row>
    <row r="16">
      <c r="A16" t="inlineStr">
        <is>
          <t>R015</t>
        </is>
      </c>
      <c r="B16" t="inlineStr">
        <is>
          <t>CROP001</t>
        </is>
      </c>
      <c r="C16" t="inlineStr">
        <is>
          <t>Palay</t>
        </is>
      </c>
      <c r="D16" t="inlineStr">
        <is>
          <t>NSIC Rc300</t>
        </is>
      </c>
      <c r="E16" t="inlineStr">
        <is>
          <t>Rc300</t>
        </is>
      </c>
      <c r="F16" t="inlineStr">
        <is>
          <t>Inbred</t>
        </is>
      </c>
      <c r="G16" t="n">
        <v>5.5</v>
      </c>
      <c r="H16" t="n">
        <v>10</v>
      </c>
      <c r="I16" t="n">
        <v>110</v>
      </c>
      <c r="J16" t="inlineStr">
        <is>
          <t>Irrigated Lowland</t>
        </is>
      </c>
      <c r="K16" t="inlineStr">
        <is>
          <t>Long</t>
        </is>
      </c>
      <c r="L16" t="inlineStr">
        <is>
          <t>Moderate</t>
        </is>
      </c>
      <c r="M16" t="inlineStr">
        <is>
          <t>Moderate</t>
        </is>
      </c>
      <c r="N16" t="inlineStr">
        <is>
          <t>Varies</t>
        </is>
      </c>
      <c r="O16" t="inlineStr">
        <is>
          <t>PhilRice/NSIC</t>
        </is>
      </c>
    </row>
    <row r="17">
      <c r="A17" t="inlineStr">
        <is>
          <t>R016</t>
        </is>
      </c>
      <c r="B17" t="inlineStr">
        <is>
          <t>CROP001</t>
        </is>
      </c>
      <c r="C17" t="inlineStr">
        <is>
          <t>Palay</t>
        </is>
      </c>
      <c r="D17" t="inlineStr">
        <is>
          <t>NSIC Rc302</t>
        </is>
      </c>
      <c r="E17" t="inlineStr">
        <is>
          <t>Rc302</t>
        </is>
      </c>
      <c r="F17" t="inlineStr">
        <is>
          <t>Inbred</t>
        </is>
      </c>
      <c r="G17" t="n">
        <v>5.5</v>
      </c>
      <c r="H17" t="n">
        <v>10</v>
      </c>
      <c r="I17" t="n">
        <v>110</v>
      </c>
      <c r="J17" t="inlineStr">
        <is>
          <t>Irrigated Lowland</t>
        </is>
      </c>
      <c r="K17" t="inlineStr">
        <is>
          <t>Long</t>
        </is>
      </c>
      <c r="L17" t="inlineStr">
        <is>
          <t>Moderate</t>
        </is>
      </c>
      <c r="M17" t="inlineStr">
        <is>
          <t>Moderate</t>
        </is>
      </c>
      <c r="N17" t="inlineStr">
        <is>
          <t>Varies</t>
        </is>
      </c>
      <c r="O17" t="inlineStr">
        <is>
          <t>PhilRice/NSIC</t>
        </is>
      </c>
    </row>
    <row r="18">
      <c r="A18" t="inlineStr">
        <is>
          <t>R017</t>
        </is>
      </c>
      <c r="B18" t="inlineStr">
        <is>
          <t>CROP001</t>
        </is>
      </c>
      <c r="C18" t="inlineStr">
        <is>
          <t>Palay</t>
        </is>
      </c>
      <c r="D18" t="inlineStr">
        <is>
          <t>NSIC Rc304</t>
        </is>
      </c>
      <c r="E18" t="inlineStr">
        <is>
          <t>Rc304</t>
        </is>
      </c>
      <c r="F18" t="inlineStr">
        <is>
          <t>Inbred</t>
        </is>
      </c>
      <c r="G18" t="n">
        <v>5.5</v>
      </c>
      <c r="H18" t="n">
        <v>10</v>
      </c>
      <c r="I18" t="n">
        <v>110</v>
      </c>
      <c r="J18" t="inlineStr">
        <is>
          <t>Irrigated Lowland</t>
        </is>
      </c>
      <c r="K18" t="inlineStr">
        <is>
          <t>Long</t>
        </is>
      </c>
      <c r="L18" t="inlineStr">
        <is>
          <t>Moderate</t>
        </is>
      </c>
      <c r="M18" t="inlineStr">
        <is>
          <t>Moderate</t>
        </is>
      </c>
      <c r="N18" t="inlineStr">
        <is>
          <t>Varies</t>
        </is>
      </c>
      <c r="O18" t="inlineStr">
        <is>
          <t>PhilRice/NSIC</t>
        </is>
      </c>
    </row>
    <row r="19">
      <c r="A19" t="inlineStr">
        <is>
          <t>R018</t>
        </is>
      </c>
      <c r="B19" t="inlineStr">
        <is>
          <t>CROP001</t>
        </is>
      </c>
      <c r="C19" t="inlineStr">
        <is>
          <t>Palay</t>
        </is>
      </c>
      <c r="D19" t="inlineStr">
        <is>
          <t>NSIC Rc308</t>
        </is>
      </c>
      <c r="E19" t="inlineStr">
        <is>
          <t>Rc308</t>
        </is>
      </c>
      <c r="F19" t="inlineStr">
        <is>
          <t>Inbred</t>
        </is>
      </c>
      <c r="G19" t="n">
        <v>5.5</v>
      </c>
      <c r="H19" t="n">
        <v>10</v>
      </c>
      <c r="I19" t="n">
        <v>110</v>
      </c>
      <c r="J19" t="inlineStr">
        <is>
          <t>Irrigated Lowland</t>
        </is>
      </c>
      <c r="K19" t="inlineStr">
        <is>
          <t>Long</t>
        </is>
      </c>
      <c r="L19" t="inlineStr">
        <is>
          <t>Moderate</t>
        </is>
      </c>
      <c r="M19" t="inlineStr">
        <is>
          <t>Moderate</t>
        </is>
      </c>
      <c r="N19" t="inlineStr">
        <is>
          <t>Varies</t>
        </is>
      </c>
      <c r="O19" t="inlineStr">
        <is>
          <t>PhilRice/NSIC</t>
        </is>
      </c>
    </row>
    <row r="20">
      <c r="A20" t="inlineStr">
        <is>
          <t>R019</t>
        </is>
      </c>
      <c r="B20" t="inlineStr">
        <is>
          <t>CROP001</t>
        </is>
      </c>
      <c r="C20" t="inlineStr">
        <is>
          <t>Palay</t>
        </is>
      </c>
      <c r="D20" t="inlineStr">
        <is>
          <t>NSIC Rc310</t>
        </is>
      </c>
      <c r="E20" t="inlineStr">
        <is>
          <t>Rc310</t>
        </is>
      </c>
      <c r="F20" t="inlineStr">
        <is>
          <t>Inbred</t>
        </is>
      </c>
      <c r="G20" t="n">
        <v>5.5</v>
      </c>
      <c r="H20" t="n">
        <v>10</v>
      </c>
      <c r="I20" t="n">
        <v>110</v>
      </c>
      <c r="J20" t="inlineStr">
        <is>
          <t>Irrigated Lowland</t>
        </is>
      </c>
      <c r="K20" t="inlineStr">
        <is>
          <t>Long</t>
        </is>
      </c>
      <c r="L20" t="inlineStr">
        <is>
          <t>Moderate</t>
        </is>
      </c>
      <c r="M20" t="inlineStr">
        <is>
          <t>Moderate</t>
        </is>
      </c>
      <c r="N20" t="inlineStr">
        <is>
          <t>Varies</t>
        </is>
      </c>
      <c r="O20" t="inlineStr">
        <is>
          <t>PhilRice/NSIC</t>
        </is>
      </c>
    </row>
    <row r="21">
      <c r="A21" t="inlineStr">
        <is>
          <t>R020</t>
        </is>
      </c>
      <c r="B21" t="inlineStr">
        <is>
          <t>CROP001</t>
        </is>
      </c>
      <c r="C21" t="inlineStr">
        <is>
          <t>Palay</t>
        </is>
      </c>
      <c r="D21" t="inlineStr">
        <is>
          <t>NSIC Rc354</t>
        </is>
      </c>
      <c r="E21" t="inlineStr">
        <is>
          <t>Rc354</t>
        </is>
      </c>
      <c r="F21" t="inlineStr">
        <is>
          <t>Inbred</t>
        </is>
      </c>
      <c r="G21" t="n">
        <v>5.5</v>
      </c>
      <c r="H21" t="n">
        <v>10</v>
      </c>
      <c r="I21" t="n">
        <v>110</v>
      </c>
      <c r="J21" t="inlineStr">
        <is>
          <t>Irrigated Lowland</t>
        </is>
      </c>
      <c r="K21" t="inlineStr">
        <is>
          <t>Long</t>
        </is>
      </c>
      <c r="L21" t="inlineStr">
        <is>
          <t>Moderate</t>
        </is>
      </c>
      <c r="M21" t="inlineStr">
        <is>
          <t>Moderate</t>
        </is>
      </c>
      <c r="N21" t="inlineStr">
        <is>
          <t>Varies</t>
        </is>
      </c>
      <c r="O21" t="inlineStr">
        <is>
          <t>PhilRice/NSIC</t>
        </is>
      </c>
    </row>
    <row r="22">
      <c r="A22" t="inlineStr">
        <is>
          <t>R021</t>
        </is>
      </c>
      <c r="B22" t="inlineStr">
        <is>
          <t>CROP001</t>
        </is>
      </c>
      <c r="C22" t="inlineStr">
        <is>
          <t>Palay</t>
        </is>
      </c>
      <c r="D22" t="inlineStr">
        <is>
          <t>NSIC Rc356</t>
        </is>
      </c>
      <c r="E22" t="inlineStr">
        <is>
          <t>Rc356</t>
        </is>
      </c>
      <c r="F22" t="inlineStr">
        <is>
          <t>Inbred</t>
        </is>
      </c>
      <c r="G22" t="n">
        <v>5.5</v>
      </c>
      <c r="H22" t="n">
        <v>10</v>
      </c>
      <c r="I22" t="n">
        <v>110</v>
      </c>
      <c r="J22" t="inlineStr">
        <is>
          <t>Irrigated Lowland</t>
        </is>
      </c>
      <c r="K22" t="inlineStr">
        <is>
          <t>Long</t>
        </is>
      </c>
      <c r="L22" t="inlineStr">
        <is>
          <t>Moderate</t>
        </is>
      </c>
      <c r="M22" t="inlineStr">
        <is>
          <t>Moderate</t>
        </is>
      </c>
      <c r="N22" t="inlineStr">
        <is>
          <t>Varies</t>
        </is>
      </c>
      <c r="O22" t="inlineStr">
        <is>
          <t>PhilRice/NSIC</t>
        </is>
      </c>
    </row>
    <row r="23">
      <c r="A23" t="inlineStr">
        <is>
          <t>R022</t>
        </is>
      </c>
      <c r="B23" t="inlineStr">
        <is>
          <t>CROP001</t>
        </is>
      </c>
      <c r="C23" t="inlineStr">
        <is>
          <t>Palay</t>
        </is>
      </c>
      <c r="D23" t="inlineStr">
        <is>
          <t>NSIC Rc358</t>
        </is>
      </c>
      <c r="E23" t="inlineStr">
        <is>
          <t>Rc358</t>
        </is>
      </c>
      <c r="F23" t="inlineStr">
        <is>
          <t>Inbred</t>
        </is>
      </c>
      <c r="G23" t="n">
        <v>5.5</v>
      </c>
      <c r="H23" t="n">
        <v>10</v>
      </c>
      <c r="I23" t="n">
        <v>110</v>
      </c>
      <c r="J23" t="inlineStr">
        <is>
          <t>Irrigated Lowland</t>
        </is>
      </c>
      <c r="K23" t="inlineStr">
        <is>
          <t>Long</t>
        </is>
      </c>
      <c r="L23" t="inlineStr">
        <is>
          <t>Moderate</t>
        </is>
      </c>
      <c r="M23" t="inlineStr">
        <is>
          <t>Moderate</t>
        </is>
      </c>
      <c r="N23" t="inlineStr">
        <is>
          <t>Varies</t>
        </is>
      </c>
      <c r="O23" t="inlineStr">
        <is>
          <t>PhilRice/NSIC</t>
        </is>
      </c>
    </row>
    <row r="24">
      <c r="A24" t="inlineStr">
        <is>
          <t>R023</t>
        </is>
      </c>
      <c r="B24" t="inlineStr">
        <is>
          <t>CROP001</t>
        </is>
      </c>
      <c r="C24" t="inlineStr">
        <is>
          <t>Palay</t>
        </is>
      </c>
      <c r="D24" t="inlineStr">
        <is>
          <t>NSIC Rc394</t>
        </is>
      </c>
      <c r="E24" t="inlineStr">
        <is>
          <t>Rc394</t>
        </is>
      </c>
      <c r="F24" t="inlineStr">
        <is>
          <t>Inbred</t>
        </is>
      </c>
      <c r="G24" t="n">
        <v>5.5</v>
      </c>
      <c r="H24" t="n">
        <v>10</v>
      </c>
      <c r="I24" t="n">
        <v>110</v>
      </c>
      <c r="J24" t="inlineStr">
        <is>
          <t>Irrigated Lowland</t>
        </is>
      </c>
      <c r="K24" t="inlineStr">
        <is>
          <t>Long</t>
        </is>
      </c>
      <c r="L24" t="inlineStr">
        <is>
          <t>Moderate</t>
        </is>
      </c>
      <c r="M24" t="inlineStr">
        <is>
          <t>Moderate</t>
        </is>
      </c>
      <c r="N24" t="inlineStr">
        <is>
          <t>Varies</t>
        </is>
      </c>
      <c r="O24" t="inlineStr">
        <is>
          <t>PhilRice/NSIC</t>
        </is>
      </c>
    </row>
    <row r="25">
      <c r="A25" t="inlineStr">
        <is>
          <t>R024</t>
        </is>
      </c>
      <c r="B25" t="inlineStr">
        <is>
          <t>CROP001</t>
        </is>
      </c>
      <c r="C25" t="inlineStr">
        <is>
          <t>Palay</t>
        </is>
      </c>
      <c r="D25" t="inlineStr">
        <is>
          <t>NSIC Rc396</t>
        </is>
      </c>
      <c r="E25" t="inlineStr">
        <is>
          <t>Rc396</t>
        </is>
      </c>
      <c r="F25" t="inlineStr">
        <is>
          <t>Inbred</t>
        </is>
      </c>
      <c r="G25" t="n">
        <v>5.5</v>
      </c>
      <c r="H25" t="n">
        <v>10</v>
      </c>
      <c r="I25" t="n">
        <v>110</v>
      </c>
      <c r="J25" t="inlineStr">
        <is>
          <t>Irrigated Lowland</t>
        </is>
      </c>
      <c r="K25" t="inlineStr">
        <is>
          <t>Long</t>
        </is>
      </c>
      <c r="L25" t="inlineStr">
        <is>
          <t>Moderate</t>
        </is>
      </c>
      <c r="M25" t="inlineStr">
        <is>
          <t>Moderate</t>
        </is>
      </c>
      <c r="N25" t="inlineStr">
        <is>
          <t>Varies</t>
        </is>
      </c>
      <c r="O25" t="inlineStr">
        <is>
          <t>PhilRice/NSIC</t>
        </is>
      </c>
    </row>
    <row r="26">
      <c r="A26" t="inlineStr">
        <is>
          <t>R025</t>
        </is>
      </c>
      <c r="B26" t="inlineStr">
        <is>
          <t>CROP001</t>
        </is>
      </c>
      <c r="C26" t="inlineStr">
        <is>
          <t>Palay</t>
        </is>
      </c>
      <c r="D26" t="inlineStr">
        <is>
          <t>NSIC Rc398</t>
        </is>
      </c>
      <c r="E26" t="inlineStr">
        <is>
          <t>Rc398</t>
        </is>
      </c>
      <c r="F26" t="inlineStr">
        <is>
          <t>Inbred</t>
        </is>
      </c>
      <c r="G26" t="n">
        <v>5.5</v>
      </c>
      <c r="H26" t="n">
        <v>10</v>
      </c>
      <c r="I26" t="n">
        <v>110</v>
      </c>
      <c r="J26" t="inlineStr">
        <is>
          <t>Irrigated Lowland</t>
        </is>
      </c>
      <c r="K26" t="inlineStr">
        <is>
          <t>Long</t>
        </is>
      </c>
      <c r="L26" t="inlineStr">
        <is>
          <t>Moderate</t>
        </is>
      </c>
      <c r="M26" t="inlineStr">
        <is>
          <t>Moderate</t>
        </is>
      </c>
      <c r="N26" t="inlineStr">
        <is>
          <t>Varies</t>
        </is>
      </c>
      <c r="O26" t="inlineStr">
        <is>
          <t>PhilRice/NSIC</t>
        </is>
      </c>
    </row>
    <row r="27">
      <c r="A27" t="inlineStr">
        <is>
          <t>R026</t>
        </is>
      </c>
      <c r="B27" t="inlineStr">
        <is>
          <t>CROP001</t>
        </is>
      </c>
      <c r="C27" t="inlineStr">
        <is>
          <t>Palay</t>
        </is>
      </c>
      <c r="D27" t="inlineStr">
        <is>
          <t>NSIC Rc400</t>
        </is>
      </c>
      <c r="E27" t="inlineStr">
        <is>
          <t>Rc400</t>
        </is>
      </c>
      <c r="F27" t="inlineStr">
        <is>
          <t>Inbred</t>
        </is>
      </c>
      <c r="G27" t="n">
        <v>5.5</v>
      </c>
      <c r="H27" t="n">
        <v>10</v>
      </c>
      <c r="I27" t="n">
        <v>110</v>
      </c>
      <c r="J27" t="inlineStr">
        <is>
          <t>Irrigated Lowland</t>
        </is>
      </c>
      <c r="K27" t="inlineStr">
        <is>
          <t>Long</t>
        </is>
      </c>
      <c r="L27" t="inlineStr">
        <is>
          <t>Moderate</t>
        </is>
      </c>
      <c r="M27" t="inlineStr">
        <is>
          <t>Moderate</t>
        </is>
      </c>
      <c r="N27" t="inlineStr">
        <is>
          <t>Varies</t>
        </is>
      </c>
      <c r="O27" t="inlineStr">
        <is>
          <t>PhilRice/NSIC</t>
        </is>
      </c>
    </row>
    <row r="28">
      <c r="A28" t="inlineStr">
        <is>
          <t>R027</t>
        </is>
      </c>
      <c r="B28" t="inlineStr">
        <is>
          <t>CROP001</t>
        </is>
      </c>
      <c r="C28" t="inlineStr">
        <is>
          <t>Palay</t>
        </is>
      </c>
      <c r="D28" t="inlineStr">
        <is>
          <t>NSIC Rc402</t>
        </is>
      </c>
      <c r="E28" t="inlineStr">
        <is>
          <t>Rc402</t>
        </is>
      </c>
      <c r="F28" t="inlineStr">
        <is>
          <t>Inbred</t>
        </is>
      </c>
      <c r="G28" t="n">
        <v>5.5</v>
      </c>
      <c r="H28" t="n">
        <v>10</v>
      </c>
      <c r="I28" t="n">
        <v>110</v>
      </c>
      <c r="J28" t="inlineStr">
        <is>
          <t>Irrigated Lowland</t>
        </is>
      </c>
      <c r="K28" t="inlineStr">
        <is>
          <t>Long</t>
        </is>
      </c>
      <c r="L28" t="inlineStr">
        <is>
          <t>Moderate</t>
        </is>
      </c>
      <c r="M28" t="inlineStr">
        <is>
          <t>Moderate</t>
        </is>
      </c>
      <c r="N28" t="inlineStr">
        <is>
          <t>Varies</t>
        </is>
      </c>
      <c r="O28" t="inlineStr">
        <is>
          <t>PhilRice/NSIC</t>
        </is>
      </c>
    </row>
    <row r="29">
      <c r="A29" t="inlineStr">
        <is>
          <t>R028</t>
        </is>
      </c>
      <c r="B29" t="inlineStr">
        <is>
          <t>CROP001</t>
        </is>
      </c>
      <c r="C29" t="inlineStr">
        <is>
          <t>Palay</t>
        </is>
      </c>
      <c r="D29" t="inlineStr">
        <is>
          <t>NSIC Rc404</t>
        </is>
      </c>
      <c r="E29" t="inlineStr">
        <is>
          <t>Rc404</t>
        </is>
      </c>
      <c r="F29" t="inlineStr">
        <is>
          <t>Inbred</t>
        </is>
      </c>
      <c r="G29" t="n">
        <v>5.5</v>
      </c>
      <c r="H29" t="n">
        <v>10</v>
      </c>
      <c r="I29" t="n">
        <v>110</v>
      </c>
      <c r="J29" t="inlineStr">
        <is>
          <t>Irrigated Lowland</t>
        </is>
      </c>
      <c r="K29" t="inlineStr">
        <is>
          <t>Long</t>
        </is>
      </c>
      <c r="L29" t="inlineStr">
        <is>
          <t>Moderate</t>
        </is>
      </c>
      <c r="M29" t="inlineStr">
        <is>
          <t>Moderate</t>
        </is>
      </c>
      <c r="N29" t="inlineStr">
        <is>
          <t>Varies</t>
        </is>
      </c>
      <c r="O29" t="inlineStr">
        <is>
          <t>PhilRice/NSIC</t>
        </is>
      </c>
    </row>
    <row r="30">
      <c r="A30" t="inlineStr">
        <is>
          <t>R029</t>
        </is>
      </c>
      <c r="B30" t="inlineStr">
        <is>
          <t>CROP001</t>
        </is>
      </c>
      <c r="C30" t="inlineStr">
        <is>
          <t>Palay</t>
        </is>
      </c>
      <c r="D30" t="inlineStr">
        <is>
          <t>NSIC Rc406</t>
        </is>
      </c>
      <c r="E30" t="inlineStr">
        <is>
          <t>Rc406</t>
        </is>
      </c>
      <c r="F30" t="inlineStr">
        <is>
          <t>Inbred</t>
        </is>
      </c>
      <c r="G30" t="n">
        <v>5.5</v>
      </c>
      <c r="H30" t="n">
        <v>10</v>
      </c>
      <c r="I30" t="n">
        <v>110</v>
      </c>
      <c r="J30" t="inlineStr">
        <is>
          <t>Irrigated Lowland</t>
        </is>
      </c>
      <c r="K30" t="inlineStr">
        <is>
          <t>Long</t>
        </is>
      </c>
      <c r="L30" t="inlineStr">
        <is>
          <t>Moderate</t>
        </is>
      </c>
      <c r="M30" t="inlineStr">
        <is>
          <t>Moderate</t>
        </is>
      </c>
      <c r="N30" t="inlineStr">
        <is>
          <t>Varies</t>
        </is>
      </c>
      <c r="O30" t="inlineStr">
        <is>
          <t>PhilRice/NSIC</t>
        </is>
      </c>
    </row>
    <row r="31">
      <c r="A31" t="inlineStr">
        <is>
          <t>R030</t>
        </is>
      </c>
      <c r="B31" t="inlineStr">
        <is>
          <t>CROP001</t>
        </is>
      </c>
      <c r="C31" t="inlineStr">
        <is>
          <t>Palay</t>
        </is>
      </c>
      <c r="D31" t="inlineStr">
        <is>
          <t>NSIC Rc408</t>
        </is>
      </c>
      <c r="E31" t="inlineStr">
        <is>
          <t>Rc408</t>
        </is>
      </c>
      <c r="F31" t="inlineStr">
        <is>
          <t>Inbred</t>
        </is>
      </c>
      <c r="G31" t="n">
        <v>5.5</v>
      </c>
      <c r="H31" t="n">
        <v>10</v>
      </c>
      <c r="I31" t="n">
        <v>110</v>
      </c>
      <c r="J31" t="inlineStr">
        <is>
          <t>Irrigated Lowland</t>
        </is>
      </c>
      <c r="K31" t="inlineStr">
        <is>
          <t>Long</t>
        </is>
      </c>
      <c r="L31" t="inlineStr">
        <is>
          <t>Moderate</t>
        </is>
      </c>
      <c r="M31" t="inlineStr">
        <is>
          <t>Moderate</t>
        </is>
      </c>
      <c r="N31" t="inlineStr">
        <is>
          <t>Varies</t>
        </is>
      </c>
      <c r="O31" t="inlineStr">
        <is>
          <t>PhilRice/NSIC</t>
        </is>
      </c>
    </row>
    <row r="32">
      <c r="A32" t="inlineStr">
        <is>
          <t>R031</t>
        </is>
      </c>
      <c r="B32" t="inlineStr">
        <is>
          <t>CROP001</t>
        </is>
      </c>
      <c r="C32" t="inlineStr">
        <is>
          <t>Palay</t>
        </is>
      </c>
      <c r="D32" t="inlineStr">
        <is>
          <t>NSIC Rc410</t>
        </is>
      </c>
      <c r="E32" t="inlineStr">
        <is>
          <t>Rc410</t>
        </is>
      </c>
      <c r="F32" t="inlineStr">
        <is>
          <t>Inbred</t>
        </is>
      </c>
      <c r="G32" t="n">
        <v>5.5</v>
      </c>
      <c r="H32" t="n">
        <v>10</v>
      </c>
      <c r="I32" t="n">
        <v>110</v>
      </c>
      <c r="J32" t="inlineStr">
        <is>
          <t>Irrigated Lowland</t>
        </is>
      </c>
      <c r="K32" t="inlineStr">
        <is>
          <t>Long</t>
        </is>
      </c>
      <c r="L32" t="inlineStr">
        <is>
          <t>Moderate</t>
        </is>
      </c>
      <c r="M32" t="inlineStr">
        <is>
          <t>Moderate</t>
        </is>
      </c>
      <c r="N32" t="inlineStr">
        <is>
          <t>Varies</t>
        </is>
      </c>
      <c r="O32" t="inlineStr">
        <is>
          <t>PhilRice/NSIC</t>
        </is>
      </c>
    </row>
    <row r="33">
      <c r="A33" t="inlineStr">
        <is>
          <t>R032</t>
        </is>
      </c>
      <c r="B33" t="inlineStr">
        <is>
          <t>CROP001</t>
        </is>
      </c>
      <c r="C33" t="inlineStr">
        <is>
          <t>Palay</t>
        </is>
      </c>
      <c r="D33" t="inlineStr">
        <is>
          <t>NSIC Rc412</t>
        </is>
      </c>
      <c r="E33" t="inlineStr">
        <is>
          <t>Rc412</t>
        </is>
      </c>
      <c r="F33" t="inlineStr">
        <is>
          <t>Inbred</t>
        </is>
      </c>
      <c r="G33" t="n">
        <v>5.5</v>
      </c>
      <c r="H33" t="n">
        <v>10</v>
      </c>
      <c r="I33" t="n">
        <v>110</v>
      </c>
      <c r="J33" t="inlineStr">
        <is>
          <t>Irrigated Lowland</t>
        </is>
      </c>
      <c r="K33" t="inlineStr">
        <is>
          <t>Long</t>
        </is>
      </c>
      <c r="L33" t="inlineStr">
        <is>
          <t>Moderate</t>
        </is>
      </c>
      <c r="M33" t="inlineStr">
        <is>
          <t>Moderate</t>
        </is>
      </c>
      <c r="N33" t="inlineStr">
        <is>
          <t>Varies</t>
        </is>
      </c>
      <c r="O33" t="inlineStr">
        <is>
          <t>PhilRice/NSIC</t>
        </is>
      </c>
    </row>
    <row r="34">
      <c r="A34" t="inlineStr">
        <is>
          <t>R033</t>
        </is>
      </c>
      <c r="B34" t="inlineStr">
        <is>
          <t>CROP001</t>
        </is>
      </c>
      <c r="C34" t="inlineStr">
        <is>
          <t>Palay</t>
        </is>
      </c>
      <c r="D34" t="inlineStr">
        <is>
          <t>NSIC Rc418</t>
        </is>
      </c>
      <c r="E34" t="inlineStr">
        <is>
          <t>Rc418</t>
        </is>
      </c>
      <c r="F34" t="inlineStr">
        <is>
          <t>Inbred</t>
        </is>
      </c>
      <c r="G34" t="n">
        <v>5.5</v>
      </c>
      <c r="H34" t="n">
        <v>10</v>
      </c>
      <c r="I34" t="n">
        <v>110</v>
      </c>
      <c r="J34" t="inlineStr">
        <is>
          <t>Irrigated Lowland</t>
        </is>
      </c>
      <c r="K34" t="inlineStr">
        <is>
          <t>Long</t>
        </is>
      </c>
      <c r="L34" t="inlineStr">
        <is>
          <t>Moderate</t>
        </is>
      </c>
      <c r="M34" t="inlineStr">
        <is>
          <t>Moderate</t>
        </is>
      </c>
      <c r="N34" t="inlineStr">
        <is>
          <t>Varies</t>
        </is>
      </c>
      <c r="O34" t="inlineStr">
        <is>
          <t>PhilRice/NSIC</t>
        </is>
      </c>
    </row>
    <row r="35">
      <c r="A35" t="inlineStr">
        <is>
          <t>R034</t>
        </is>
      </c>
      <c r="B35" t="inlineStr">
        <is>
          <t>CROP001</t>
        </is>
      </c>
      <c r="C35" t="inlineStr">
        <is>
          <t>Palay</t>
        </is>
      </c>
      <c r="D35" t="inlineStr">
        <is>
          <t>NSIC Rc420</t>
        </is>
      </c>
      <c r="E35" t="inlineStr">
        <is>
          <t>Rc420</t>
        </is>
      </c>
      <c r="F35" t="inlineStr">
        <is>
          <t>Inbred</t>
        </is>
      </c>
      <c r="G35" t="n">
        <v>5.5</v>
      </c>
      <c r="H35" t="n">
        <v>10</v>
      </c>
      <c r="I35" t="n">
        <v>110</v>
      </c>
      <c r="J35" t="inlineStr">
        <is>
          <t>Irrigated Lowland</t>
        </is>
      </c>
      <c r="K35" t="inlineStr">
        <is>
          <t>Long</t>
        </is>
      </c>
      <c r="L35" t="inlineStr">
        <is>
          <t>Moderate</t>
        </is>
      </c>
      <c r="M35" t="inlineStr">
        <is>
          <t>Moderate</t>
        </is>
      </c>
      <c r="N35" t="inlineStr">
        <is>
          <t>Varies</t>
        </is>
      </c>
      <c r="O35" t="inlineStr">
        <is>
          <t>PhilRice/NSIC</t>
        </is>
      </c>
    </row>
    <row r="36">
      <c r="A36" t="inlineStr">
        <is>
          <t>R035</t>
        </is>
      </c>
      <c r="B36" t="inlineStr">
        <is>
          <t>CROP001</t>
        </is>
      </c>
      <c r="C36" t="inlineStr">
        <is>
          <t>Palay</t>
        </is>
      </c>
      <c r="D36" t="inlineStr">
        <is>
          <t>NSIC Rc438</t>
        </is>
      </c>
      <c r="E36" t="inlineStr">
        <is>
          <t>Rc438</t>
        </is>
      </c>
      <c r="F36" t="inlineStr">
        <is>
          <t>Inbred</t>
        </is>
      </c>
      <c r="G36" t="n">
        <v>5.5</v>
      </c>
      <c r="H36" t="n">
        <v>10</v>
      </c>
      <c r="I36" t="n">
        <v>110</v>
      </c>
      <c r="J36" t="inlineStr">
        <is>
          <t>Irrigated Lowland</t>
        </is>
      </c>
      <c r="K36" t="inlineStr">
        <is>
          <t>Long</t>
        </is>
      </c>
      <c r="L36" t="inlineStr">
        <is>
          <t>Moderate</t>
        </is>
      </c>
      <c r="M36" t="inlineStr">
        <is>
          <t>Moderate</t>
        </is>
      </c>
      <c r="N36" t="inlineStr">
        <is>
          <t>Varies</t>
        </is>
      </c>
      <c r="O36" t="inlineStr">
        <is>
          <t>PhilRice/NSIC</t>
        </is>
      </c>
    </row>
    <row r="37">
      <c r="A37" t="inlineStr">
        <is>
          <t>R036</t>
        </is>
      </c>
      <c r="B37" t="inlineStr">
        <is>
          <t>CROP001</t>
        </is>
      </c>
      <c r="C37" t="inlineStr">
        <is>
          <t>Palay</t>
        </is>
      </c>
      <c r="D37" t="inlineStr">
        <is>
          <t>Hybrid</t>
        </is>
      </c>
      <c r="E37" t="inlineStr">
        <is>
          <t>Mestiso 19</t>
        </is>
      </c>
      <c r="F37" t="inlineStr">
        <is>
          <t>Hybrid</t>
        </is>
      </c>
      <c r="G37" t="n">
        <v>6.8</v>
      </c>
      <c r="H37" t="n">
        <v>11</v>
      </c>
      <c r="I37" t="n">
        <v>114</v>
      </c>
      <c r="J37" t="inlineStr">
        <is>
          <t>Irrigated</t>
        </is>
      </c>
      <c r="K37" t="inlineStr">
        <is>
          <t>Long</t>
        </is>
      </c>
      <c r="L37" t="inlineStr">
        <is>
          <t>Moderate</t>
        </is>
      </c>
      <c r="M37" t="inlineStr">
        <is>
          <t>Moderate</t>
        </is>
      </c>
      <c r="N37" t="inlineStr">
        <is>
          <t>Varies</t>
        </is>
      </c>
      <c r="O37" t="inlineStr">
        <is>
          <t>PhilRice</t>
        </is>
      </c>
    </row>
    <row r="38">
      <c r="A38" t="inlineStr">
        <is>
          <t>R037</t>
        </is>
      </c>
      <c r="B38" t="inlineStr">
        <is>
          <t>CROP001</t>
        </is>
      </c>
      <c r="C38" t="inlineStr">
        <is>
          <t>Palay</t>
        </is>
      </c>
      <c r="D38" t="inlineStr">
        <is>
          <t>Hybrid</t>
        </is>
      </c>
      <c r="E38" t="inlineStr">
        <is>
          <t>Mestiso 20</t>
        </is>
      </c>
      <c r="F38" t="inlineStr">
        <is>
          <t>Hybrid</t>
        </is>
      </c>
      <c r="G38" t="n">
        <v>6.8</v>
      </c>
      <c r="H38" t="n">
        <v>11</v>
      </c>
      <c r="I38" t="n">
        <v>114</v>
      </c>
      <c r="J38" t="inlineStr">
        <is>
          <t>Irrigated</t>
        </is>
      </c>
      <c r="K38" t="inlineStr">
        <is>
          <t>Long</t>
        </is>
      </c>
      <c r="L38" t="inlineStr">
        <is>
          <t>Moderate</t>
        </is>
      </c>
      <c r="M38" t="inlineStr">
        <is>
          <t>Moderate</t>
        </is>
      </c>
      <c r="N38" t="inlineStr">
        <is>
          <t>Varies</t>
        </is>
      </c>
      <c r="O38" t="inlineStr">
        <is>
          <t>PhilRice</t>
        </is>
      </c>
    </row>
    <row r="39">
      <c r="A39" t="inlineStr">
        <is>
          <t>R038</t>
        </is>
      </c>
      <c r="B39" t="inlineStr">
        <is>
          <t>CROP001</t>
        </is>
      </c>
      <c r="C39" t="inlineStr">
        <is>
          <t>Palay</t>
        </is>
      </c>
      <c r="D39" t="inlineStr">
        <is>
          <t>Hybrid</t>
        </is>
      </c>
      <c r="E39" t="inlineStr">
        <is>
          <t>Mestiso 29</t>
        </is>
      </c>
      <c r="F39" t="inlineStr">
        <is>
          <t>Hybrid</t>
        </is>
      </c>
      <c r="G39" t="n">
        <v>6.8</v>
      </c>
      <c r="H39" t="n">
        <v>11</v>
      </c>
      <c r="I39" t="n">
        <v>114</v>
      </c>
      <c r="J39" t="inlineStr">
        <is>
          <t>Irrigated</t>
        </is>
      </c>
      <c r="K39" t="inlineStr">
        <is>
          <t>Long</t>
        </is>
      </c>
      <c r="L39" t="inlineStr">
        <is>
          <t>Moderate</t>
        </is>
      </c>
      <c r="M39" t="inlineStr">
        <is>
          <t>Moderate</t>
        </is>
      </c>
      <c r="N39" t="inlineStr">
        <is>
          <t>Varies</t>
        </is>
      </c>
      <c r="O39" t="inlineStr">
        <is>
          <t>PhilRice</t>
        </is>
      </c>
    </row>
    <row r="40">
      <c r="A40" t="inlineStr">
        <is>
          <t>R039</t>
        </is>
      </c>
      <c r="B40" t="inlineStr">
        <is>
          <t>CROP001</t>
        </is>
      </c>
      <c r="C40" t="inlineStr">
        <is>
          <t>Palay</t>
        </is>
      </c>
      <c r="D40" t="inlineStr">
        <is>
          <t>Hybrid</t>
        </is>
      </c>
      <c r="E40" t="inlineStr">
        <is>
          <t>Mestiso 38</t>
        </is>
      </c>
      <c r="F40" t="inlineStr">
        <is>
          <t>Hybrid</t>
        </is>
      </c>
      <c r="G40" t="n">
        <v>6.8</v>
      </c>
      <c r="H40" t="n">
        <v>11</v>
      </c>
      <c r="I40" t="n">
        <v>114</v>
      </c>
      <c r="J40" t="inlineStr">
        <is>
          <t>Irrigated</t>
        </is>
      </c>
      <c r="K40" t="inlineStr">
        <is>
          <t>Long</t>
        </is>
      </c>
      <c r="L40" t="inlineStr">
        <is>
          <t>Moderate</t>
        </is>
      </c>
      <c r="M40" t="inlineStr">
        <is>
          <t>Moderate</t>
        </is>
      </c>
      <c r="N40" t="inlineStr">
        <is>
          <t>Varies</t>
        </is>
      </c>
      <c r="O40" t="inlineStr">
        <is>
          <t>PhilRice</t>
        </is>
      </c>
    </row>
    <row r="41">
      <c r="A41" t="inlineStr">
        <is>
          <t>R040</t>
        </is>
      </c>
      <c r="B41" t="inlineStr">
        <is>
          <t>CROP001</t>
        </is>
      </c>
      <c r="C41" t="inlineStr">
        <is>
          <t>Palay</t>
        </is>
      </c>
      <c r="D41" t="inlineStr">
        <is>
          <t>Hybrid</t>
        </is>
      </c>
      <c r="E41" t="inlineStr">
        <is>
          <t>SL-8H</t>
        </is>
      </c>
      <c r="F41" t="inlineStr">
        <is>
          <t>Hybrid</t>
        </is>
      </c>
      <c r="G41" t="n">
        <v>6.8</v>
      </c>
      <c r="H41" t="n">
        <v>11</v>
      </c>
      <c r="I41" t="n">
        <v>114</v>
      </c>
      <c r="J41" t="inlineStr">
        <is>
          <t>Irrigated</t>
        </is>
      </c>
      <c r="K41" t="inlineStr">
        <is>
          <t>Long</t>
        </is>
      </c>
      <c r="L41" t="inlineStr">
        <is>
          <t>Moderate</t>
        </is>
      </c>
      <c r="M41" t="inlineStr">
        <is>
          <t>Moderate</t>
        </is>
      </c>
      <c r="N41" t="inlineStr">
        <is>
          <t>Varies</t>
        </is>
      </c>
      <c r="O41" t="inlineStr">
        <is>
          <t>PhilRice</t>
        </is>
      </c>
    </row>
    <row r="42">
      <c r="A42" t="inlineStr">
        <is>
          <t>R041</t>
        </is>
      </c>
      <c r="B42" t="inlineStr">
        <is>
          <t>CROP001</t>
        </is>
      </c>
      <c r="C42" t="inlineStr">
        <is>
          <t>Palay</t>
        </is>
      </c>
      <c r="D42" t="inlineStr">
        <is>
          <t>Hybrid</t>
        </is>
      </c>
      <c r="E42" t="inlineStr">
        <is>
          <t>SL-12H</t>
        </is>
      </c>
      <c r="F42" t="inlineStr">
        <is>
          <t>Hybrid</t>
        </is>
      </c>
      <c r="G42" t="n">
        <v>6.8</v>
      </c>
      <c r="H42" t="n">
        <v>11</v>
      </c>
      <c r="I42" t="n">
        <v>114</v>
      </c>
      <c r="J42" t="inlineStr">
        <is>
          <t>Irrigated</t>
        </is>
      </c>
      <c r="K42" t="inlineStr">
        <is>
          <t>Long</t>
        </is>
      </c>
      <c r="L42" t="inlineStr">
        <is>
          <t>Moderate</t>
        </is>
      </c>
      <c r="M42" t="inlineStr">
        <is>
          <t>Moderate</t>
        </is>
      </c>
      <c r="N42" t="inlineStr">
        <is>
          <t>Varies</t>
        </is>
      </c>
      <c r="O42" t="inlineStr">
        <is>
          <t>PhilRice</t>
        </is>
      </c>
    </row>
    <row r="43">
      <c r="A43" t="inlineStr">
        <is>
          <t>C001</t>
        </is>
      </c>
      <c r="B43" t="inlineStr">
        <is>
          <t>CROP002</t>
        </is>
      </c>
      <c r="C43" t="inlineStr">
        <is>
          <t>Corn</t>
        </is>
      </c>
      <c r="D43" t="inlineStr"/>
      <c r="E43" t="inlineStr">
        <is>
          <t>EG501</t>
        </is>
      </c>
      <c r="F43" t="inlineStr">
        <is>
          <t>Hybrid</t>
        </is>
      </c>
      <c r="G43" t="n">
        <v>7.2</v>
      </c>
      <c r="H43" t="n">
        <v>9</v>
      </c>
      <c r="I43" t="n">
        <v>110</v>
      </c>
      <c r="J43" t="inlineStr">
        <is>
          <t>Lowland</t>
        </is>
      </c>
      <c r="K43" t="inlineStr">
        <is>
          <t>Yellow/White</t>
        </is>
      </c>
      <c r="L43" t="inlineStr">
        <is>
          <t>Moderate</t>
        </is>
      </c>
      <c r="M43" t="inlineStr">
        <is>
          <t>Low</t>
        </is>
      </c>
      <c r="N43" t="inlineStr">
        <is>
          <t>Varies</t>
        </is>
      </c>
      <c r="O43" t="inlineStr">
        <is>
          <t>DA/Regional Trials</t>
        </is>
      </c>
    </row>
    <row r="44">
      <c r="A44" t="inlineStr">
        <is>
          <t>C002</t>
        </is>
      </c>
      <c r="B44" t="inlineStr">
        <is>
          <t>CROP002</t>
        </is>
      </c>
      <c r="C44" t="inlineStr">
        <is>
          <t>Corn</t>
        </is>
      </c>
      <c r="D44" t="inlineStr"/>
      <c r="E44" t="inlineStr">
        <is>
          <t>USM Var 35</t>
        </is>
      </c>
      <c r="F44" t="inlineStr">
        <is>
          <t>Hybrid</t>
        </is>
      </c>
      <c r="G44" t="n">
        <v>7.2</v>
      </c>
      <c r="H44" t="n">
        <v>9</v>
      </c>
      <c r="I44" t="n">
        <v>110</v>
      </c>
      <c r="J44" t="inlineStr">
        <is>
          <t>Lowland</t>
        </is>
      </c>
      <c r="K44" t="inlineStr">
        <is>
          <t>Yellow/White</t>
        </is>
      </c>
      <c r="L44" t="inlineStr">
        <is>
          <t>Moderate</t>
        </is>
      </c>
      <c r="M44" t="inlineStr">
        <is>
          <t>Low</t>
        </is>
      </c>
      <c r="N44" t="inlineStr">
        <is>
          <t>Varies</t>
        </is>
      </c>
      <c r="O44" t="inlineStr">
        <is>
          <t>DA/Regional Trials</t>
        </is>
      </c>
    </row>
    <row r="45">
      <c r="A45" t="inlineStr">
        <is>
          <t>C003</t>
        </is>
      </c>
      <c r="B45" t="inlineStr">
        <is>
          <t>CROP002</t>
        </is>
      </c>
      <c r="C45" t="inlineStr">
        <is>
          <t>Corn</t>
        </is>
      </c>
      <c r="D45" t="inlineStr"/>
      <c r="E45" t="inlineStr">
        <is>
          <t>Filipina 753</t>
        </is>
      </c>
      <c r="F45" t="inlineStr">
        <is>
          <t>Hybrid</t>
        </is>
      </c>
      <c r="G45" t="n">
        <v>7.2</v>
      </c>
      <c r="H45" t="n">
        <v>9</v>
      </c>
      <c r="I45" t="n">
        <v>110</v>
      </c>
      <c r="J45" t="inlineStr">
        <is>
          <t>Lowland</t>
        </is>
      </c>
      <c r="K45" t="inlineStr">
        <is>
          <t>Yellow/White</t>
        </is>
      </c>
      <c r="L45" t="inlineStr">
        <is>
          <t>Moderate</t>
        </is>
      </c>
      <c r="M45" t="inlineStr">
        <is>
          <t>Low</t>
        </is>
      </c>
      <c r="N45" t="inlineStr">
        <is>
          <t>Varies</t>
        </is>
      </c>
      <c r="O45" t="inlineStr">
        <is>
          <t>DA/Regional Trials</t>
        </is>
      </c>
    </row>
    <row r="46">
      <c r="A46" t="inlineStr">
        <is>
          <t>C004</t>
        </is>
      </c>
      <c r="B46" t="inlineStr">
        <is>
          <t>CROP002</t>
        </is>
      </c>
      <c r="C46" t="inlineStr">
        <is>
          <t>Corn</t>
        </is>
      </c>
      <c r="D46" t="inlineStr"/>
      <c r="E46" t="inlineStr">
        <is>
          <t>DK8899S</t>
        </is>
      </c>
      <c r="F46" t="inlineStr">
        <is>
          <t>GM Hybrid</t>
        </is>
      </c>
      <c r="G46" t="n">
        <v>7.2</v>
      </c>
      <c r="H46" t="n">
        <v>9</v>
      </c>
      <c r="I46" t="n">
        <v>110</v>
      </c>
      <c r="J46" t="inlineStr">
        <is>
          <t>Lowland</t>
        </is>
      </c>
      <c r="K46" t="inlineStr">
        <is>
          <t>Yellow/White</t>
        </is>
      </c>
      <c r="L46" t="inlineStr">
        <is>
          <t>Moderate</t>
        </is>
      </c>
      <c r="M46" t="inlineStr">
        <is>
          <t>Low</t>
        </is>
      </c>
      <c r="N46" t="inlineStr">
        <is>
          <t>Varies</t>
        </is>
      </c>
      <c r="O46" t="inlineStr">
        <is>
          <t>DA/Regional Trials</t>
        </is>
      </c>
    </row>
    <row r="47">
      <c r="A47" t="inlineStr">
        <is>
          <t>C005</t>
        </is>
      </c>
      <c r="B47" t="inlineStr">
        <is>
          <t>CROP002</t>
        </is>
      </c>
      <c r="C47" t="inlineStr">
        <is>
          <t>Corn</t>
        </is>
      </c>
      <c r="D47" t="inlineStr"/>
      <c r="E47" t="inlineStr">
        <is>
          <t>DK6919</t>
        </is>
      </c>
      <c r="F47" t="inlineStr">
        <is>
          <t>GM Hybrid</t>
        </is>
      </c>
      <c r="G47" t="n">
        <v>7.2</v>
      </c>
      <c r="H47" t="n">
        <v>9</v>
      </c>
      <c r="I47" t="n">
        <v>110</v>
      </c>
      <c r="J47" t="inlineStr">
        <is>
          <t>Lowland</t>
        </is>
      </c>
      <c r="K47" t="inlineStr">
        <is>
          <t>Yellow/White</t>
        </is>
      </c>
      <c r="L47" t="inlineStr">
        <is>
          <t>Moderate</t>
        </is>
      </c>
      <c r="M47" t="inlineStr">
        <is>
          <t>Low</t>
        </is>
      </c>
      <c r="N47" t="inlineStr">
        <is>
          <t>Varies</t>
        </is>
      </c>
      <c r="O47" t="inlineStr">
        <is>
          <t>DA/Regional Trials</t>
        </is>
      </c>
    </row>
    <row r="48">
      <c r="A48" t="inlineStr">
        <is>
          <t>C006</t>
        </is>
      </c>
      <c r="B48" t="inlineStr">
        <is>
          <t>CROP002</t>
        </is>
      </c>
      <c r="C48" t="inlineStr">
        <is>
          <t>Corn</t>
        </is>
      </c>
      <c r="D48" t="inlineStr"/>
      <c r="E48" t="inlineStr">
        <is>
          <t>DK6999</t>
        </is>
      </c>
      <c r="F48" t="inlineStr">
        <is>
          <t>GM Hybrid</t>
        </is>
      </c>
      <c r="G48" t="n">
        <v>7.2</v>
      </c>
      <c r="H48" t="n">
        <v>9</v>
      </c>
      <c r="I48" t="n">
        <v>110</v>
      </c>
      <c r="J48" t="inlineStr">
        <is>
          <t>Lowland</t>
        </is>
      </c>
      <c r="K48" t="inlineStr">
        <is>
          <t>Yellow/White</t>
        </is>
      </c>
      <c r="L48" t="inlineStr">
        <is>
          <t>Moderate</t>
        </is>
      </c>
      <c r="M48" t="inlineStr">
        <is>
          <t>Low</t>
        </is>
      </c>
      <c r="N48" t="inlineStr">
        <is>
          <t>Varies</t>
        </is>
      </c>
      <c r="O48" t="inlineStr">
        <is>
          <t>DA/Regional Trials</t>
        </is>
      </c>
    </row>
    <row r="49">
      <c r="A49" t="inlineStr">
        <is>
          <t>C007</t>
        </is>
      </c>
      <c r="B49" t="inlineStr">
        <is>
          <t>CROP002</t>
        </is>
      </c>
      <c r="C49" t="inlineStr">
        <is>
          <t>Corn</t>
        </is>
      </c>
      <c r="D49" t="inlineStr"/>
      <c r="E49" t="inlineStr">
        <is>
          <t>NK6130 BGT</t>
        </is>
      </c>
      <c r="F49" t="inlineStr">
        <is>
          <t>GM Hybrid</t>
        </is>
      </c>
      <c r="G49" t="n">
        <v>7.2</v>
      </c>
      <c r="H49" t="n">
        <v>9</v>
      </c>
      <c r="I49" t="n">
        <v>110</v>
      </c>
      <c r="J49" t="inlineStr">
        <is>
          <t>Lowland</t>
        </is>
      </c>
      <c r="K49" t="inlineStr">
        <is>
          <t>Yellow/White</t>
        </is>
      </c>
      <c r="L49" t="inlineStr">
        <is>
          <t>Moderate</t>
        </is>
      </c>
      <c r="M49" t="inlineStr">
        <is>
          <t>Low</t>
        </is>
      </c>
      <c r="N49" t="inlineStr">
        <is>
          <t>Varies</t>
        </is>
      </c>
      <c r="O49" t="inlineStr">
        <is>
          <t>DA/Regional Trials</t>
        </is>
      </c>
    </row>
    <row r="50">
      <c r="A50" t="inlineStr">
        <is>
          <t>C008</t>
        </is>
      </c>
      <c r="B50" t="inlineStr">
        <is>
          <t>CROP002</t>
        </is>
      </c>
      <c r="C50" t="inlineStr">
        <is>
          <t>Corn</t>
        </is>
      </c>
      <c r="D50" t="inlineStr"/>
      <c r="E50" t="inlineStr">
        <is>
          <t>NK6410</t>
        </is>
      </c>
      <c r="F50" t="inlineStr">
        <is>
          <t>GM Hybrid</t>
        </is>
      </c>
      <c r="G50" t="n">
        <v>7.2</v>
      </c>
      <c r="H50" t="n">
        <v>9</v>
      </c>
      <c r="I50" t="n">
        <v>110</v>
      </c>
      <c r="J50" t="inlineStr">
        <is>
          <t>Lowland</t>
        </is>
      </c>
      <c r="K50" t="inlineStr">
        <is>
          <t>Yellow/White</t>
        </is>
      </c>
      <c r="L50" t="inlineStr">
        <is>
          <t>Moderate</t>
        </is>
      </c>
      <c r="M50" t="inlineStr">
        <is>
          <t>Low</t>
        </is>
      </c>
      <c r="N50" t="inlineStr">
        <is>
          <t>Varies</t>
        </is>
      </c>
      <c r="O50" t="inlineStr">
        <is>
          <t>DA/Regional Trials</t>
        </is>
      </c>
    </row>
    <row r="51">
      <c r="A51" t="inlineStr">
        <is>
          <t>C009</t>
        </is>
      </c>
      <c r="B51" t="inlineStr">
        <is>
          <t>CROP002</t>
        </is>
      </c>
      <c r="C51" t="inlineStr">
        <is>
          <t>Corn</t>
        </is>
      </c>
      <c r="D51" t="inlineStr"/>
      <c r="E51" t="inlineStr">
        <is>
          <t>H101G</t>
        </is>
      </c>
      <c r="F51" t="inlineStr">
        <is>
          <t>Hybrid</t>
        </is>
      </c>
      <c r="G51" t="n">
        <v>7.2</v>
      </c>
      <c r="H51" t="n">
        <v>9</v>
      </c>
      <c r="I51" t="n">
        <v>110</v>
      </c>
      <c r="J51" t="inlineStr">
        <is>
          <t>Lowland</t>
        </is>
      </c>
      <c r="K51" t="inlineStr">
        <is>
          <t>Yellow/White</t>
        </is>
      </c>
      <c r="L51" t="inlineStr">
        <is>
          <t>Moderate</t>
        </is>
      </c>
      <c r="M51" t="inlineStr">
        <is>
          <t>Low</t>
        </is>
      </c>
      <c r="N51" t="inlineStr">
        <is>
          <t>Varies</t>
        </is>
      </c>
      <c r="O51" t="inlineStr">
        <is>
          <t>DA/Regional Trials</t>
        </is>
      </c>
    </row>
    <row r="52">
      <c r="A52" t="inlineStr">
        <is>
          <t>C010</t>
        </is>
      </c>
      <c r="B52" t="inlineStr">
        <is>
          <t>CROP002</t>
        </is>
      </c>
      <c r="C52" t="inlineStr">
        <is>
          <t>Corn</t>
        </is>
      </c>
      <c r="D52" t="inlineStr"/>
      <c r="E52" t="inlineStr">
        <is>
          <t>J505</t>
        </is>
      </c>
      <c r="F52" t="inlineStr">
        <is>
          <t>Hybrid</t>
        </is>
      </c>
      <c r="G52" t="n">
        <v>7.2</v>
      </c>
      <c r="H52" t="n">
        <v>9</v>
      </c>
      <c r="I52" t="n">
        <v>110</v>
      </c>
      <c r="J52" t="inlineStr">
        <is>
          <t>Lowland</t>
        </is>
      </c>
      <c r="K52" t="inlineStr">
        <is>
          <t>Yellow/White</t>
        </is>
      </c>
      <c r="L52" t="inlineStr">
        <is>
          <t>Moderate</t>
        </is>
      </c>
      <c r="M52" t="inlineStr">
        <is>
          <t>Low</t>
        </is>
      </c>
      <c r="N52" t="inlineStr">
        <is>
          <t>Varies</t>
        </is>
      </c>
      <c r="O52" t="inlineStr">
        <is>
          <t>DA/Regional Trials</t>
        </is>
      </c>
    </row>
    <row r="53">
      <c r="A53" t="inlineStr">
        <is>
          <t>C011</t>
        </is>
      </c>
      <c r="B53" t="inlineStr">
        <is>
          <t>CROP002</t>
        </is>
      </c>
      <c r="C53" t="inlineStr">
        <is>
          <t>Corn</t>
        </is>
      </c>
      <c r="D53" t="inlineStr"/>
      <c r="E53" t="inlineStr">
        <is>
          <t>P3774</t>
        </is>
      </c>
      <c r="F53" t="inlineStr">
        <is>
          <t>Hybrid</t>
        </is>
      </c>
      <c r="G53" t="n">
        <v>7.2</v>
      </c>
      <c r="H53" t="n">
        <v>9</v>
      </c>
      <c r="I53" t="n">
        <v>110</v>
      </c>
      <c r="J53" t="inlineStr">
        <is>
          <t>Lowland</t>
        </is>
      </c>
      <c r="K53" t="inlineStr">
        <is>
          <t>Yellow/White</t>
        </is>
      </c>
      <c r="L53" t="inlineStr">
        <is>
          <t>Moderate</t>
        </is>
      </c>
      <c r="M53" t="inlineStr">
        <is>
          <t>Low</t>
        </is>
      </c>
      <c r="N53" t="inlineStr">
        <is>
          <t>Varies</t>
        </is>
      </c>
      <c r="O53" t="inlineStr">
        <is>
          <t>DA/Regional Trials</t>
        </is>
      </c>
    </row>
    <row r="54">
      <c r="A54" t="inlineStr">
        <is>
          <t>C012</t>
        </is>
      </c>
      <c r="B54" t="inlineStr">
        <is>
          <t>CROP002</t>
        </is>
      </c>
      <c r="C54" t="inlineStr">
        <is>
          <t>Corn</t>
        </is>
      </c>
      <c r="D54" t="inlineStr"/>
      <c r="E54" t="inlineStr">
        <is>
          <t>P3812</t>
        </is>
      </c>
      <c r="F54" t="inlineStr">
        <is>
          <t>Hybrid</t>
        </is>
      </c>
      <c r="G54" t="n">
        <v>7.2</v>
      </c>
      <c r="H54" t="n">
        <v>9</v>
      </c>
      <c r="I54" t="n">
        <v>110</v>
      </c>
      <c r="J54" t="inlineStr">
        <is>
          <t>Lowland</t>
        </is>
      </c>
      <c r="K54" t="inlineStr">
        <is>
          <t>Yellow/White</t>
        </is>
      </c>
      <c r="L54" t="inlineStr">
        <is>
          <t>Moderate</t>
        </is>
      </c>
      <c r="M54" t="inlineStr">
        <is>
          <t>Low</t>
        </is>
      </c>
      <c r="N54" t="inlineStr">
        <is>
          <t>Varies</t>
        </is>
      </c>
      <c r="O54" t="inlineStr">
        <is>
          <t>DA/Regional Trials</t>
        </is>
      </c>
    </row>
    <row r="55">
      <c r="A55" t="inlineStr">
        <is>
          <t>C013</t>
        </is>
      </c>
      <c r="B55" t="inlineStr">
        <is>
          <t>CROP002</t>
        </is>
      </c>
      <c r="C55" t="inlineStr">
        <is>
          <t>Corn</t>
        </is>
      </c>
      <c r="D55" t="inlineStr"/>
      <c r="E55" t="inlineStr">
        <is>
          <t>Bioseed 969</t>
        </is>
      </c>
      <c r="F55" t="inlineStr">
        <is>
          <t>Hybrid</t>
        </is>
      </c>
      <c r="G55" t="n">
        <v>7.2</v>
      </c>
      <c r="H55" t="n">
        <v>9</v>
      </c>
      <c r="I55" t="n">
        <v>110</v>
      </c>
      <c r="J55" t="inlineStr">
        <is>
          <t>Lowland</t>
        </is>
      </c>
      <c r="K55" t="inlineStr">
        <is>
          <t>Yellow/White</t>
        </is>
      </c>
      <c r="L55" t="inlineStr">
        <is>
          <t>Moderate</t>
        </is>
      </c>
      <c r="M55" t="inlineStr">
        <is>
          <t>Low</t>
        </is>
      </c>
      <c r="N55" t="inlineStr">
        <is>
          <t>Varies</t>
        </is>
      </c>
      <c r="O55" t="inlineStr">
        <is>
          <t>DA/Regional Trials</t>
        </is>
      </c>
    </row>
    <row r="56">
      <c r="A56" t="inlineStr">
        <is>
          <t>C014</t>
        </is>
      </c>
      <c r="B56" t="inlineStr">
        <is>
          <t>CROP002</t>
        </is>
      </c>
      <c r="C56" t="inlineStr">
        <is>
          <t>Corn</t>
        </is>
      </c>
      <c r="D56" t="inlineStr"/>
      <c r="E56" t="inlineStr">
        <is>
          <t>Bioseed 988</t>
        </is>
      </c>
      <c r="F56" t="inlineStr">
        <is>
          <t>Hybrid</t>
        </is>
      </c>
      <c r="G56" t="n">
        <v>7.2</v>
      </c>
      <c r="H56" t="n">
        <v>9</v>
      </c>
      <c r="I56" t="n">
        <v>110</v>
      </c>
      <c r="J56" t="inlineStr">
        <is>
          <t>Lowland</t>
        </is>
      </c>
      <c r="K56" t="inlineStr">
        <is>
          <t>Yellow/White</t>
        </is>
      </c>
      <c r="L56" t="inlineStr">
        <is>
          <t>Moderate</t>
        </is>
      </c>
      <c r="M56" t="inlineStr">
        <is>
          <t>Low</t>
        </is>
      </c>
      <c r="N56" t="inlineStr">
        <is>
          <t>Varies</t>
        </is>
      </c>
      <c r="O56" t="inlineStr">
        <is>
          <t>DA/Regional Trials</t>
        </is>
      </c>
    </row>
    <row r="57">
      <c r="A57" t="inlineStr">
        <is>
          <t>C015</t>
        </is>
      </c>
      <c r="B57" t="inlineStr">
        <is>
          <t>CROP002</t>
        </is>
      </c>
      <c r="C57" t="inlineStr">
        <is>
          <t>Corn</t>
        </is>
      </c>
      <c r="D57" t="inlineStr"/>
      <c r="E57" t="inlineStr">
        <is>
          <t>Ghen 802</t>
        </is>
      </c>
      <c r="F57" t="inlineStr">
        <is>
          <t>Hybrid</t>
        </is>
      </c>
      <c r="G57" t="n">
        <v>7.2</v>
      </c>
      <c r="H57" t="n">
        <v>9</v>
      </c>
      <c r="I57" t="n">
        <v>110</v>
      </c>
      <c r="J57" t="inlineStr">
        <is>
          <t>Lowland</t>
        </is>
      </c>
      <c r="K57" t="inlineStr">
        <is>
          <t>Yellow/White</t>
        </is>
      </c>
      <c r="L57" t="inlineStr">
        <is>
          <t>Moderate</t>
        </is>
      </c>
      <c r="M57" t="inlineStr">
        <is>
          <t>Low</t>
        </is>
      </c>
      <c r="N57" t="inlineStr">
        <is>
          <t>Varies</t>
        </is>
      </c>
      <c r="O57" t="inlineStr">
        <is>
          <t>DA/Regional Trials</t>
        </is>
      </c>
    </row>
    <row r="58">
      <c r="A58" t="inlineStr">
        <is>
          <t>C016</t>
        </is>
      </c>
      <c r="B58" t="inlineStr">
        <is>
          <t>CROP002</t>
        </is>
      </c>
      <c r="C58" t="inlineStr">
        <is>
          <t>Corn</t>
        </is>
      </c>
      <c r="D58" t="inlineStr"/>
      <c r="E58" t="inlineStr">
        <is>
          <t>White King 819</t>
        </is>
      </c>
      <c r="F58" t="inlineStr">
        <is>
          <t>Hybrid</t>
        </is>
      </c>
      <c r="G58" t="n">
        <v>7.2</v>
      </c>
      <c r="H58" t="n">
        <v>9</v>
      </c>
      <c r="I58" t="n">
        <v>110</v>
      </c>
      <c r="J58" t="inlineStr">
        <is>
          <t>Lowland</t>
        </is>
      </c>
      <c r="K58" t="inlineStr">
        <is>
          <t>Yellow/White</t>
        </is>
      </c>
      <c r="L58" t="inlineStr">
        <is>
          <t>Moderate</t>
        </is>
      </c>
      <c r="M58" t="inlineStr">
        <is>
          <t>Low</t>
        </is>
      </c>
      <c r="N58" t="inlineStr">
        <is>
          <t>Varies</t>
        </is>
      </c>
      <c r="O58" t="inlineStr">
        <is>
          <t>DA/Regional Trials</t>
        </is>
      </c>
    </row>
    <row r="59">
      <c r="A59" t="inlineStr">
        <is>
          <t>C017</t>
        </is>
      </c>
      <c r="B59" t="inlineStr">
        <is>
          <t>CROP002</t>
        </is>
      </c>
      <c r="C59" t="inlineStr">
        <is>
          <t>Corn</t>
        </is>
      </c>
      <c r="D59" t="inlineStr"/>
      <c r="E59" t="inlineStr">
        <is>
          <t>White King 917</t>
        </is>
      </c>
      <c r="F59" t="inlineStr">
        <is>
          <t>Hybrid</t>
        </is>
      </c>
      <c r="G59" t="n">
        <v>7.2</v>
      </c>
      <c r="H59" t="n">
        <v>9</v>
      </c>
      <c r="I59" t="n">
        <v>110</v>
      </c>
      <c r="J59" t="inlineStr">
        <is>
          <t>Lowland</t>
        </is>
      </c>
      <c r="K59" t="inlineStr">
        <is>
          <t>Yellow/White</t>
        </is>
      </c>
      <c r="L59" t="inlineStr">
        <is>
          <t>Moderate</t>
        </is>
      </c>
      <c r="M59" t="inlineStr">
        <is>
          <t>Low</t>
        </is>
      </c>
      <c r="N59" t="inlineStr">
        <is>
          <t>Varies</t>
        </is>
      </c>
      <c r="O59" t="inlineStr">
        <is>
          <t>DA/Regional Trials</t>
        </is>
      </c>
    </row>
    <row r="60">
      <c r="A60" t="inlineStr">
        <is>
          <t>C018</t>
        </is>
      </c>
      <c r="B60" t="inlineStr">
        <is>
          <t>CROP002</t>
        </is>
      </c>
      <c r="C60" t="inlineStr">
        <is>
          <t>Corn</t>
        </is>
      </c>
      <c r="D60" t="inlineStr"/>
      <c r="E60" t="inlineStr">
        <is>
          <t>Tupi WIT</t>
        </is>
      </c>
      <c r="F60" t="inlineStr">
        <is>
          <t>OPV</t>
        </is>
      </c>
      <c r="G60" t="n">
        <v>3.5</v>
      </c>
      <c r="H60" t="n">
        <v>4.2</v>
      </c>
      <c r="I60" t="n">
        <v>110</v>
      </c>
      <c r="J60" t="inlineStr">
        <is>
          <t>Lowland</t>
        </is>
      </c>
      <c r="K60" t="inlineStr">
        <is>
          <t>Yellow/White</t>
        </is>
      </c>
      <c r="L60" t="inlineStr">
        <is>
          <t>Moderate</t>
        </is>
      </c>
      <c r="M60" t="inlineStr">
        <is>
          <t>Low</t>
        </is>
      </c>
      <c r="N60" t="inlineStr">
        <is>
          <t>Varies</t>
        </is>
      </c>
      <c r="O60" t="inlineStr">
        <is>
          <t>DA/Regional Trials</t>
        </is>
      </c>
    </row>
    <row r="61">
      <c r="A61" t="inlineStr">
        <is>
          <t>C019</t>
        </is>
      </c>
      <c r="B61" t="inlineStr">
        <is>
          <t>CROP002</t>
        </is>
      </c>
      <c r="C61" t="inlineStr">
        <is>
          <t>Corn</t>
        </is>
      </c>
      <c r="D61" t="inlineStr"/>
      <c r="E61" t="inlineStr">
        <is>
          <t>Farco 58</t>
        </is>
      </c>
      <c r="F61" t="inlineStr">
        <is>
          <t>OPV</t>
        </is>
      </c>
      <c r="G61" t="n">
        <v>3.5</v>
      </c>
      <c r="H61" t="n">
        <v>4.2</v>
      </c>
      <c r="I61" t="n">
        <v>110</v>
      </c>
      <c r="J61" t="inlineStr">
        <is>
          <t>Lowland</t>
        </is>
      </c>
      <c r="K61" t="inlineStr">
        <is>
          <t>Yellow/White</t>
        </is>
      </c>
      <c r="L61" t="inlineStr">
        <is>
          <t>Moderate</t>
        </is>
      </c>
      <c r="M61" t="inlineStr">
        <is>
          <t>Low</t>
        </is>
      </c>
      <c r="N61" t="inlineStr">
        <is>
          <t>Varies</t>
        </is>
      </c>
      <c r="O61" t="inlineStr">
        <is>
          <t>DA/Regional Trials</t>
        </is>
      </c>
    </row>
    <row r="62">
      <c r="A62" t="inlineStr">
        <is>
          <t>C020</t>
        </is>
      </c>
      <c r="B62" t="inlineStr">
        <is>
          <t>CROP002</t>
        </is>
      </c>
      <c r="C62" t="inlineStr">
        <is>
          <t>Corn</t>
        </is>
      </c>
      <c r="D62" t="inlineStr"/>
      <c r="E62" t="inlineStr">
        <is>
          <t>IPB Var 6</t>
        </is>
      </c>
      <c r="F62" t="inlineStr">
        <is>
          <t>OPV</t>
        </is>
      </c>
      <c r="G62" t="n">
        <v>3.5</v>
      </c>
      <c r="H62" t="n">
        <v>4.2</v>
      </c>
      <c r="I62" t="n">
        <v>110</v>
      </c>
      <c r="J62" t="inlineStr">
        <is>
          <t>Lowland</t>
        </is>
      </c>
      <c r="K62" t="inlineStr">
        <is>
          <t>Yellow/White</t>
        </is>
      </c>
      <c r="L62" t="inlineStr">
        <is>
          <t>Moderate</t>
        </is>
      </c>
      <c r="M62" t="inlineStr">
        <is>
          <t>Low</t>
        </is>
      </c>
      <c r="N62" t="inlineStr">
        <is>
          <t>Varies</t>
        </is>
      </c>
      <c r="O62" t="inlineStr">
        <is>
          <t>DA/Regional Trials</t>
        </is>
      </c>
    </row>
    <row r="63">
      <c r="A63" t="inlineStr">
        <is>
          <t>C021</t>
        </is>
      </c>
      <c r="B63" t="inlineStr">
        <is>
          <t>CROP002</t>
        </is>
      </c>
      <c r="C63" t="inlineStr">
        <is>
          <t>Corn</t>
        </is>
      </c>
      <c r="D63" t="inlineStr"/>
      <c r="E63" t="inlineStr">
        <is>
          <t>Tiniguib</t>
        </is>
      </c>
      <c r="F63" t="inlineStr">
        <is>
          <t>OPV</t>
        </is>
      </c>
      <c r="G63" t="n">
        <v>3.5</v>
      </c>
      <c r="H63" t="n">
        <v>4.2</v>
      </c>
      <c r="I63" t="n">
        <v>110</v>
      </c>
      <c r="J63" t="inlineStr">
        <is>
          <t>Lowland</t>
        </is>
      </c>
      <c r="K63" t="inlineStr">
        <is>
          <t>Yellow/White</t>
        </is>
      </c>
      <c r="L63" t="inlineStr">
        <is>
          <t>Moderate</t>
        </is>
      </c>
      <c r="M63" t="inlineStr">
        <is>
          <t>Low</t>
        </is>
      </c>
      <c r="N63" t="inlineStr">
        <is>
          <t>Varies</t>
        </is>
      </c>
      <c r="O63" t="inlineStr">
        <is>
          <t>DA/Regional Trials</t>
        </is>
      </c>
    </row>
    <row r="64">
      <c r="A64" t="inlineStr">
        <is>
          <t>C022</t>
        </is>
      </c>
      <c r="B64" t="inlineStr">
        <is>
          <t>CROP002</t>
        </is>
      </c>
      <c r="C64" t="inlineStr">
        <is>
          <t>Corn</t>
        </is>
      </c>
      <c r="D64" t="inlineStr"/>
      <c r="E64" t="inlineStr">
        <is>
          <t>Pioneer 30Y87</t>
        </is>
      </c>
      <c r="F64" t="inlineStr">
        <is>
          <t>Hybrid</t>
        </is>
      </c>
      <c r="G64" t="n">
        <v>7.2</v>
      </c>
      <c r="H64" t="n">
        <v>9</v>
      </c>
      <c r="I64" t="n">
        <v>110</v>
      </c>
      <c r="J64" t="inlineStr">
        <is>
          <t>Lowland</t>
        </is>
      </c>
      <c r="K64" t="inlineStr">
        <is>
          <t>Yellow/White</t>
        </is>
      </c>
      <c r="L64" t="inlineStr">
        <is>
          <t>Moderate</t>
        </is>
      </c>
      <c r="M64" t="inlineStr">
        <is>
          <t>Low</t>
        </is>
      </c>
      <c r="N64" t="inlineStr">
        <is>
          <t>Varies</t>
        </is>
      </c>
      <c r="O64" t="inlineStr">
        <is>
          <t>DA/Regional Trials</t>
        </is>
      </c>
    </row>
    <row r="65">
      <c r="A65" t="inlineStr">
        <is>
          <t>C023</t>
        </is>
      </c>
      <c r="B65" t="inlineStr">
        <is>
          <t>CROP002</t>
        </is>
      </c>
      <c r="C65" t="inlineStr">
        <is>
          <t>Corn</t>
        </is>
      </c>
      <c r="D65" t="inlineStr"/>
      <c r="E65" t="inlineStr">
        <is>
          <t>Dekalb 8282</t>
        </is>
      </c>
      <c r="F65" t="inlineStr">
        <is>
          <t>Hybrid</t>
        </is>
      </c>
      <c r="G65" t="n">
        <v>7.2</v>
      </c>
      <c r="H65" t="n">
        <v>9</v>
      </c>
      <c r="I65" t="n">
        <v>110</v>
      </c>
      <c r="J65" t="inlineStr">
        <is>
          <t>Lowland</t>
        </is>
      </c>
      <c r="K65" t="inlineStr">
        <is>
          <t>Yellow/White</t>
        </is>
      </c>
      <c r="L65" t="inlineStr">
        <is>
          <t>Moderate</t>
        </is>
      </c>
      <c r="M65" t="inlineStr">
        <is>
          <t>Low</t>
        </is>
      </c>
      <c r="N65" t="inlineStr">
        <is>
          <t>Varies</t>
        </is>
      </c>
      <c r="O65" t="inlineStr">
        <is>
          <t>DA/Regional Trials</t>
        </is>
      </c>
    </row>
    <row r="66">
      <c r="A66" t="inlineStr">
        <is>
          <t>C024</t>
        </is>
      </c>
      <c r="B66" t="inlineStr">
        <is>
          <t>CROP002</t>
        </is>
      </c>
      <c r="C66" t="inlineStr">
        <is>
          <t>Corn</t>
        </is>
      </c>
      <c r="D66" t="inlineStr"/>
      <c r="E66" t="inlineStr">
        <is>
          <t>Dekalb 9118</t>
        </is>
      </c>
      <c r="F66" t="inlineStr">
        <is>
          <t>Hybrid</t>
        </is>
      </c>
      <c r="G66" t="n">
        <v>7.2</v>
      </c>
      <c r="H66" t="n">
        <v>9</v>
      </c>
      <c r="I66" t="n">
        <v>110</v>
      </c>
      <c r="J66" t="inlineStr">
        <is>
          <t>Lowland</t>
        </is>
      </c>
      <c r="K66" t="inlineStr">
        <is>
          <t>Yellow/White</t>
        </is>
      </c>
      <c r="L66" t="inlineStr">
        <is>
          <t>Moderate</t>
        </is>
      </c>
      <c r="M66" t="inlineStr">
        <is>
          <t>Low</t>
        </is>
      </c>
      <c r="N66" t="inlineStr">
        <is>
          <t>Varies</t>
        </is>
      </c>
      <c r="O66" t="inlineStr">
        <is>
          <t>DA/Regional Trials</t>
        </is>
      </c>
    </row>
    <row r="67">
      <c r="A67" t="inlineStr">
        <is>
          <t>C025</t>
        </is>
      </c>
      <c r="B67" t="inlineStr">
        <is>
          <t>CROP002</t>
        </is>
      </c>
      <c r="C67" t="inlineStr">
        <is>
          <t>Corn</t>
        </is>
      </c>
      <c r="D67" t="inlineStr"/>
      <c r="E67" t="inlineStr">
        <is>
          <t>Bioseed 997</t>
        </is>
      </c>
      <c r="F67" t="inlineStr">
        <is>
          <t>Hybrid</t>
        </is>
      </c>
      <c r="G67" t="n">
        <v>7.2</v>
      </c>
      <c r="H67" t="n">
        <v>9</v>
      </c>
      <c r="I67" t="n">
        <v>110</v>
      </c>
      <c r="J67" t="inlineStr">
        <is>
          <t>Lowland</t>
        </is>
      </c>
      <c r="K67" t="inlineStr">
        <is>
          <t>Yellow/White</t>
        </is>
      </c>
      <c r="L67" t="inlineStr">
        <is>
          <t>Moderate</t>
        </is>
      </c>
      <c r="M67" t="inlineStr">
        <is>
          <t>Low</t>
        </is>
      </c>
      <c r="N67" t="inlineStr">
        <is>
          <t>Varies</t>
        </is>
      </c>
      <c r="O67" t="inlineStr">
        <is>
          <t>DA/Regional Trials</t>
        </is>
      </c>
    </row>
    <row r="68">
      <c r="A68" t="inlineStr">
        <is>
          <t>C026</t>
        </is>
      </c>
      <c r="B68" t="inlineStr">
        <is>
          <t>CROP002</t>
        </is>
      </c>
      <c r="C68" t="inlineStr">
        <is>
          <t>Corn</t>
        </is>
      </c>
      <c r="D68" t="inlineStr"/>
      <c r="E68" t="inlineStr">
        <is>
          <t>NK8840</t>
        </is>
      </c>
      <c r="F68" t="inlineStr">
        <is>
          <t>GM Hybrid</t>
        </is>
      </c>
      <c r="G68" t="n">
        <v>7.2</v>
      </c>
      <c r="H68" t="n">
        <v>9</v>
      </c>
      <c r="I68" t="n">
        <v>110</v>
      </c>
      <c r="J68" t="inlineStr">
        <is>
          <t>Lowland</t>
        </is>
      </c>
      <c r="K68" t="inlineStr">
        <is>
          <t>Yellow/White</t>
        </is>
      </c>
      <c r="L68" t="inlineStr">
        <is>
          <t>Moderate</t>
        </is>
      </c>
      <c r="M68" t="inlineStr">
        <is>
          <t>Low</t>
        </is>
      </c>
      <c r="N68" t="inlineStr">
        <is>
          <t>Varies</t>
        </is>
      </c>
      <c r="O68" t="inlineStr">
        <is>
          <t>DA/Regional Trials</t>
        </is>
      </c>
    </row>
    <row r="69">
      <c r="A69" t="inlineStr">
        <is>
          <t>C027</t>
        </is>
      </c>
      <c r="B69" t="inlineStr">
        <is>
          <t>CROP002</t>
        </is>
      </c>
      <c r="C69" t="inlineStr">
        <is>
          <t>Corn</t>
        </is>
      </c>
      <c r="D69" t="inlineStr"/>
      <c r="E69" t="inlineStr">
        <is>
          <t>USM Var 10</t>
        </is>
      </c>
      <c r="F69" t="inlineStr">
        <is>
          <t>Hybrid</t>
        </is>
      </c>
      <c r="G69" t="n">
        <v>7.2</v>
      </c>
      <c r="H69" t="n">
        <v>9</v>
      </c>
      <c r="I69" t="n">
        <v>110</v>
      </c>
      <c r="J69" t="inlineStr">
        <is>
          <t>Lowland</t>
        </is>
      </c>
      <c r="K69" t="inlineStr">
        <is>
          <t>Yellow/White</t>
        </is>
      </c>
      <c r="L69" t="inlineStr">
        <is>
          <t>Moderate</t>
        </is>
      </c>
      <c r="M69" t="inlineStr">
        <is>
          <t>Low</t>
        </is>
      </c>
      <c r="N69" t="inlineStr">
        <is>
          <t>Varies</t>
        </is>
      </c>
      <c r="O69" t="inlineStr">
        <is>
          <t>DA/Regional Trials</t>
        </is>
      </c>
    </row>
    <row r="70">
      <c r="A70" t="inlineStr">
        <is>
          <t>C028</t>
        </is>
      </c>
      <c r="B70" t="inlineStr">
        <is>
          <t>CROP002</t>
        </is>
      </c>
      <c r="C70" t="inlineStr">
        <is>
          <t>Corn</t>
        </is>
      </c>
      <c r="D70" t="inlineStr"/>
      <c r="E70" t="inlineStr">
        <is>
          <t>USM Var 36</t>
        </is>
      </c>
      <c r="F70" t="inlineStr">
        <is>
          <t>Hybrid</t>
        </is>
      </c>
      <c r="G70" t="n">
        <v>7.2</v>
      </c>
      <c r="H70" t="n">
        <v>9</v>
      </c>
      <c r="I70" t="n">
        <v>110</v>
      </c>
      <c r="J70" t="inlineStr">
        <is>
          <t>Lowland</t>
        </is>
      </c>
      <c r="K70" t="inlineStr">
        <is>
          <t>Yellow/White</t>
        </is>
      </c>
      <c r="L70" t="inlineStr">
        <is>
          <t>Moderate</t>
        </is>
      </c>
      <c r="M70" t="inlineStr">
        <is>
          <t>Low</t>
        </is>
      </c>
      <c r="N70" t="inlineStr">
        <is>
          <t>Varies</t>
        </is>
      </c>
      <c r="O70" t="inlineStr">
        <is>
          <t>DA/Regional Trials</t>
        </is>
      </c>
    </row>
    <row r="71">
      <c r="A71" t="inlineStr">
        <is>
          <t>C029</t>
        </is>
      </c>
      <c r="B71" t="inlineStr">
        <is>
          <t>CROP002</t>
        </is>
      </c>
      <c r="C71" t="inlineStr">
        <is>
          <t>Corn</t>
        </is>
      </c>
      <c r="D71" t="inlineStr"/>
      <c r="E71" t="inlineStr">
        <is>
          <t>Golden Harvest 818</t>
        </is>
      </c>
      <c r="F71" t="inlineStr">
        <is>
          <t>Hybrid</t>
        </is>
      </c>
      <c r="G71" t="n">
        <v>7.2</v>
      </c>
      <c r="H71" t="n">
        <v>9</v>
      </c>
      <c r="I71" t="n">
        <v>110</v>
      </c>
      <c r="J71" t="inlineStr">
        <is>
          <t>Lowland</t>
        </is>
      </c>
      <c r="K71" t="inlineStr">
        <is>
          <t>Yellow/White</t>
        </is>
      </c>
      <c r="L71" t="inlineStr">
        <is>
          <t>Moderate</t>
        </is>
      </c>
      <c r="M71" t="inlineStr">
        <is>
          <t>Low</t>
        </is>
      </c>
      <c r="N71" t="inlineStr">
        <is>
          <t>Varies</t>
        </is>
      </c>
      <c r="O71" t="inlineStr">
        <is>
          <t>DA/Regional Trials</t>
        </is>
      </c>
    </row>
    <row r="72">
      <c r="A72" t="inlineStr">
        <is>
          <t>C030</t>
        </is>
      </c>
      <c r="B72" t="inlineStr">
        <is>
          <t>CROP002</t>
        </is>
      </c>
      <c r="C72" t="inlineStr">
        <is>
          <t>Corn</t>
        </is>
      </c>
      <c r="D72" t="inlineStr"/>
      <c r="E72" t="inlineStr">
        <is>
          <t>Atlas 777</t>
        </is>
      </c>
      <c r="F72" t="inlineStr">
        <is>
          <t>Hybrid</t>
        </is>
      </c>
      <c r="G72" t="n">
        <v>7.2</v>
      </c>
      <c r="H72" t="n">
        <v>9</v>
      </c>
      <c r="I72" t="n">
        <v>110</v>
      </c>
      <c r="J72" t="inlineStr">
        <is>
          <t>Lowland</t>
        </is>
      </c>
      <c r="K72" t="inlineStr">
        <is>
          <t>Yellow/White</t>
        </is>
      </c>
      <c r="L72" t="inlineStr">
        <is>
          <t>Moderate</t>
        </is>
      </c>
      <c r="M72" t="inlineStr">
        <is>
          <t>Low</t>
        </is>
      </c>
      <c r="N72" t="inlineStr">
        <is>
          <t>Varies</t>
        </is>
      </c>
      <c r="O72" t="inlineStr">
        <is>
          <t>DA/Regional Trials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2026-06-24T10:32:31Z</dcterms:created>
  <dcterms:modified xmlns:dcterms="http://purl.org/dc/terms/" xmlns:xsi="http://www.w3.org/2001/XMLSchema-instance" xsi:type="dcterms:W3CDTF">2026-07-31T05:24:12Z</dcterms:modified>
  <cp:lastModifiedBy>Justin Aaron Fiesta</cp:lastModifiedBy>
  <cp:revision>0</cp:revision>
</cp:coreProperties>
</file>